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20" windowHeight="11460"/>
  </bookViews>
  <sheets>
    <sheet name="Sheet1" sheetId="1" r:id="rId1"/>
  </sheets>
  <externalReferences>
    <externalReference r:id="rId2"/>
  </externalReferences>
  <definedNames>
    <definedName name="周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<sst xmlns="http://schemas.openxmlformats.org/spreadsheetml/2006/main" count="257" uniqueCount="63">
  <si>
    <t>日期</t>
  </si>
  <si>
    <t>东海店、文灶店、华信美团店缺失麦芽田数据</t>
  </si>
  <si>
    <t>平台</t>
  </si>
  <si>
    <t>店铺</t>
  </si>
  <si>
    <t>实收金额
（含包装费/区域补贴）</t>
  </si>
  <si>
    <t>招商货品成本合计</t>
  </si>
  <si>
    <t>总部招商利润
（不含房租人工）</t>
  </si>
  <si>
    <t>单均运费</t>
  </si>
  <si>
    <t>日报运费</t>
  </si>
  <si>
    <t>平台/支付服务费</t>
  </si>
  <si>
    <t>订单距离</t>
  </si>
  <si>
    <t>票数</t>
  </si>
  <si>
    <t>平均订单距离</t>
  </si>
  <si>
    <t>店租金/人工预估</t>
  </si>
  <si>
    <t>推广费</t>
  </si>
  <si>
    <t>利润</t>
  </si>
  <si>
    <t>类型</t>
  </si>
  <si>
    <t>合计利润
（扣除房租人工）</t>
  </si>
  <si>
    <t>辅助列房租水电</t>
  </si>
  <si>
    <t>饿了么</t>
  </si>
  <si>
    <t>余杭店</t>
  </si>
  <si>
    <t>首南店</t>
  </si>
  <si>
    <t>首山店</t>
  </si>
  <si>
    <t>泉秀店</t>
  </si>
  <si>
    <t>诚毅店</t>
  </si>
  <si>
    <t>武侯店</t>
  </si>
  <si>
    <t>湖里店</t>
  </si>
  <si>
    <t>鼓楼店</t>
  </si>
  <si>
    <t>百捷店</t>
  </si>
  <si>
    <t>济南店</t>
  </si>
  <si>
    <t>高新店</t>
  </si>
  <si>
    <t>五华店</t>
  </si>
  <si>
    <t>东新店</t>
  </si>
  <si>
    <t>东海店</t>
  </si>
  <si>
    <t>长沙店</t>
  </si>
  <si>
    <t>洛江店</t>
  </si>
  <si>
    <t>启点店</t>
  </si>
  <si>
    <t>观桥店</t>
  </si>
  <si>
    <t>官渡店</t>
  </si>
  <si>
    <t>百丈店</t>
  </si>
  <si>
    <t>金牛店</t>
  </si>
  <si>
    <t>观音桥店</t>
  </si>
  <si>
    <t>五路口店</t>
  </si>
  <si>
    <t>黄雁村店</t>
  </si>
  <si>
    <t>下沙店</t>
  </si>
  <si>
    <t>华信店</t>
  </si>
  <si>
    <t>大坪店</t>
  </si>
  <si>
    <t>槐荫店</t>
  </si>
  <si>
    <t>西山店</t>
  </si>
  <si>
    <t>文灶店</t>
  </si>
  <si>
    <t>海口店</t>
  </si>
  <si>
    <t>沙坪坝店</t>
  </si>
  <si>
    <t>文昌店</t>
  </si>
  <si>
    <t>成华店</t>
  </si>
  <si>
    <t>凤城二路店</t>
  </si>
  <si>
    <t>青羊店</t>
  </si>
  <si>
    <t>滨江店</t>
  </si>
  <si>
    <t>西湖店</t>
  </si>
  <si>
    <t>南安店</t>
  </si>
  <si>
    <t>京东</t>
  </si>
  <si>
    <t>美团</t>
  </si>
  <si>
    <t>总计</t>
  </si>
  <si>
    <t>-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</si>
</sst>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_ "/>
  </numFmts>
  <fonts count="3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8"/>
      <color theme="0"/>
      <name val="微软雅黑"/>
      <charset val="134"/>
    </font>
    <font>
      <b/>
      <sz val="11"/>
      <color rgb="FFFFFFFF"/>
      <name val="微软雅黑"/>
      <charset val="134"/>
    </font>
    <font>
      <b/>
      <sz val="11"/>
      <color rgb="FFFFFFFF"/>
      <name val="Microsoft YaHei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sz val="10"/>
      <color rgb="FF000000"/>
      <name val="微软雅黑"/>
      <charset val="134"/>
    </font>
    <font>
      <sz val="11"/>
      <color rgb="FF000000"/>
      <name val="微软雅黑"/>
      <charset val="134"/>
    </font>
    <font>
      <u/>
      <sz val="14"/>
      <color rgb="FFFF0000"/>
      <name val="微软雅黑"/>
      <charset val="134"/>
    </font>
    <font>
      <b/>
      <sz val="11"/>
      <name val="微软雅黑"/>
      <charset val="134"/>
    </font>
    <font>
      <sz val="11"/>
      <name val="微软雅黑"/>
      <charset val="134"/>
    </font>
    <font>
      <b/>
      <sz val="11"/>
      <color rgb="FFFF0000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7" borderId="18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22" fillId="0" borderId="2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8" borderId="21" applyNumberFormat="0" applyAlignment="0" applyProtection="0">
      <alignment vertical="center"/>
    </xf>
    <xf numFmtId="0" fontId="24" fillId="9" borderId="22" applyNumberFormat="0" applyAlignment="0" applyProtection="0">
      <alignment vertical="center"/>
    </xf>
    <xf numFmtId="0" fontId="25" fillId="9" borderId="21" applyNumberFormat="0" applyAlignment="0" applyProtection="0">
      <alignment vertical="center"/>
    </xf>
    <xf numFmtId="0" fontId="26" fillId="10" borderId="23" applyNumberFormat="0" applyAlignment="0" applyProtection="0">
      <alignment vertical="center"/>
    </xf>
    <xf numFmtId="0" fontId="27" fillId="0" borderId="24" applyNumberFormat="0" applyFill="0" applyAlignment="0" applyProtection="0">
      <alignment vertical="center"/>
    </xf>
    <xf numFmtId="0" fontId="28" fillId="0" borderId="25" applyNumberFormat="0" applyFill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 wrapText="1"/>
    </xf>
    <xf numFmtId="0" fontId="0" fillId="2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3" fillId="3" borderId="1" xfId="0" applyNumberFormat="1" applyFont="1" applyFill="1" applyBorder="1" applyAlignment="1">
      <alignment horizontal="center" vertical="center" wrapText="1"/>
    </xf>
    <xf numFmtId="0" fontId="3" fillId="3" borderId="0" xfId="0" applyNumberFormat="1" applyFont="1" applyFill="1" applyAlignment="1">
      <alignment horizontal="center" vertical="center" wrapText="1"/>
    </xf>
    <xf numFmtId="0" fontId="4" fillId="3" borderId="0" xfId="0" applyNumberFormat="1" applyFont="1" applyFill="1" applyAlignment="1">
      <alignment horizontal="right" vertical="center" wrapText="1"/>
    </xf>
    <xf numFmtId="0" fontId="4" fillId="3" borderId="2" xfId="0" applyNumberFormat="1" applyFont="1" applyFill="1" applyBorder="1" applyAlignment="1">
      <alignment horizontal="center" vertical="center" wrapText="1"/>
    </xf>
    <xf numFmtId="0" fontId="4" fillId="3" borderId="3" xfId="0" applyNumberFormat="1" applyFont="1" applyFill="1" applyBorder="1" applyAlignment="1">
      <alignment horizontal="center" vertical="center" wrapText="1"/>
    </xf>
    <xf numFmtId="0" fontId="5" fillId="3" borderId="3" xfId="0" applyNumberFormat="1" applyFont="1" applyFill="1" applyBorder="1" applyAlignment="1">
      <alignment horizontal="center" vertical="center" wrapText="1"/>
    </xf>
    <xf numFmtId="0" fontId="4" fillId="3" borderId="4" xfId="0" applyNumberFormat="1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177" fontId="7" fillId="0" borderId="5" xfId="0" applyNumberFormat="1" applyFont="1" applyFill="1" applyBorder="1" applyAlignment="1">
      <alignment horizontal="center" vertical="center"/>
    </xf>
    <xf numFmtId="177" fontId="7" fillId="0" borderId="6" xfId="0" applyNumberFormat="1" applyFont="1" applyFill="1" applyBorder="1" applyAlignment="1">
      <alignment horizontal="center" vertical="center"/>
    </xf>
    <xf numFmtId="177" fontId="7" fillId="0" borderId="0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177" fontId="7" fillId="0" borderId="1" xfId="0" applyNumberFormat="1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177" fontId="7" fillId="0" borderId="7" xfId="0" applyNumberFormat="1" applyFont="1" applyFill="1" applyBorder="1" applyAlignment="1">
      <alignment horizontal="center" vertical="center"/>
    </xf>
    <xf numFmtId="177" fontId="7" fillId="0" borderId="8" xfId="0" applyNumberFormat="1" applyFont="1" applyFill="1" applyBorder="1" applyAlignment="1">
      <alignment horizontal="center" vertical="center"/>
    </xf>
    <xf numFmtId="177" fontId="8" fillId="0" borderId="6" xfId="0" applyNumberFormat="1" applyFont="1" applyFill="1" applyBorder="1" applyAlignment="1">
      <alignment horizontal="center" vertical="center" wrapText="1"/>
    </xf>
    <xf numFmtId="177" fontId="9" fillId="0" borderId="0" xfId="0" applyNumberFormat="1" applyFont="1" applyFill="1" applyBorder="1" applyAlignment="1">
      <alignment horizontal="center" vertical="center" wrapText="1"/>
    </xf>
    <xf numFmtId="177" fontId="6" fillId="0" borderId="0" xfId="0" applyNumberFormat="1" applyFont="1" applyFill="1" applyBorder="1" applyAlignment="1">
      <alignment horizontal="center" vertical="center"/>
    </xf>
    <xf numFmtId="177" fontId="8" fillId="0" borderId="9" xfId="0" applyNumberFormat="1" applyFont="1" applyFill="1" applyBorder="1" applyAlignment="1">
      <alignment horizontal="center" vertical="center" wrapText="1"/>
    </xf>
    <xf numFmtId="177" fontId="6" fillId="0" borderId="9" xfId="0" applyNumberFormat="1" applyFont="1" applyFill="1" applyBorder="1" applyAlignment="1">
      <alignment horizontal="center" vertical="center"/>
    </xf>
    <xf numFmtId="177" fontId="8" fillId="0" borderId="0" xfId="0" applyNumberFormat="1" applyFont="1" applyFill="1" applyBorder="1" applyAlignment="1">
      <alignment horizontal="center" vertical="center" wrapText="1"/>
    </xf>
    <xf numFmtId="177" fontId="8" fillId="0" borderId="10" xfId="0" applyNumberFormat="1" applyFont="1" applyFill="1" applyBorder="1" applyAlignment="1">
      <alignment horizontal="center" vertical="center" wrapText="1"/>
    </xf>
    <xf numFmtId="177" fontId="6" fillId="0" borderId="10" xfId="0" applyNumberFormat="1" applyFont="1" applyFill="1" applyBorder="1" applyAlignment="1">
      <alignment horizontal="center" vertical="center"/>
    </xf>
    <xf numFmtId="177" fontId="8" fillId="0" borderId="8" xfId="0" applyNumberFormat="1" applyFont="1" applyFill="1" applyBorder="1" applyAlignment="1">
      <alignment horizontal="center" vertical="center" wrapText="1"/>
    </xf>
    <xf numFmtId="177" fontId="9" fillId="0" borderId="8" xfId="0" applyNumberFormat="1" applyFont="1" applyFill="1" applyBorder="1" applyAlignment="1">
      <alignment horizontal="center" vertical="center" wrapText="1"/>
    </xf>
    <xf numFmtId="177" fontId="6" fillId="0" borderId="8" xfId="0" applyNumberFormat="1" applyFont="1" applyFill="1" applyBorder="1" applyAlignment="1">
      <alignment horizontal="center" vertical="center"/>
    </xf>
    <xf numFmtId="177" fontId="8" fillId="0" borderId="11" xfId="0" applyNumberFormat="1" applyFont="1" applyFill="1" applyBorder="1" applyAlignment="1">
      <alignment horizontal="center" vertical="center" wrapText="1"/>
    </xf>
    <xf numFmtId="177" fontId="6" fillId="0" borderId="11" xfId="0" applyNumberFormat="1" applyFont="1" applyFill="1" applyBorder="1" applyAlignment="1">
      <alignment horizontal="center" vertical="center"/>
    </xf>
    <xf numFmtId="14" fontId="10" fillId="0" borderId="0" xfId="0" applyNumberFormat="1" applyFont="1" applyFill="1" applyAlignment="1">
      <alignment horizontal="center" vertical="center"/>
    </xf>
    <xf numFmtId="176" fontId="4" fillId="4" borderId="0" xfId="0" applyNumberFormat="1" applyFont="1" applyFill="1" applyAlignment="1">
      <alignment horizontal="center" vertical="center" wrapText="1"/>
    </xf>
    <xf numFmtId="0" fontId="4" fillId="4" borderId="0" xfId="0" applyNumberFormat="1" applyFont="1" applyFill="1" applyAlignment="1">
      <alignment horizontal="center" vertical="center" wrapText="1"/>
    </xf>
    <xf numFmtId="176" fontId="4" fillId="4" borderId="12" xfId="0" applyNumberFormat="1" applyFont="1" applyFill="1" applyBorder="1" applyAlignment="1">
      <alignment horizontal="center" vertical="center" wrapText="1"/>
    </xf>
    <xf numFmtId="176" fontId="0" fillId="0" borderId="13" xfId="0" applyNumberForma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177" fontId="7" fillId="0" borderId="10" xfId="0" applyNumberFormat="1" applyFont="1" applyFill="1" applyBorder="1" applyAlignment="1">
      <alignment horizontal="center" vertical="center"/>
    </xf>
    <xf numFmtId="0" fontId="11" fillId="0" borderId="5" xfId="0" applyFont="1" applyFill="1" applyBorder="1" applyAlignment="1">
      <alignment horizontal="center" vertical="center"/>
    </xf>
    <xf numFmtId="0" fontId="11" fillId="0" borderId="6" xfId="0" applyFont="1" applyFill="1" applyBorder="1" applyAlignment="1">
      <alignment horizontal="center" vertical="center"/>
    </xf>
    <xf numFmtId="177" fontId="12" fillId="0" borderId="5" xfId="0" applyNumberFormat="1" applyFont="1" applyFill="1" applyBorder="1" applyAlignment="1">
      <alignment horizontal="center" vertical="center"/>
    </xf>
    <xf numFmtId="177" fontId="12" fillId="0" borderId="6" xfId="0" applyNumberFormat="1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177" fontId="12" fillId="0" borderId="1" xfId="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11" fillId="0" borderId="7" xfId="0" applyFont="1" applyFill="1" applyBorder="1" applyAlignment="1">
      <alignment horizontal="center" vertical="center"/>
    </xf>
    <xf numFmtId="0" fontId="11" fillId="0" borderId="8" xfId="0" applyFont="1" applyFill="1" applyBorder="1" applyAlignment="1">
      <alignment horizontal="center" vertical="center"/>
    </xf>
    <xf numFmtId="177" fontId="12" fillId="0" borderId="7" xfId="0" applyNumberFormat="1" applyFont="1" applyFill="1" applyBorder="1" applyAlignment="1">
      <alignment horizontal="center" vertical="center"/>
    </xf>
    <xf numFmtId="177" fontId="12" fillId="0" borderId="8" xfId="0" applyNumberFormat="1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horizontal="center" vertical="center"/>
    </xf>
    <xf numFmtId="0" fontId="6" fillId="0" borderId="15" xfId="0" applyFont="1" applyFill="1" applyBorder="1" applyAlignment="1">
      <alignment horizontal="center" vertical="center"/>
    </xf>
    <xf numFmtId="177" fontId="7" fillId="0" borderId="14" xfId="0" applyNumberFormat="1" applyFont="1" applyFill="1" applyBorder="1" applyAlignment="1">
      <alignment horizontal="center" vertical="center"/>
    </xf>
    <xf numFmtId="177" fontId="7" fillId="0" borderId="15" xfId="0" applyNumberFormat="1" applyFont="1" applyFill="1" applyBorder="1" applyAlignment="1">
      <alignment horizontal="center" vertical="center"/>
    </xf>
    <xf numFmtId="177" fontId="7" fillId="0" borderId="16" xfId="0" applyNumberFormat="1" applyFont="1" applyFill="1" applyBorder="1" applyAlignment="1">
      <alignment horizontal="center" vertical="center"/>
    </xf>
    <xf numFmtId="0" fontId="13" fillId="0" borderId="0" xfId="0" applyFont="1" applyFill="1" applyAlignment="1">
      <alignment horizontal="center" vertical="center" wrapText="1"/>
    </xf>
    <xf numFmtId="177" fontId="14" fillId="0" borderId="6" xfId="0" applyNumberFormat="1" applyFont="1" applyFill="1" applyBorder="1" applyAlignment="1">
      <alignment horizontal="center" vertical="center" wrapText="1"/>
    </xf>
    <xf numFmtId="177" fontId="12" fillId="0" borderId="0" xfId="0" applyNumberFormat="1" applyFont="1" applyFill="1" applyBorder="1" applyAlignment="1">
      <alignment horizontal="center" vertical="center" wrapText="1"/>
    </xf>
    <xf numFmtId="177" fontId="11" fillId="0" borderId="0" xfId="0" applyNumberFormat="1" applyFont="1" applyFill="1" applyBorder="1" applyAlignment="1">
      <alignment horizontal="center" vertical="center"/>
    </xf>
    <xf numFmtId="177" fontId="14" fillId="0" borderId="9" xfId="0" applyNumberFormat="1" applyFont="1" applyFill="1" applyBorder="1" applyAlignment="1">
      <alignment horizontal="center" vertical="center" wrapText="1"/>
    </xf>
    <xf numFmtId="177" fontId="14" fillId="0" borderId="0" xfId="0" applyNumberFormat="1" applyFont="1" applyFill="1" applyBorder="1" applyAlignment="1">
      <alignment horizontal="center" vertical="center" wrapText="1"/>
    </xf>
    <xf numFmtId="177" fontId="14" fillId="0" borderId="10" xfId="0" applyNumberFormat="1" applyFont="1" applyFill="1" applyBorder="1" applyAlignment="1">
      <alignment horizontal="center" vertical="center" wrapText="1"/>
    </xf>
    <xf numFmtId="177" fontId="14" fillId="0" borderId="8" xfId="0" applyNumberFormat="1" applyFont="1" applyFill="1" applyBorder="1" applyAlignment="1">
      <alignment horizontal="center" vertical="center" wrapText="1"/>
    </xf>
    <xf numFmtId="177" fontId="12" fillId="0" borderId="8" xfId="0" applyNumberFormat="1" applyFont="1" applyFill="1" applyBorder="1" applyAlignment="1">
      <alignment horizontal="center" vertical="center" wrapText="1"/>
    </xf>
    <xf numFmtId="177" fontId="11" fillId="0" borderId="8" xfId="0" applyNumberFormat="1" applyFont="1" applyFill="1" applyBorder="1" applyAlignment="1">
      <alignment horizontal="center" vertical="center"/>
    </xf>
    <xf numFmtId="177" fontId="14" fillId="0" borderId="11" xfId="0" applyNumberFormat="1" applyFont="1" applyFill="1" applyBorder="1" applyAlignment="1">
      <alignment horizontal="center" vertical="center" wrapText="1"/>
    </xf>
    <xf numFmtId="177" fontId="8" fillId="0" borderId="15" xfId="0" applyNumberFormat="1" applyFont="1" applyFill="1" applyBorder="1" applyAlignment="1">
      <alignment horizontal="center" vertical="center" wrapText="1"/>
    </xf>
    <xf numFmtId="177" fontId="6" fillId="0" borderId="16" xfId="0" applyNumberFormat="1" applyFont="1" applyFill="1" applyBorder="1" applyAlignment="1">
      <alignment horizontal="center" vertical="center"/>
    </xf>
    <xf numFmtId="177" fontId="8" fillId="0" borderId="17" xfId="0" applyNumberFormat="1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0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3.25\O2O&#19994;&#21153;&#30475;&#26495;(&#23637;&#31034;&#29256;2026.3.25%20-%20&#21103;&#26412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分省份模版"/>
      <sheetName val="分平台模版"/>
      <sheetName val="日报透视"/>
      <sheetName val="13号分平台"/>
      <sheetName val="14号分平台"/>
      <sheetName val="15号分平台"/>
      <sheetName val="付款口径计算表（明细）"/>
      <sheetName val="饿了么推广费"/>
      <sheetName val="美团推广费"/>
      <sheetName val="房租水电人工成本"/>
      <sheetName val="门店ID对应关系"/>
    </sheetNames>
    <sheetDataSet>
      <sheetData sheetId="0"/>
      <sheetData sheetId="1"/>
      <sheetData sheetId="2">
        <row r="2">
          <cell r="A2" t="str">
            <v>日报日期</v>
          </cell>
          <cell r="B2" t="str">
            <v>2026-03-25</v>
          </cell>
        </row>
        <row r="3">
          <cell r="A3" t="str">
            <v>类型</v>
          </cell>
          <cell r="B3" t="str">
            <v>(全部)</v>
          </cell>
        </row>
        <row r="5">
          <cell r="A5" t="str">
            <v>平台</v>
          </cell>
          <cell r="B5" t="str">
            <v>日报店铺名称</v>
          </cell>
        </row>
        <row r="5">
          <cell r="E5" t="str">
            <v>求和项:实收金额</v>
          </cell>
          <cell r="F5" t="str">
            <v>求和项:日报合计招商成本</v>
          </cell>
          <cell r="G5" t="str">
            <v>求和项:招商利润
（不含推广/房租人工）</v>
          </cell>
        </row>
        <row r="5">
          <cell r="I5" t="str">
            <v>求和项:日报运费</v>
          </cell>
          <cell r="J5" t="str">
            <v>求和项:平台/支付服务费</v>
          </cell>
          <cell r="K5" t="str">
            <v>求和项:订单距离</v>
          </cell>
          <cell r="L5" t="str">
            <v>非重复计数项:日报订单号</v>
          </cell>
          <cell r="M5" t="str">
            <v>求和项:美团推广费</v>
          </cell>
          <cell r="N5" t="str">
            <v>求和项:饿了么推广费</v>
          </cell>
        </row>
        <row r="6">
          <cell r="A6" t="str">
            <v>饿了么</v>
          </cell>
          <cell r="B6" t="str">
            <v>百捷店</v>
          </cell>
        </row>
        <row r="6">
          <cell r="E6">
            <v>1025.05</v>
          </cell>
          <cell r="F6">
            <v>559.355166666667</v>
          </cell>
          <cell r="G6">
            <v>449.854833333334</v>
          </cell>
        </row>
        <row r="6">
          <cell r="I6">
            <v>272.14</v>
          </cell>
          <cell r="J6">
            <v>52.24</v>
          </cell>
          <cell r="K6">
            <v>242.253</v>
          </cell>
          <cell r="L6">
            <v>61</v>
          </cell>
          <cell r="M6">
            <v>0</v>
          </cell>
          <cell r="N6">
            <v>77.1499999999999</v>
          </cell>
        </row>
        <row r="7">
          <cell r="A7" t="str">
            <v>饿了么</v>
          </cell>
          <cell r="B7" t="str">
            <v>百丈店</v>
          </cell>
        </row>
        <row r="7">
          <cell r="E7">
            <v>836.36</v>
          </cell>
          <cell r="F7">
            <v>573.438333333333</v>
          </cell>
          <cell r="G7">
            <v>262.921666666667</v>
          </cell>
        </row>
        <row r="7">
          <cell r="I7">
            <v>126.7</v>
          </cell>
          <cell r="J7">
            <v>40.14</v>
          </cell>
          <cell r="K7">
            <v>92.398</v>
          </cell>
          <cell r="L7">
            <v>25</v>
          </cell>
          <cell r="M7">
            <v>0</v>
          </cell>
          <cell r="N7">
            <v>48.56</v>
          </cell>
        </row>
        <row r="8">
          <cell r="A8" t="str">
            <v>饿了么</v>
          </cell>
          <cell r="B8" t="str">
            <v>成华店</v>
          </cell>
        </row>
        <row r="8">
          <cell r="E8">
            <v>282.97</v>
          </cell>
          <cell r="F8">
            <v>141.892428571429</v>
          </cell>
          <cell r="G8">
            <v>141.077571428571</v>
          </cell>
        </row>
        <row r="8">
          <cell r="I8">
            <v>77.9</v>
          </cell>
          <cell r="J8">
            <v>14.43</v>
          </cell>
          <cell r="K8">
            <v>61.787</v>
          </cell>
          <cell r="L8">
            <v>18</v>
          </cell>
          <cell r="M8">
            <v>0</v>
          </cell>
          <cell r="N8">
            <v>23.3</v>
          </cell>
        </row>
        <row r="9">
          <cell r="A9" t="str">
            <v>饿了么</v>
          </cell>
          <cell r="B9" t="str">
            <v>大坪店</v>
          </cell>
        </row>
        <row r="9">
          <cell r="E9">
            <v>508.97</v>
          </cell>
          <cell r="F9">
            <v>300.364333333333</v>
          </cell>
          <cell r="G9">
            <v>165.815666666667</v>
          </cell>
        </row>
        <row r="9">
          <cell r="I9">
            <v>189.79</v>
          </cell>
          <cell r="J9">
            <v>35.84</v>
          </cell>
          <cell r="K9">
            <v>89.929</v>
          </cell>
          <cell r="L9">
            <v>29</v>
          </cell>
          <cell r="M9">
            <v>0</v>
          </cell>
          <cell r="N9">
            <v>43.9499999999999</v>
          </cell>
        </row>
        <row r="10">
          <cell r="A10" t="str">
            <v>饿了么</v>
          </cell>
          <cell r="B10" t="str">
            <v>东新店</v>
          </cell>
        </row>
        <row r="10">
          <cell r="E10">
            <v>921.77</v>
          </cell>
          <cell r="F10">
            <v>531.921064102564</v>
          </cell>
          <cell r="G10">
            <v>389.848935897436</v>
          </cell>
        </row>
        <row r="10">
          <cell r="I10">
            <v>327.4</v>
          </cell>
          <cell r="J10">
            <v>54.83</v>
          </cell>
          <cell r="K10">
            <v>183.37</v>
          </cell>
          <cell r="L10">
            <v>59</v>
          </cell>
          <cell r="M10">
            <v>0</v>
          </cell>
          <cell r="N10">
            <v>38.2900000000001</v>
          </cell>
        </row>
        <row r="11">
          <cell r="A11" t="str">
            <v>饿了么</v>
          </cell>
          <cell r="B11" t="str">
            <v>凤城二路店</v>
          </cell>
        </row>
        <row r="11">
          <cell r="E11">
            <v>970.2</v>
          </cell>
          <cell r="F11">
            <v>600.793904761905</v>
          </cell>
          <cell r="G11">
            <v>369.406095238095</v>
          </cell>
        </row>
        <row r="11">
          <cell r="I11">
            <v>339.9</v>
          </cell>
          <cell r="J11">
            <v>70.64</v>
          </cell>
          <cell r="K11">
            <v>248.882</v>
          </cell>
          <cell r="L11">
            <v>58</v>
          </cell>
          <cell r="M11">
            <v>0</v>
          </cell>
          <cell r="N11">
            <v>87.2499999999999</v>
          </cell>
        </row>
        <row r="12">
          <cell r="A12" t="str">
            <v>饿了么</v>
          </cell>
          <cell r="B12" t="str">
            <v>高新店</v>
          </cell>
        </row>
        <row r="12">
          <cell r="E12">
            <v>1034.19</v>
          </cell>
          <cell r="F12">
            <v>645.106666666667</v>
          </cell>
          <cell r="G12">
            <v>389.083333333333</v>
          </cell>
        </row>
        <row r="12">
          <cell r="I12">
            <v>203.8</v>
          </cell>
          <cell r="J12">
            <v>49.92</v>
          </cell>
          <cell r="K12">
            <v>183.592</v>
          </cell>
          <cell r="L12">
            <v>42</v>
          </cell>
          <cell r="M12">
            <v>0</v>
          </cell>
          <cell r="N12">
            <v>62.4699999999999</v>
          </cell>
        </row>
        <row r="13">
          <cell r="A13" t="str">
            <v>饿了么</v>
          </cell>
          <cell r="B13" t="str">
            <v>鼓楼店</v>
          </cell>
        </row>
        <row r="13">
          <cell r="E13">
            <v>2272.45</v>
          </cell>
          <cell r="F13">
            <v>1542.84225</v>
          </cell>
          <cell r="G13">
            <v>729.60775</v>
          </cell>
        </row>
        <row r="13">
          <cell r="I13">
            <v>317.8</v>
          </cell>
          <cell r="J13">
            <v>113.79</v>
          </cell>
          <cell r="K13">
            <v>282.811</v>
          </cell>
          <cell r="L13">
            <v>66</v>
          </cell>
          <cell r="M13">
            <v>0</v>
          </cell>
          <cell r="N13">
            <v>150.58</v>
          </cell>
        </row>
        <row r="14">
          <cell r="A14" t="str">
            <v>饿了么</v>
          </cell>
          <cell r="B14" t="str">
            <v>观桥店</v>
          </cell>
        </row>
        <row r="14">
          <cell r="E14">
            <v>495.68</v>
          </cell>
          <cell r="F14">
            <v>278.59375</v>
          </cell>
          <cell r="G14">
            <v>196.96625</v>
          </cell>
        </row>
        <row r="14">
          <cell r="I14">
            <v>128.42</v>
          </cell>
          <cell r="J14">
            <v>33.64</v>
          </cell>
          <cell r="K14">
            <v>95.036</v>
          </cell>
          <cell r="L14">
            <v>27</v>
          </cell>
          <cell r="M14">
            <v>0</v>
          </cell>
          <cell r="N14">
            <v>47.3499999999999</v>
          </cell>
        </row>
        <row r="15">
          <cell r="A15" t="str">
            <v>饿了么</v>
          </cell>
          <cell r="B15" t="str">
            <v>观音桥店</v>
          </cell>
        </row>
        <row r="15">
          <cell r="E15">
            <v>637.14</v>
          </cell>
          <cell r="F15">
            <v>395.197166666667</v>
          </cell>
          <cell r="G15">
            <v>201.352833333333</v>
          </cell>
        </row>
        <row r="15">
          <cell r="I15">
            <v>262.79</v>
          </cell>
          <cell r="J15">
            <v>36.57</v>
          </cell>
          <cell r="K15">
            <v>127.467</v>
          </cell>
          <cell r="L15">
            <v>42</v>
          </cell>
          <cell r="M15">
            <v>0</v>
          </cell>
          <cell r="N15">
            <v>47.3300000000001</v>
          </cell>
        </row>
        <row r="16">
          <cell r="A16" t="str">
            <v>饿了么</v>
          </cell>
          <cell r="B16" t="str">
            <v>官渡店</v>
          </cell>
        </row>
        <row r="16">
          <cell r="E16">
            <v>406.88</v>
          </cell>
          <cell r="F16">
            <v>203.229166666667</v>
          </cell>
          <cell r="G16">
            <v>203.650833333333</v>
          </cell>
        </row>
        <row r="16">
          <cell r="I16">
            <v>125.5</v>
          </cell>
          <cell r="J16">
            <v>22.16</v>
          </cell>
          <cell r="K16">
            <v>108.491</v>
          </cell>
          <cell r="L16">
            <v>30</v>
          </cell>
          <cell r="M16">
            <v>0</v>
          </cell>
          <cell r="N16">
            <v>26.85</v>
          </cell>
        </row>
        <row r="17">
          <cell r="A17" t="str">
            <v>饿了么</v>
          </cell>
          <cell r="B17" t="str">
            <v>海口店</v>
          </cell>
        </row>
        <row r="17">
          <cell r="E17">
            <v>230.38</v>
          </cell>
          <cell r="F17">
            <v>120.16</v>
          </cell>
          <cell r="G17">
            <v>110.22</v>
          </cell>
        </row>
        <row r="17">
          <cell r="I17">
            <v>80</v>
          </cell>
          <cell r="J17">
            <v>17.65</v>
          </cell>
          <cell r="K17">
            <v>54.484</v>
          </cell>
          <cell r="L17">
            <v>15</v>
          </cell>
          <cell r="M17">
            <v>0</v>
          </cell>
          <cell r="N17">
            <v>20.83</v>
          </cell>
        </row>
        <row r="18">
          <cell r="A18" t="str">
            <v>饿了么</v>
          </cell>
          <cell r="B18" t="str">
            <v>湖里店</v>
          </cell>
        </row>
        <row r="18">
          <cell r="E18">
            <v>1606.07</v>
          </cell>
          <cell r="F18">
            <v>1015.179</v>
          </cell>
          <cell r="G18">
            <v>590.891</v>
          </cell>
        </row>
        <row r="18">
          <cell r="I18">
            <v>419.7</v>
          </cell>
          <cell r="J18">
            <v>81.18</v>
          </cell>
          <cell r="K18">
            <v>299.586</v>
          </cell>
          <cell r="L18">
            <v>77</v>
          </cell>
          <cell r="M18">
            <v>0</v>
          </cell>
          <cell r="N18">
            <v>126.78</v>
          </cell>
        </row>
        <row r="19">
          <cell r="A19" t="str">
            <v>饿了么</v>
          </cell>
          <cell r="B19" t="str">
            <v>华信店</v>
          </cell>
        </row>
        <row r="19">
          <cell r="E19">
            <v>25.82</v>
          </cell>
          <cell r="F19">
            <v>19.93</v>
          </cell>
          <cell r="G19">
            <v>5.89</v>
          </cell>
        </row>
        <row r="19">
          <cell r="I19">
            <v>13.8</v>
          </cell>
          <cell r="J19">
            <v>1.59</v>
          </cell>
          <cell r="K19">
            <v>6.952</v>
          </cell>
          <cell r="L19">
            <v>3</v>
          </cell>
          <cell r="M19">
            <v>0</v>
          </cell>
          <cell r="N19">
            <v>0</v>
          </cell>
        </row>
        <row r="20">
          <cell r="A20" t="str">
            <v>饿了么</v>
          </cell>
          <cell r="B20" t="str">
            <v>黄雁村店</v>
          </cell>
        </row>
        <row r="20">
          <cell r="E20">
            <v>944.51</v>
          </cell>
          <cell r="F20">
            <v>488.440833333333</v>
          </cell>
          <cell r="G20">
            <v>444.969166666667</v>
          </cell>
        </row>
        <row r="20">
          <cell r="I20">
            <v>342.3</v>
          </cell>
          <cell r="J20">
            <v>54.62</v>
          </cell>
          <cell r="K20">
            <v>222.071</v>
          </cell>
          <cell r="L20">
            <v>74</v>
          </cell>
          <cell r="M20">
            <v>0</v>
          </cell>
          <cell r="N20">
            <v>90.8499999999999</v>
          </cell>
        </row>
        <row r="21">
          <cell r="A21" t="str">
            <v>饿了么</v>
          </cell>
          <cell r="B21" t="str">
            <v>济南店</v>
          </cell>
        </row>
        <row r="21">
          <cell r="E21">
            <v>1568.33</v>
          </cell>
          <cell r="F21">
            <v>1004.6224047619</v>
          </cell>
          <cell r="G21">
            <v>542.107595238095</v>
          </cell>
        </row>
        <row r="21">
          <cell r="I21">
            <v>348</v>
          </cell>
          <cell r="J21">
            <v>91.32</v>
          </cell>
          <cell r="K21">
            <v>249.36</v>
          </cell>
          <cell r="L21">
            <v>68</v>
          </cell>
          <cell r="M21">
            <v>0</v>
          </cell>
          <cell r="N21">
            <v>118.82</v>
          </cell>
        </row>
        <row r="22">
          <cell r="A22" t="str">
            <v>饿了么</v>
          </cell>
          <cell r="B22" t="str">
            <v>金牛店</v>
          </cell>
        </row>
        <row r="22">
          <cell r="E22">
            <v>263.06</v>
          </cell>
          <cell r="F22">
            <v>133.69</v>
          </cell>
          <cell r="G22">
            <v>129.37</v>
          </cell>
        </row>
        <row r="22">
          <cell r="I22">
            <v>106.4</v>
          </cell>
          <cell r="J22">
            <v>16.9</v>
          </cell>
          <cell r="K22">
            <v>78.047</v>
          </cell>
          <cell r="L22">
            <v>21</v>
          </cell>
          <cell r="M22">
            <v>0</v>
          </cell>
          <cell r="N22">
            <v>19.29</v>
          </cell>
        </row>
        <row r="23">
          <cell r="A23" t="str">
            <v>饿了么</v>
          </cell>
          <cell r="B23" t="str">
            <v>洛江店</v>
          </cell>
        </row>
        <row r="23">
          <cell r="E23">
            <v>363.53</v>
          </cell>
          <cell r="F23">
            <v>186.965</v>
          </cell>
          <cell r="G23">
            <v>176.565</v>
          </cell>
        </row>
        <row r="23">
          <cell r="I23">
            <v>101.3</v>
          </cell>
          <cell r="J23">
            <v>18.59</v>
          </cell>
          <cell r="K23">
            <v>121.181</v>
          </cell>
          <cell r="L23">
            <v>28</v>
          </cell>
          <cell r="M23">
            <v>0</v>
          </cell>
          <cell r="N23">
            <v>19.2</v>
          </cell>
        </row>
        <row r="24">
          <cell r="A24" t="str">
            <v>饿了么</v>
          </cell>
          <cell r="B24" t="str">
            <v>南安店</v>
          </cell>
        </row>
        <row r="24">
          <cell r="E24">
            <v>503.36</v>
          </cell>
          <cell r="F24">
            <v>266.35</v>
          </cell>
          <cell r="G24">
            <v>225.69</v>
          </cell>
        </row>
        <row r="24">
          <cell r="I24">
            <v>56.32</v>
          </cell>
          <cell r="J24">
            <v>37.54</v>
          </cell>
          <cell r="K24">
            <v>37.92</v>
          </cell>
          <cell r="L24">
            <v>9</v>
          </cell>
          <cell r="M24">
            <v>0</v>
          </cell>
          <cell r="N24">
            <v>19.4</v>
          </cell>
        </row>
        <row r="25">
          <cell r="A25" t="str">
            <v>饿了么</v>
          </cell>
          <cell r="B25" t="str">
            <v>启点店</v>
          </cell>
        </row>
        <row r="25">
          <cell r="E25">
            <v>848.87</v>
          </cell>
          <cell r="F25">
            <v>524.965333333333</v>
          </cell>
          <cell r="G25">
            <v>323.904666666667</v>
          </cell>
        </row>
        <row r="25">
          <cell r="I25">
            <v>208</v>
          </cell>
          <cell r="J25">
            <v>46.66</v>
          </cell>
          <cell r="K25">
            <v>186.365</v>
          </cell>
          <cell r="L25">
            <v>36</v>
          </cell>
          <cell r="M25">
            <v>0</v>
          </cell>
          <cell r="N25">
            <v>61.0300000000001</v>
          </cell>
        </row>
        <row r="26">
          <cell r="A26" t="str">
            <v>饿了么</v>
          </cell>
          <cell r="B26" t="str">
            <v>青羊店</v>
          </cell>
        </row>
        <row r="26">
          <cell r="E26">
            <v>305.84</v>
          </cell>
          <cell r="F26">
            <v>156.778333333333</v>
          </cell>
          <cell r="G26">
            <v>149.061666666667</v>
          </cell>
        </row>
        <row r="26">
          <cell r="I26">
            <v>120.2</v>
          </cell>
          <cell r="J26">
            <v>17.05</v>
          </cell>
          <cell r="K26">
            <v>66.434</v>
          </cell>
          <cell r="L26">
            <v>24</v>
          </cell>
          <cell r="M26">
            <v>0</v>
          </cell>
          <cell r="N26">
            <v>24.88</v>
          </cell>
        </row>
        <row r="27">
          <cell r="A27" t="str">
            <v>饿了么</v>
          </cell>
          <cell r="B27" t="str">
            <v>沙坪坝店</v>
          </cell>
        </row>
        <row r="27">
          <cell r="E27">
            <v>444.34</v>
          </cell>
          <cell r="F27">
            <v>268.234571428572</v>
          </cell>
          <cell r="G27">
            <v>161.535428571429</v>
          </cell>
        </row>
        <row r="27">
          <cell r="I27">
            <v>200.87</v>
          </cell>
          <cell r="J27">
            <v>26.29</v>
          </cell>
          <cell r="K27">
            <v>98.7349999999999</v>
          </cell>
          <cell r="L27">
            <v>32</v>
          </cell>
          <cell r="M27">
            <v>0</v>
          </cell>
          <cell r="N27">
            <v>31.25</v>
          </cell>
        </row>
        <row r="28">
          <cell r="A28" t="str">
            <v>饿了么</v>
          </cell>
          <cell r="B28" t="str">
            <v>文昌店</v>
          </cell>
        </row>
        <row r="28">
          <cell r="E28">
            <v>74.3</v>
          </cell>
          <cell r="F28">
            <v>59.92</v>
          </cell>
          <cell r="G28">
            <v>14.38</v>
          </cell>
        </row>
        <row r="28">
          <cell r="I28">
            <v>62.4</v>
          </cell>
          <cell r="J28">
            <v>4</v>
          </cell>
          <cell r="K28">
            <v>15.837</v>
          </cell>
          <cell r="L28">
            <v>7</v>
          </cell>
          <cell r="M28">
            <v>0</v>
          </cell>
          <cell r="N28">
            <v>8.14</v>
          </cell>
        </row>
        <row r="29">
          <cell r="A29" t="str">
            <v>饿了么</v>
          </cell>
          <cell r="B29" t="str">
            <v>五华店</v>
          </cell>
        </row>
        <row r="29">
          <cell r="E29">
            <v>594.81</v>
          </cell>
          <cell r="F29">
            <v>300.701357142857</v>
          </cell>
          <cell r="G29">
            <v>294.108642857143</v>
          </cell>
        </row>
        <row r="29">
          <cell r="I29">
            <v>134.5</v>
          </cell>
          <cell r="J29">
            <v>29.2</v>
          </cell>
          <cell r="K29">
            <v>107.784</v>
          </cell>
          <cell r="L29">
            <v>36</v>
          </cell>
          <cell r="M29">
            <v>0</v>
          </cell>
          <cell r="N29">
            <v>34.45</v>
          </cell>
        </row>
        <row r="30">
          <cell r="A30" t="str">
            <v>饿了么</v>
          </cell>
          <cell r="B30" t="str">
            <v>五路口店</v>
          </cell>
        </row>
        <row r="30">
          <cell r="E30">
            <v>482.99</v>
          </cell>
          <cell r="F30">
            <v>270.01</v>
          </cell>
          <cell r="G30">
            <v>212.98</v>
          </cell>
        </row>
        <row r="30">
          <cell r="I30">
            <v>159.3</v>
          </cell>
          <cell r="J30">
            <v>28.57</v>
          </cell>
          <cell r="K30">
            <v>103.4</v>
          </cell>
          <cell r="L30">
            <v>34</v>
          </cell>
          <cell r="M30">
            <v>0</v>
          </cell>
          <cell r="N30">
            <v>50.7600000000001</v>
          </cell>
        </row>
        <row r="31">
          <cell r="A31" t="str">
            <v>饿了么</v>
          </cell>
          <cell r="B31" t="str">
            <v>武侯店</v>
          </cell>
        </row>
        <row r="31">
          <cell r="E31">
            <v>521.59</v>
          </cell>
          <cell r="F31">
            <v>295.4756</v>
          </cell>
          <cell r="G31">
            <v>226.1144</v>
          </cell>
        </row>
        <row r="31">
          <cell r="I31">
            <v>161.3</v>
          </cell>
          <cell r="J31">
            <v>27.34</v>
          </cell>
          <cell r="K31">
            <v>148.482</v>
          </cell>
          <cell r="L31">
            <v>36</v>
          </cell>
          <cell r="M31">
            <v>0</v>
          </cell>
          <cell r="N31">
            <v>45.04</v>
          </cell>
        </row>
        <row r="32">
          <cell r="A32" t="str">
            <v>饿了么</v>
          </cell>
          <cell r="B32" t="str">
            <v>西湖店</v>
          </cell>
        </row>
        <row r="32">
          <cell r="E32">
            <v>1013.82</v>
          </cell>
          <cell r="F32">
            <v>660.467857142857</v>
          </cell>
          <cell r="G32">
            <v>353.352142857143</v>
          </cell>
        </row>
        <row r="32">
          <cell r="I32">
            <v>473</v>
          </cell>
          <cell r="J32">
            <v>44.93</v>
          </cell>
          <cell r="K32">
            <v>209.627</v>
          </cell>
          <cell r="L32">
            <v>58</v>
          </cell>
          <cell r="M32">
            <v>0</v>
          </cell>
          <cell r="N32">
            <v>95.7699999999999</v>
          </cell>
        </row>
        <row r="33">
          <cell r="A33" t="str">
            <v>饿了么</v>
          </cell>
          <cell r="B33" t="str">
            <v>西山店</v>
          </cell>
        </row>
        <row r="33">
          <cell r="E33">
            <v>279.65</v>
          </cell>
          <cell r="F33">
            <v>193.68</v>
          </cell>
          <cell r="G33">
            <v>85.97</v>
          </cell>
        </row>
        <row r="33">
          <cell r="I33">
            <v>34</v>
          </cell>
          <cell r="J33">
            <v>12.99</v>
          </cell>
          <cell r="K33">
            <v>30.106</v>
          </cell>
          <cell r="L33">
            <v>6</v>
          </cell>
          <cell r="M33">
            <v>0</v>
          </cell>
          <cell r="N33">
            <v>12.06</v>
          </cell>
        </row>
        <row r="34">
          <cell r="A34" t="str">
            <v>饿了么</v>
          </cell>
          <cell r="B34" t="str">
            <v>长沙店</v>
          </cell>
        </row>
        <row r="34">
          <cell r="E34">
            <v>1171.63</v>
          </cell>
          <cell r="F34">
            <v>860.035</v>
          </cell>
          <cell r="G34">
            <v>291.975</v>
          </cell>
        </row>
        <row r="34">
          <cell r="I34">
            <v>264.32</v>
          </cell>
          <cell r="J34">
            <v>58.67</v>
          </cell>
          <cell r="K34">
            <v>177.101</v>
          </cell>
          <cell r="L34">
            <v>42</v>
          </cell>
          <cell r="M34">
            <v>0</v>
          </cell>
          <cell r="N34">
            <v>81.9400000000004</v>
          </cell>
        </row>
        <row r="35">
          <cell r="A35" t="str">
            <v>饿了么</v>
          </cell>
          <cell r="B35" t="str">
            <v>首山店</v>
          </cell>
        </row>
        <row r="35">
          <cell r="E35">
            <v>703.88</v>
          </cell>
          <cell r="F35">
            <v>350.116666666667</v>
          </cell>
          <cell r="G35">
            <v>353.763333333333</v>
          </cell>
        </row>
        <row r="35">
          <cell r="I35">
            <v>206.9</v>
          </cell>
          <cell r="J35">
            <v>36.97</v>
          </cell>
          <cell r="K35">
            <v>232.726</v>
          </cell>
          <cell r="L35">
            <v>55</v>
          </cell>
          <cell r="M35">
            <v>0</v>
          </cell>
          <cell r="N35">
            <v>53.6500000000001</v>
          </cell>
        </row>
        <row r="36">
          <cell r="A36" t="str">
            <v>饿了么</v>
          </cell>
          <cell r="B36" t="str">
            <v>诚毅店</v>
          </cell>
        </row>
        <row r="36">
          <cell r="E36">
            <v>849.81</v>
          </cell>
          <cell r="F36">
            <v>490.165666666667</v>
          </cell>
          <cell r="G36">
            <v>359.644333333333</v>
          </cell>
        </row>
        <row r="36">
          <cell r="I36">
            <v>208.1</v>
          </cell>
          <cell r="J36">
            <v>43.09</v>
          </cell>
          <cell r="K36">
            <v>181.11</v>
          </cell>
          <cell r="L36">
            <v>39</v>
          </cell>
          <cell r="M36">
            <v>0</v>
          </cell>
          <cell r="N36">
            <v>64.9300000000001</v>
          </cell>
        </row>
        <row r="37">
          <cell r="A37" t="str">
            <v>饿了么</v>
          </cell>
          <cell r="B37" t="str">
            <v>首南店</v>
          </cell>
        </row>
        <row r="37">
          <cell r="E37">
            <v>1099.99</v>
          </cell>
          <cell r="F37">
            <v>638.932666666667</v>
          </cell>
          <cell r="G37">
            <v>461.057333333333</v>
          </cell>
        </row>
        <row r="37">
          <cell r="I37">
            <v>327.4</v>
          </cell>
          <cell r="J37">
            <v>59.72</v>
          </cell>
          <cell r="K37">
            <v>237.639</v>
          </cell>
          <cell r="L37">
            <v>68</v>
          </cell>
          <cell r="M37">
            <v>0</v>
          </cell>
          <cell r="N37">
            <v>79.0800000000002</v>
          </cell>
        </row>
        <row r="38">
          <cell r="A38" t="str">
            <v>饿了么</v>
          </cell>
          <cell r="B38" t="str">
            <v>余杭店</v>
          </cell>
        </row>
        <row r="38">
          <cell r="E38">
            <v>1392.51</v>
          </cell>
          <cell r="F38">
            <v>883.335571428571</v>
          </cell>
          <cell r="G38">
            <v>509.174428571429</v>
          </cell>
        </row>
        <row r="38">
          <cell r="I38">
            <v>499.4</v>
          </cell>
          <cell r="J38">
            <v>78.51</v>
          </cell>
          <cell r="K38">
            <v>411.953</v>
          </cell>
          <cell r="L38">
            <v>80</v>
          </cell>
          <cell r="M38">
            <v>0</v>
          </cell>
          <cell r="N38">
            <v>111.98</v>
          </cell>
        </row>
        <row r="39">
          <cell r="A39" t="str">
            <v>饿了么</v>
          </cell>
          <cell r="B39" t="str">
            <v>东海店</v>
          </cell>
        </row>
        <row r="39">
          <cell r="E39">
            <v>390</v>
          </cell>
          <cell r="F39">
            <v>182.253333333333</v>
          </cell>
          <cell r="G39">
            <v>207.746666666667</v>
          </cell>
        </row>
        <row r="39">
          <cell r="I39">
            <v>75.9</v>
          </cell>
          <cell r="J39">
            <v>18.69</v>
          </cell>
          <cell r="K39">
            <v>60.942</v>
          </cell>
          <cell r="L39">
            <v>24</v>
          </cell>
          <cell r="M39">
            <v>0</v>
          </cell>
          <cell r="N39">
            <v>32.22</v>
          </cell>
        </row>
        <row r="40">
          <cell r="A40" t="str">
            <v>饿了么</v>
          </cell>
          <cell r="B40" t="str">
            <v>文灶店</v>
          </cell>
        </row>
        <row r="40">
          <cell r="E40">
            <v>135.97</v>
          </cell>
          <cell r="F40">
            <v>100.179</v>
          </cell>
          <cell r="G40">
            <v>35.791</v>
          </cell>
        </row>
        <row r="40">
          <cell r="I40">
            <v>41.2000000000001</v>
          </cell>
          <cell r="J40">
            <v>7.08</v>
          </cell>
          <cell r="K40">
            <v>0</v>
          </cell>
          <cell r="L40">
            <v>6</v>
          </cell>
          <cell r="M40">
            <v>0</v>
          </cell>
          <cell r="N40">
            <v>6.4</v>
          </cell>
        </row>
        <row r="41">
          <cell r="A41" t="str">
            <v>饿了么</v>
          </cell>
          <cell r="B41" t="str">
            <v>滨江店</v>
          </cell>
        </row>
        <row r="41">
          <cell r="E41">
            <v>887.69</v>
          </cell>
          <cell r="F41">
            <v>600.936</v>
          </cell>
          <cell r="G41">
            <v>286.754</v>
          </cell>
        </row>
        <row r="41">
          <cell r="I41">
            <v>410</v>
          </cell>
          <cell r="J41">
            <v>39.48</v>
          </cell>
          <cell r="K41">
            <v>158.061</v>
          </cell>
          <cell r="L41">
            <v>49</v>
          </cell>
          <cell r="M41">
            <v>0</v>
          </cell>
          <cell r="N41">
            <v>81.8700000000001</v>
          </cell>
        </row>
        <row r="42">
          <cell r="A42" t="str">
            <v>饿了么</v>
          </cell>
          <cell r="B42" t="str">
            <v>下沙店</v>
          </cell>
        </row>
        <row r="42">
          <cell r="E42">
            <v>430.07</v>
          </cell>
          <cell r="F42">
            <v>281.06</v>
          </cell>
          <cell r="G42">
            <v>149.01</v>
          </cell>
        </row>
        <row r="42">
          <cell r="I42">
            <v>145.2</v>
          </cell>
          <cell r="J42">
            <v>23.35</v>
          </cell>
          <cell r="K42">
            <v>63.961</v>
          </cell>
          <cell r="L42">
            <v>29</v>
          </cell>
          <cell r="M42">
            <v>0</v>
          </cell>
          <cell r="N42">
            <v>48.32</v>
          </cell>
        </row>
        <row r="43">
          <cell r="A43" t="str">
            <v>饿了么</v>
          </cell>
          <cell r="B43" t="str">
            <v>泉秀店</v>
          </cell>
        </row>
        <row r="43">
          <cell r="E43">
            <v>312.82</v>
          </cell>
          <cell r="F43">
            <v>152.249</v>
          </cell>
          <cell r="G43">
            <v>160.571</v>
          </cell>
        </row>
        <row r="43">
          <cell r="I43">
            <v>57.7</v>
          </cell>
          <cell r="J43">
            <v>14.86</v>
          </cell>
          <cell r="K43">
            <v>52.713</v>
          </cell>
          <cell r="L43">
            <v>18</v>
          </cell>
          <cell r="M43">
            <v>0</v>
          </cell>
          <cell r="N43">
            <v>23.64</v>
          </cell>
        </row>
        <row r="44">
          <cell r="A44" t="str">
            <v>京东</v>
          </cell>
          <cell r="B44" t="str">
            <v>大坪店</v>
          </cell>
        </row>
        <row r="44">
          <cell r="E44">
            <v>22.9</v>
          </cell>
          <cell r="F44">
            <v>5.6</v>
          </cell>
          <cell r="G44">
            <v>17.3</v>
          </cell>
        </row>
        <row r="44">
          <cell r="I44">
            <v>1.8</v>
          </cell>
          <cell r="J44">
            <v>1.3</v>
          </cell>
          <cell r="K44">
            <v>1.368</v>
          </cell>
          <cell r="L44">
            <v>1</v>
          </cell>
          <cell r="M44">
            <v>0</v>
          </cell>
          <cell r="N44">
            <v>0</v>
          </cell>
        </row>
        <row r="45">
          <cell r="A45" t="str">
            <v>京东</v>
          </cell>
          <cell r="B45" t="str">
            <v>凤城二路店</v>
          </cell>
        </row>
        <row r="45">
          <cell r="E45">
            <v>31.45</v>
          </cell>
          <cell r="F45">
            <v>9</v>
          </cell>
          <cell r="G45">
            <v>22.45</v>
          </cell>
        </row>
        <row r="45">
          <cell r="I45">
            <v>1.8</v>
          </cell>
          <cell r="J45">
            <v>1.75</v>
          </cell>
          <cell r="K45">
            <v>0.178</v>
          </cell>
          <cell r="L45">
            <v>1</v>
          </cell>
          <cell r="M45">
            <v>0</v>
          </cell>
          <cell r="N45">
            <v>0</v>
          </cell>
        </row>
        <row r="46">
          <cell r="A46" t="str">
            <v>京东</v>
          </cell>
          <cell r="B46" t="str">
            <v>观桥店</v>
          </cell>
        </row>
        <row r="46">
          <cell r="E46">
            <v>64.7</v>
          </cell>
          <cell r="F46">
            <v>37.8</v>
          </cell>
          <cell r="G46">
            <v>26.9</v>
          </cell>
        </row>
        <row r="46">
          <cell r="I46">
            <v>1.8</v>
          </cell>
          <cell r="J46">
            <v>3.5</v>
          </cell>
          <cell r="K46">
            <v>0.562</v>
          </cell>
          <cell r="L46">
            <v>1</v>
          </cell>
          <cell r="M46">
            <v>0</v>
          </cell>
          <cell r="N46">
            <v>0</v>
          </cell>
        </row>
        <row r="47">
          <cell r="A47" t="str">
            <v>京东</v>
          </cell>
          <cell r="B47" t="str">
            <v>湖里店</v>
          </cell>
        </row>
        <row r="47">
          <cell r="E47">
            <v>261.45</v>
          </cell>
          <cell r="F47">
            <v>166</v>
          </cell>
          <cell r="G47">
            <v>95.45</v>
          </cell>
        </row>
        <row r="47">
          <cell r="I47">
            <v>3.6</v>
          </cell>
          <cell r="J47">
            <v>13.95</v>
          </cell>
          <cell r="K47">
            <v>6.991</v>
          </cell>
          <cell r="L47">
            <v>2</v>
          </cell>
          <cell r="M47">
            <v>0</v>
          </cell>
          <cell r="N47">
            <v>0</v>
          </cell>
        </row>
        <row r="48">
          <cell r="A48" t="str">
            <v>京东</v>
          </cell>
          <cell r="B48" t="str">
            <v>青羊店</v>
          </cell>
        </row>
        <row r="48">
          <cell r="E48">
            <v>340</v>
          </cell>
          <cell r="F48">
            <v>221</v>
          </cell>
          <cell r="G48">
            <v>119</v>
          </cell>
        </row>
        <row r="48">
          <cell r="I48">
            <v>2</v>
          </cell>
          <cell r="J48">
            <v>18</v>
          </cell>
          <cell r="K48">
            <v>9.056</v>
          </cell>
          <cell r="L48">
            <v>1</v>
          </cell>
          <cell r="M48">
            <v>0</v>
          </cell>
          <cell r="N48">
            <v>0</v>
          </cell>
        </row>
        <row r="49">
          <cell r="A49" t="str">
            <v>京东</v>
          </cell>
          <cell r="B49" t="str">
            <v>首南店</v>
          </cell>
        </row>
        <row r="49">
          <cell r="E49">
            <v>39.05</v>
          </cell>
          <cell r="F49">
            <v>12.72</v>
          </cell>
          <cell r="G49">
            <v>26.33</v>
          </cell>
        </row>
        <row r="49">
          <cell r="I49">
            <v>1.8</v>
          </cell>
          <cell r="J49">
            <v>2.15</v>
          </cell>
          <cell r="K49">
            <v>14.415</v>
          </cell>
          <cell r="L49">
            <v>1</v>
          </cell>
          <cell r="M49">
            <v>0</v>
          </cell>
          <cell r="N49">
            <v>0</v>
          </cell>
        </row>
        <row r="50">
          <cell r="A50" t="str">
            <v>京东</v>
          </cell>
          <cell r="B50" t="str">
            <v>余杭店</v>
          </cell>
        </row>
        <row r="50">
          <cell r="E50">
            <v>15.3</v>
          </cell>
          <cell r="F50">
            <v>5.22</v>
          </cell>
          <cell r="G50">
            <v>10.08</v>
          </cell>
        </row>
        <row r="50">
          <cell r="I50">
            <v>1.8</v>
          </cell>
          <cell r="J50">
            <v>0.9</v>
          </cell>
          <cell r="K50">
            <v>1.87</v>
          </cell>
          <cell r="L50">
            <v>1</v>
          </cell>
          <cell r="M50">
            <v>0</v>
          </cell>
          <cell r="N50">
            <v>0</v>
          </cell>
        </row>
        <row r="51">
          <cell r="A51" t="str">
            <v>美团</v>
          </cell>
          <cell r="B51" t="str">
            <v>百捷店</v>
          </cell>
        </row>
        <row r="51">
          <cell r="E51">
            <v>1164.61313786432</v>
          </cell>
          <cell r="F51">
            <v>712.662916666667</v>
          </cell>
          <cell r="G51">
            <v>451.950221197655</v>
          </cell>
        </row>
        <row r="51">
          <cell r="I51">
            <v>417.206862135678</v>
          </cell>
          <cell r="J51">
            <v>119.2</v>
          </cell>
          <cell r="K51">
            <v>215.803</v>
          </cell>
          <cell r="L51">
            <v>62</v>
          </cell>
          <cell r="M51">
            <v>142.63</v>
          </cell>
          <cell r="N51">
            <v>0</v>
          </cell>
        </row>
        <row r="52">
          <cell r="A52" t="str">
            <v>美团</v>
          </cell>
          <cell r="B52" t="str">
            <v>百丈店</v>
          </cell>
        </row>
        <row r="52">
          <cell r="E52">
            <v>1433.6919387301</v>
          </cell>
          <cell r="F52">
            <v>1029.11366666667</v>
          </cell>
          <cell r="G52">
            <v>388.768272063433</v>
          </cell>
        </row>
        <row r="52">
          <cell r="I52">
            <v>494.608061269901</v>
          </cell>
          <cell r="J52">
            <v>139.09</v>
          </cell>
          <cell r="K52">
            <v>248.03</v>
          </cell>
          <cell r="L52">
            <v>69</v>
          </cell>
          <cell r="M52">
            <v>146.18</v>
          </cell>
          <cell r="N52">
            <v>0</v>
          </cell>
        </row>
        <row r="53">
          <cell r="A53" t="str">
            <v>美团</v>
          </cell>
          <cell r="B53" t="str">
            <v>成华店</v>
          </cell>
        </row>
        <row r="53">
          <cell r="E53">
            <v>816.007787023741</v>
          </cell>
          <cell r="F53">
            <v>569.025333333333</v>
          </cell>
          <cell r="G53">
            <v>246.982453690407</v>
          </cell>
        </row>
        <row r="53">
          <cell r="I53">
            <v>356.71221297626</v>
          </cell>
          <cell r="J53">
            <v>87.35</v>
          </cell>
          <cell r="K53">
            <v>144.225</v>
          </cell>
          <cell r="L53">
            <v>57</v>
          </cell>
          <cell r="M53">
            <v>67.23</v>
          </cell>
          <cell r="N53">
            <v>0</v>
          </cell>
        </row>
        <row r="54">
          <cell r="A54" t="str">
            <v>美团</v>
          </cell>
          <cell r="B54" t="str">
            <v>大坪店</v>
          </cell>
        </row>
        <row r="54">
          <cell r="E54">
            <v>1232.72053196331</v>
          </cell>
          <cell r="F54">
            <v>894.587166666667</v>
          </cell>
          <cell r="G54">
            <v>338.133365296643</v>
          </cell>
        </row>
        <row r="54">
          <cell r="I54">
            <v>382.84946803669</v>
          </cell>
          <cell r="J54">
            <v>121.67</v>
          </cell>
          <cell r="K54">
            <v>129.226</v>
          </cell>
          <cell r="L54">
            <v>49</v>
          </cell>
          <cell r="M54">
            <v>97.3500000000001</v>
          </cell>
          <cell r="N54">
            <v>0</v>
          </cell>
        </row>
        <row r="55">
          <cell r="A55" t="str">
            <v>美团</v>
          </cell>
          <cell r="B55" t="str">
            <v>东新店</v>
          </cell>
        </row>
        <row r="55">
          <cell r="E55">
            <v>2019.22200311187</v>
          </cell>
          <cell r="F55">
            <v>1286.2275</v>
          </cell>
          <cell r="G55">
            <v>676.704503111874</v>
          </cell>
        </row>
        <row r="55">
          <cell r="I55">
            <v>712.847996888126</v>
          </cell>
          <cell r="J55">
            <v>201.64</v>
          </cell>
          <cell r="K55">
            <v>329.211</v>
          </cell>
          <cell r="L55">
            <v>96</v>
          </cell>
          <cell r="M55">
            <v>87.4300000000001</v>
          </cell>
          <cell r="N55">
            <v>0</v>
          </cell>
        </row>
        <row r="56">
          <cell r="A56" t="str">
            <v>美团</v>
          </cell>
          <cell r="B56" t="str">
            <v>凤城二路店</v>
          </cell>
        </row>
        <row r="56">
          <cell r="E56">
            <v>1873.64675760169</v>
          </cell>
          <cell r="F56">
            <v>1331.682</v>
          </cell>
          <cell r="G56">
            <v>541.964757601689</v>
          </cell>
        </row>
        <row r="56">
          <cell r="I56">
            <v>619.283242398311</v>
          </cell>
          <cell r="J56">
            <v>187.81</v>
          </cell>
          <cell r="K56">
            <v>342.06</v>
          </cell>
          <cell r="L56">
            <v>87</v>
          </cell>
          <cell r="M56">
            <v>124.92</v>
          </cell>
          <cell r="N56">
            <v>0</v>
          </cell>
        </row>
        <row r="57">
          <cell r="A57" t="str">
            <v>美团</v>
          </cell>
          <cell r="B57" t="str">
            <v>高新店</v>
          </cell>
        </row>
        <row r="57">
          <cell r="E57">
            <v>1685.50181364577</v>
          </cell>
          <cell r="F57">
            <v>1269.97533333333</v>
          </cell>
          <cell r="G57">
            <v>415.52648031244</v>
          </cell>
        </row>
        <row r="57">
          <cell r="I57">
            <v>333.198186354227</v>
          </cell>
          <cell r="J57">
            <v>152.08</v>
          </cell>
          <cell r="K57">
            <v>146.07</v>
          </cell>
          <cell r="L57">
            <v>51</v>
          </cell>
          <cell r="M57">
            <v>49.0499999999999</v>
          </cell>
          <cell r="N57">
            <v>0</v>
          </cell>
        </row>
        <row r="58">
          <cell r="A58" t="str">
            <v>美团</v>
          </cell>
          <cell r="B58" t="str">
            <v>鼓楼店</v>
          </cell>
        </row>
        <row r="58">
          <cell r="E58">
            <v>2652.16384478627</v>
          </cell>
          <cell r="F58">
            <v>1952.93433333333</v>
          </cell>
          <cell r="G58">
            <v>699.229511452939</v>
          </cell>
        </row>
        <row r="58">
          <cell r="I58">
            <v>511.326155213727</v>
          </cell>
          <cell r="J58">
            <v>232.81</v>
          </cell>
          <cell r="K58">
            <v>342.156</v>
          </cell>
          <cell r="L58">
            <v>78</v>
          </cell>
          <cell r="M58">
            <v>200.000000000001</v>
          </cell>
          <cell r="N58">
            <v>0</v>
          </cell>
        </row>
        <row r="59">
          <cell r="A59" t="str">
            <v>美团</v>
          </cell>
          <cell r="B59" t="str">
            <v>观桥店</v>
          </cell>
        </row>
        <row r="59">
          <cell r="E59">
            <v>1294.08483196995</v>
          </cell>
          <cell r="F59">
            <v>791.76</v>
          </cell>
          <cell r="G59">
            <v>502.324831969954</v>
          </cell>
        </row>
        <row r="59">
          <cell r="I59">
            <v>311.705168030046</v>
          </cell>
          <cell r="J59">
            <v>117.05</v>
          </cell>
          <cell r="K59">
            <v>205.341</v>
          </cell>
          <cell r="L59">
            <v>54</v>
          </cell>
          <cell r="M59">
            <v>145.040000000001</v>
          </cell>
          <cell r="N59">
            <v>0</v>
          </cell>
        </row>
        <row r="60">
          <cell r="A60" t="str">
            <v>美团</v>
          </cell>
          <cell r="B60" t="str">
            <v>观音桥店</v>
          </cell>
        </row>
        <row r="60">
          <cell r="E60">
            <v>1623.58158694802</v>
          </cell>
          <cell r="F60">
            <v>1168.23833333333</v>
          </cell>
          <cell r="G60">
            <v>444.443253614688</v>
          </cell>
        </row>
        <row r="60">
          <cell r="I60">
            <v>504.178413051978</v>
          </cell>
          <cell r="J60">
            <v>159.57</v>
          </cell>
          <cell r="K60">
            <v>154.018</v>
          </cell>
          <cell r="L60">
            <v>71</v>
          </cell>
          <cell r="M60">
            <v>116.54</v>
          </cell>
          <cell r="N60">
            <v>0</v>
          </cell>
        </row>
        <row r="61">
          <cell r="A61" t="str">
            <v>美团</v>
          </cell>
          <cell r="B61" t="str">
            <v>官渡店</v>
          </cell>
        </row>
        <row r="61">
          <cell r="E61">
            <v>2316.37788803418</v>
          </cell>
          <cell r="F61">
            <v>1516.438</v>
          </cell>
          <cell r="G61">
            <v>799.939888034184</v>
          </cell>
        </row>
        <row r="61">
          <cell r="I61">
            <v>407.532111965816</v>
          </cell>
          <cell r="J61">
            <v>205.18</v>
          </cell>
          <cell r="K61">
            <v>196.03</v>
          </cell>
          <cell r="L61">
            <v>66</v>
          </cell>
          <cell r="M61">
            <v>106.41</v>
          </cell>
          <cell r="N61">
            <v>0</v>
          </cell>
        </row>
        <row r="62">
          <cell r="A62" t="str">
            <v>美团</v>
          </cell>
          <cell r="B62" t="str">
            <v>海口店</v>
          </cell>
        </row>
        <row r="62">
          <cell r="E62">
            <v>2785.45510871591</v>
          </cell>
          <cell r="F62">
            <v>1973.17333333333</v>
          </cell>
          <cell r="G62">
            <v>812.281775382572</v>
          </cell>
        </row>
        <row r="62">
          <cell r="I62">
            <v>832.914891284095</v>
          </cell>
          <cell r="J62">
            <v>269.97</v>
          </cell>
          <cell r="K62">
            <v>584.398</v>
          </cell>
          <cell r="L62">
            <v>122</v>
          </cell>
          <cell r="M62">
            <v>222.149999999999</v>
          </cell>
          <cell r="N62">
            <v>0</v>
          </cell>
        </row>
        <row r="63">
          <cell r="A63" t="str">
            <v>美团</v>
          </cell>
          <cell r="B63" t="str">
            <v>湖里店</v>
          </cell>
        </row>
        <row r="63">
          <cell r="E63">
            <v>1083.96635128984</v>
          </cell>
          <cell r="F63">
            <v>689.373</v>
          </cell>
          <cell r="G63">
            <v>394.59335128984</v>
          </cell>
        </row>
        <row r="63">
          <cell r="I63">
            <v>293.85364871016</v>
          </cell>
          <cell r="J63">
            <v>100.07</v>
          </cell>
          <cell r="K63">
            <v>244.195</v>
          </cell>
          <cell r="L63">
            <v>51</v>
          </cell>
          <cell r="M63">
            <v>142.12</v>
          </cell>
          <cell r="N63">
            <v>0</v>
          </cell>
        </row>
        <row r="64">
          <cell r="A64" t="str">
            <v>美团</v>
          </cell>
          <cell r="B64" t="str">
            <v>华信店</v>
          </cell>
        </row>
        <row r="64">
          <cell r="E64">
            <v>1938.2308907156</v>
          </cell>
          <cell r="F64">
            <v>1258.94333333333</v>
          </cell>
          <cell r="G64">
            <v>679.287557382263</v>
          </cell>
        </row>
        <row r="64">
          <cell r="I64">
            <v>420.689109284404</v>
          </cell>
          <cell r="J64">
            <v>177.52</v>
          </cell>
          <cell r="K64">
            <v>0</v>
          </cell>
          <cell r="L64">
            <v>78</v>
          </cell>
          <cell r="M64">
            <v>160</v>
          </cell>
          <cell r="N64">
            <v>0</v>
          </cell>
        </row>
        <row r="65">
          <cell r="A65" t="str">
            <v>美团</v>
          </cell>
          <cell r="B65" t="str">
            <v>黄雁村店</v>
          </cell>
        </row>
        <row r="65">
          <cell r="E65">
            <v>2179.21503525719</v>
          </cell>
          <cell r="F65">
            <v>1460.97583333333</v>
          </cell>
          <cell r="G65">
            <v>718.239201923855</v>
          </cell>
        </row>
        <row r="65">
          <cell r="I65">
            <v>474.204964742812</v>
          </cell>
          <cell r="J65">
            <v>171.64</v>
          </cell>
          <cell r="K65">
            <v>275.376</v>
          </cell>
          <cell r="L65">
            <v>72</v>
          </cell>
          <cell r="M65">
            <v>124.98</v>
          </cell>
          <cell r="N65">
            <v>0</v>
          </cell>
        </row>
        <row r="66">
          <cell r="A66" t="str">
            <v>美团</v>
          </cell>
          <cell r="B66" t="str">
            <v>济南店</v>
          </cell>
        </row>
        <row r="66">
          <cell r="E66">
            <v>1876.2577850198</v>
          </cell>
          <cell r="F66">
            <v>1152.75541666667</v>
          </cell>
          <cell r="G66">
            <v>723.50236835313</v>
          </cell>
        </row>
        <row r="66">
          <cell r="I66">
            <v>447.952214980203</v>
          </cell>
          <cell r="J66">
            <v>175.04</v>
          </cell>
          <cell r="K66">
            <v>243.966</v>
          </cell>
          <cell r="L66">
            <v>59</v>
          </cell>
          <cell r="M66">
            <v>121.25</v>
          </cell>
          <cell r="N66">
            <v>0</v>
          </cell>
        </row>
        <row r="67">
          <cell r="A67" t="str">
            <v>美团</v>
          </cell>
          <cell r="B67" t="str">
            <v>金牛店</v>
          </cell>
        </row>
        <row r="67">
          <cell r="E67">
            <v>782.502129785239</v>
          </cell>
          <cell r="F67">
            <v>520.832916666667</v>
          </cell>
          <cell r="G67">
            <v>261.669213118572</v>
          </cell>
        </row>
        <row r="67">
          <cell r="I67">
            <v>245.367870214762</v>
          </cell>
          <cell r="J67">
            <v>77.45</v>
          </cell>
          <cell r="K67">
            <v>105.056</v>
          </cell>
          <cell r="L67">
            <v>43</v>
          </cell>
          <cell r="M67">
            <v>35.43</v>
          </cell>
          <cell r="N67">
            <v>0</v>
          </cell>
        </row>
        <row r="68">
          <cell r="A68" t="str">
            <v>美团</v>
          </cell>
          <cell r="B68" t="str">
            <v>洛江店</v>
          </cell>
        </row>
        <row r="68">
          <cell r="E68">
            <v>915.875269151402</v>
          </cell>
          <cell r="F68">
            <v>667.731666666667</v>
          </cell>
          <cell r="G68">
            <v>248.143602484736</v>
          </cell>
        </row>
        <row r="68">
          <cell r="I68">
            <v>230.474730848598</v>
          </cell>
          <cell r="J68">
            <v>86.37</v>
          </cell>
          <cell r="K68">
            <v>155.006</v>
          </cell>
          <cell r="L68">
            <v>35</v>
          </cell>
          <cell r="M68">
            <v>80.0399999999998</v>
          </cell>
          <cell r="N68">
            <v>0</v>
          </cell>
        </row>
        <row r="69">
          <cell r="A69" t="str">
            <v>美团</v>
          </cell>
          <cell r="B69" t="str">
            <v>南安店</v>
          </cell>
        </row>
        <row r="69">
          <cell r="E69">
            <v>614.07090153469</v>
          </cell>
          <cell r="F69">
            <v>286.625</v>
          </cell>
          <cell r="G69">
            <v>238.45590153469</v>
          </cell>
        </row>
        <row r="69">
          <cell r="I69">
            <v>32.9290984653103</v>
          </cell>
          <cell r="J69">
            <v>59.56</v>
          </cell>
          <cell r="K69">
            <v>69.196</v>
          </cell>
          <cell r="L69">
            <v>22</v>
          </cell>
          <cell r="M69">
            <v>20.69</v>
          </cell>
          <cell r="N69">
            <v>0</v>
          </cell>
        </row>
        <row r="70">
          <cell r="A70" t="str">
            <v>美团</v>
          </cell>
          <cell r="B70" t="str">
            <v>启点店</v>
          </cell>
        </row>
        <row r="70">
          <cell r="E70">
            <v>538.6985594024</v>
          </cell>
          <cell r="F70">
            <v>440.585</v>
          </cell>
          <cell r="G70">
            <v>98.1135594023997</v>
          </cell>
        </row>
        <row r="70">
          <cell r="I70">
            <v>264.7814405976</v>
          </cell>
          <cell r="J70">
            <v>60.57</v>
          </cell>
          <cell r="K70">
            <v>136.92</v>
          </cell>
          <cell r="L70">
            <v>33</v>
          </cell>
          <cell r="M70">
            <v>102.41</v>
          </cell>
          <cell r="N70">
            <v>0</v>
          </cell>
        </row>
        <row r="71">
          <cell r="A71" t="str">
            <v>美团</v>
          </cell>
          <cell r="B71" t="str">
            <v>青羊店</v>
          </cell>
        </row>
        <row r="71">
          <cell r="E71">
            <v>2164.08728785497</v>
          </cell>
          <cell r="F71">
            <v>1731.81458333333</v>
          </cell>
          <cell r="G71">
            <v>432.272704521638</v>
          </cell>
        </row>
        <row r="71">
          <cell r="I71">
            <v>238.302712145029</v>
          </cell>
          <cell r="J71">
            <v>165.79</v>
          </cell>
          <cell r="K71">
            <v>112.139</v>
          </cell>
          <cell r="L71">
            <v>38</v>
          </cell>
          <cell r="M71">
            <v>71.2599999999999</v>
          </cell>
          <cell r="N71">
            <v>0</v>
          </cell>
        </row>
        <row r="72">
          <cell r="A72" t="str">
            <v>美团</v>
          </cell>
          <cell r="B72" t="str">
            <v>沙坪坝店</v>
          </cell>
        </row>
        <row r="72">
          <cell r="E72">
            <v>593.655004470954</v>
          </cell>
          <cell r="F72">
            <v>414.464666666667</v>
          </cell>
          <cell r="G72">
            <v>179.190337804287</v>
          </cell>
        </row>
        <row r="72">
          <cell r="I72">
            <v>298.484995529046</v>
          </cell>
          <cell r="J72">
            <v>67.23</v>
          </cell>
          <cell r="K72">
            <v>163.271</v>
          </cell>
          <cell r="L72">
            <v>40</v>
          </cell>
          <cell r="M72">
            <v>109.61</v>
          </cell>
          <cell r="N72">
            <v>0</v>
          </cell>
        </row>
        <row r="73">
          <cell r="A73" t="str">
            <v>美团</v>
          </cell>
          <cell r="B73" t="str">
            <v>文昌店</v>
          </cell>
        </row>
        <row r="73">
          <cell r="E73">
            <v>738.796142100516</v>
          </cell>
          <cell r="F73">
            <v>487.351</v>
          </cell>
          <cell r="G73">
            <v>251.445142100516</v>
          </cell>
        </row>
        <row r="73">
          <cell r="I73">
            <v>195.463857899484</v>
          </cell>
          <cell r="J73">
            <v>67.97</v>
          </cell>
          <cell r="K73">
            <v>96.614</v>
          </cell>
          <cell r="L73">
            <v>36</v>
          </cell>
          <cell r="M73">
            <v>120.54</v>
          </cell>
          <cell r="N73">
            <v>0</v>
          </cell>
        </row>
        <row r="74">
          <cell r="A74" t="str">
            <v>美团</v>
          </cell>
          <cell r="B74" t="str">
            <v>五华店</v>
          </cell>
        </row>
        <row r="74">
          <cell r="E74">
            <v>1233.93788803418</v>
          </cell>
          <cell r="F74">
            <v>746.825583333333</v>
          </cell>
          <cell r="G74">
            <v>487.11230470085</v>
          </cell>
        </row>
        <row r="74">
          <cell r="I74">
            <v>369.532111965816</v>
          </cell>
          <cell r="J74">
            <v>120.91</v>
          </cell>
          <cell r="K74">
            <v>161.558</v>
          </cell>
          <cell r="L74">
            <v>63</v>
          </cell>
          <cell r="M74">
            <v>155.36</v>
          </cell>
          <cell r="N74">
            <v>0</v>
          </cell>
        </row>
        <row r="75">
          <cell r="A75" t="str">
            <v>美团</v>
          </cell>
          <cell r="B75" t="str">
            <v>五路口店</v>
          </cell>
        </row>
        <row r="75">
          <cell r="E75">
            <v>1362.22417408494</v>
          </cell>
          <cell r="F75">
            <v>913.098333333333</v>
          </cell>
          <cell r="G75">
            <v>449.125840751605</v>
          </cell>
        </row>
        <row r="75">
          <cell r="I75">
            <v>390.015825915062</v>
          </cell>
          <cell r="J75">
            <v>132.03</v>
          </cell>
          <cell r="K75">
            <v>180.411</v>
          </cell>
          <cell r="L75">
            <v>64</v>
          </cell>
          <cell r="M75">
            <v>138.98</v>
          </cell>
          <cell r="N75">
            <v>0</v>
          </cell>
        </row>
        <row r="76">
          <cell r="A76" t="str">
            <v>美团</v>
          </cell>
          <cell r="B76" t="str">
            <v>武侯店</v>
          </cell>
        </row>
        <row r="76">
          <cell r="E76">
            <v>1681.73810316321</v>
          </cell>
          <cell r="F76">
            <v>1346.37708333333</v>
          </cell>
          <cell r="G76">
            <v>335.361019829873</v>
          </cell>
        </row>
        <row r="76">
          <cell r="I76">
            <v>321.081896836794</v>
          </cell>
          <cell r="J76">
            <v>150.85</v>
          </cell>
          <cell r="K76">
            <v>165.307</v>
          </cell>
          <cell r="L76">
            <v>49</v>
          </cell>
          <cell r="M76">
            <v>36.37</v>
          </cell>
          <cell r="N76">
            <v>0</v>
          </cell>
        </row>
        <row r="77">
          <cell r="A77" t="str">
            <v>美团</v>
          </cell>
          <cell r="B77" t="str">
            <v>西湖店</v>
          </cell>
        </row>
        <row r="77">
          <cell r="E77">
            <v>1374.73327499045</v>
          </cell>
          <cell r="F77">
            <v>887.153333333333</v>
          </cell>
          <cell r="G77">
            <v>473.299941657121</v>
          </cell>
        </row>
        <row r="77">
          <cell r="I77">
            <v>496.816725009546</v>
          </cell>
          <cell r="J77">
            <v>135.15</v>
          </cell>
          <cell r="K77">
            <v>248.323</v>
          </cell>
          <cell r="L77">
            <v>66</v>
          </cell>
          <cell r="M77">
            <v>141</v>
          </cell>
          <cell r="N77">
            <v>0</v>
          </cell>
        </row>
        <row r="78">
          <cell r="A78" t="str">
            <v>美团</v>
          </cell>
          <cell r="B78" t="str">
            <v>西山店</v>
          </cell>
        </row>
        <row r="78">
          <cell r="E78">
            <v>1135.16916878307</v>
          </cell>
          <cell r="F78">
            <v>762.98</v>
          </cell>
          <cell r="G78">
            <v>372.189168783066</v>
          </cell>
        </row>
        <row r="78">
          <cell r="I78">
            <v>243.200831216934</v>
          </cell>
          <cell r="J78">
            <v>103.86</v>
          </cell>
          <cell r="K78">
            <v>116.62</v>
          </cell>
          <cell r="L78">
            <v>40</v>
          </cell>
          <cell r="M78">
            <v>62.4199999999999</v>
          </cell>
          <cell r="N78">
            <v>0</v>
          </cell>
        </row>
        <row r="79">
          <cell r="A79" t="str">
            <v>美团</v>
          </cell>
          <cell r="B79" t="str">
            <v>长沙店</v>
          </cell>
        </row>
        <row r="79">
          <cell r="E79">
            <v>1859.51609388952</v>
          </cell>
          <cell r="F79">
            <v>1304.37416666667</v>
          </cell>
          <cell r="G79">
            <v>555.14192722286</v>
          </cell>
        </row>
        <row r="79">
          <cell r="I79">
            <v>390.333906110474</v>
          </cell>
          <cell r="J79">
            <v>169.49</v>
          </cell>
          <cell r="K79">
            <v>233.055</v>
          </cell>
          <cell r="L79">
            <v>54</v>
          </cell>
          <cell r="M79">
            <v>84.4</v>
          </cell>
          <cell r="N79">
            <v>0</v>
          </cell>
        </row>
        <row r="80">
          <cell r="A80" t="str">
            <v>美团</v>
          </cell>
          <cell r="B80" t="str">
            <v>首山店</v>
          </cell>
        </row>
        <row r="80">
          <cell r="E80">
            <v>2078.30268584002</v>
          </cell>
          <cell r="F80">
            <v>1353.93583333333</v>
          </cell>
          <cell r="G80">
            <v>724.366852506687</v>
          </cell>
        </row>
        <row r="80">
          <cell r="I80">
            <v>408.58731415998</v>
          </cell>
          <cell r="J80">
            <v>179.39</v>
          </cell>
          <cell r="K80">
            <v>262.335</v>
          </cell>
          <cell r="L80">
            <v>66</v>
          </cell>
          <cell r="M80">
            <v>55.6899999999999</v>
          </cell>
          <cell r="N80">
            <v>0</v>
          </cell>
        </row>
        <row r="81">
          <cell r="A81" t="str">
            <v>美团</v>
          </cell>
          <cell r="B81" t="str">
            <v>诚毅店</v>
          </cell>
        </row>
        <row r="81">
          <cell r="E81">
            <v>912.84909422724</v>
          </cell>
          <cell r="F81">
            <v>482.1455</v>
          </cell>
          <cell r="G81">
            <v>430.703594227239</v>
          </cell>
        </row>
        <row r="81">
          <cell r="I81">
            <v>359.19090577276</v>
          </cell>
          <cell r="J81">
            <v>89.6</v>
          </cell>
          <cell r="K81">
            <v>302.037</v>
          </cell>
          <cell r="L81">
            <v>63</v>
          </cell>
          <cell r="M81">
            <v>167.13</v>
          </cell>
          <cell r="N81">
            <v>0</v>
          </cell>
        </row>
        <row r="82">
          <cell r="A82" t="str">
            <v>美团</v>
          </cell>
          <cell r="B82" t="str">
            <v>首南店</v>
          </cell>
        </row>
        <row r="82">
          <cell r="E82">
            <v>2000.54278356202</v>
          </cell>
          <cell r="F82">
            <v>1292.84007142857</v>
          </cell>
          <cell r="G82">
            <v>707.702712133453</v>
          </cell>
        </row>
        <row r="82">
          <cell r="I82">
            <v>624.427216437975</v>
          </cell>
          <cell r="J82">
            <v>191.97</v>
          </cell>
          <cell r="K82">
            <v>364.911</v>
          </cell>
          <cell r="L82">
            <v>79</v>
          </cell>
          <cell r="M82">
            <v>145.310000000001</v>
          </cell>
          <cell r="N82">
            <v>0</v>
          </cell>
        </row>
        <row r="83">
          <cell r="A83" t="str">
            <v>美团</v>
          </cell>
          <cell r="B83" t="str">
            <v>余杭店</v>
          </cell>
        </row>
        <row r="83">
          <cell r="E83">
            <v>1356.1921382732</v>
          </cell>
          <cell r="F83">
            <v>911.9225</v>
          </cell>
          <cell r="G83">
            <v>444.269638273196</v>
          </cell>
        </row>
        <row r="83">
          <cell r="I83">
            <v>425.197861726805</v>
          </cell>
          <cell r="J83">
            <v>130.15</v>
          </cell>
          <cell r="K83">
            <v>225.802</v>
          </cell>
          <cell r="L83">
            <v>54</v>
          </cell>
          <cell r="M83">
            <v>145</v>
          </cell>
          <cell r="N83">
            <v>0</v>
          </cell>
        </row>
        <row r="84">
          <cell r="A84" t="str">
            <v>美团</v>
          </cell>
          <cell r="B84" t="str">
            <v>东海店</v>
          </cell>
        </row>
        <row r="84">
          <cell r="E84">
            <v>509.928301973172</v>
          </cell>
          <cell r="F84">
            <v>327.303833333333</v>
          </cell>
          <cell r="G84">
            <v>182.624468639839</v>
          </cell>
        </row>
        <row r="84">
          <cell r="I84">
            <v>181.691698026828</v>
          </cell>
          <cell r="J84">
            <v>50.11</v>
          </cell>
          <cell r="K84">
            <v>78.847</v>
          </cell>
          <cell r="L84">
            <v>27</v>
          </cell>
          <cell r="M84">
            <v>55.59</v>
          </cell>
          <cell r="N84">
            <v>0</v>
          </cell>
        </row>
        <row r="85">
          <cell r="A85" t="str">
            <v>美团</v>
          </cell>
          <cell r="B85" t="str">
            <v>文灶店</v>
          </cell>
        </row>
        <row r="85">
          <cell r="E85">
            <v>371.377616423985</v>
          </cell>
          <cell r="F85">
            <v>237.205</v>
          </cell>
          <cell r="G85">
            <v>134.172616423985</v>
          </cell>
        </row>
        <row r="85">
          <cell r="I85">
            <v>99.5023835760152</v>
          </cell>
          <cell r="J85">
            <v>34.21</v>
          </cell>
          <cell r="K85">
            <v>0</v>
          </cell>
          <cell r="L85">
            <v>18</v>
          </cell>
          <cell r="M85">
            <v>38.2699999999999</v>
          </cell>
          <cell r="N85">
            <v>0</v>
          </cell>
        </row>
        <row r="86">
          <cell r="A86" t="str">
            <v>美团</v>
          </cell>
          <cell r="B86" t="str">
            <v>滨江店</v>
          </cell>
        </row>
        <row r="86">
          <cell r="E86">
            <v>1125.69327499045</v>
          </cell>
          <cell r="F86">
            <v>640.839583333334</v>
          </cell>
          <cell r="G86">
            <v>379.233691657121</v>
          </cell>
        </row>
        <row r="86">
          <cell r="I86">
            <v>499.456725009546</v>
          </cell>
          <cell r="J86">
            <v>109.86</v>
          </cell>
          <cell r="K86">
            <v>302.062</v>
          </cell>
          <cell r="L86">
            <v>66</v>
          </cell>
          <cell r="M86">
            <v>171.97</v>
          </cell>
          <cell r="N86">
            <v>0</v>
          </cell>
        </row>
        <row r="87">
          <cell r="A87" t="str">
            <v>美团</v>
          </cell>
          <cell r="B87" t="str">
            <v>槐荫店</v>
          </cell>
        </row>
        <row r="87">
          <cell r="E87">
            <v>897.531615188798</v>
          </cell>
          <cell r="F87">
            <v>651.9275</v>
          </cell>
          <cell r="G87">
            <v>245.604115188797</v>
          </cell>
        </row>
        <row r="87">
          <cell r="I87">
            <v>304.598384811203</v>
          </cell>
          <cell r="J87">
            <v>84.4</v>
          </cell>
          <cell r="K87">
            <v>181.692</v>
          </cell>
          <cell r="L87">
            <v>50</v>
          </cell>
          <cell r="M87">
            <v>135</v>
          </cell>
          <cell r="N87">
            <v>0</v>
          </cell>
        </row>
        <row r="88">
          <cell r="A88" t="str">
            <v>美团</v>
          </cell>
          <cell r="B88" t="str">
            <v>下沙店</v>
          </cell>
        </row>
        <row r="88">
          <cell r="E88">
            <v>1277.0521382732</v>
          </cell>
          <cell r="F88">
            <v>889.253333333334</v>
          </cell>
          <cell r="G88">
            <v>387.798804939862</v>
          </cell>
        </row>
        <row r="88">
          <cell r="I88">
            <v>404.897861726805</v>
          </cell>
          <cell r="J88">
            <v>122.59</v>
          </cell>
          <cell r="K88">
            <v>152.662</v>
          </cell>
          <cell r="L88">
            <v>54</v>
          </cell>
          <cell r="M88">
            <v>200.000000000001</v>
          </cell>
          <cell r="N88">
            <v>0</v>
          </cell>
        </row>
        <row r="89">
          <cell r="A89" t="str">
            <v>美团</v>
          </cell>
          <cell r="B89" t="str">
            <v>泉秀店</v>
          </cell>
        </row>
        <row r="89">
          <cell r="E89">
            <v>409.738735233426</v>
          </cell>
          <cell r="F89">
            <v>232.568333333333</v>
          </cell>
          <cell r="G89">
            <v>177.170401900092</v>
          </cell>
        </row>
        <row r="89">
          <cell r="I89">
            <v>158.251264766575</v>
          </cell>
          <cell r="J89">
            <v>42.9</v>
          </cell>
          <cell r="K89">
            <v>106.732</v>
          </cell>
          <cell r="L89">
            <v>27</v>
          </cell>
          <cell r="M89">
            <v>151.32</v>
          </cell>
          <cell r="N89">
            <v>0</v>
          </cell>
        </row>
        <row r="90">
          <cell r="A90" t="str">
            <v>总计</v>
          </cell>
        </row>
        <row r="90">
          <cell r="E90">
            <v>81521.0996739086</v>
          </cell>
          <cell r="F90">
            <v>53322.9277474359</v>
          </cell>
          <cell r="G90">
            <v>27708.7319264727</v>
          </cell>
        </row>
        <row r="90">
          <cell r="I90">
            <v>22347.9003260914</v>
          </cell>
          <cell r="J90">
            <v>6552.69</v>
          </cell>
          <cell r="K90">
            <v>13083.694</v>
          </cell>
          <cell r="L90">
            <v>3648</v>
          </cell>
          <cell r="M90">
            <v>4477.07</v>
          </cell>
          <cell r="N90">
            <v>2015.66</v>
          </cell>
        </row>
        <row r="117">
          <cell r="E117" t="str">
            <v>省份</v>
          </cell>
          <cell r="F117" t="str">
            <v>所在城市</v>
          </cell>
          <cell r="G117" t="str">
            <v>求和项:实收金额</v>
          </cell>
        </row>
        <row r="117">
          <cell r="I117" t="str">
            <v>求和项:招商利润
（不含推广/房租人工）</v>
          </cell>
          <cell r="J117" t="str">
            <v>求和项:补贴支出</v>
          </cell>
          <cell r="K117" t="str">
            <v>求和项:日报运费</v>
          </cell>
          <cell r="L117" t="str">
            <v>求和项:平台/支付服务费</v>
          </cell>
          <cell r="M117" t="str">
            <v>求和项:订单距离</v>
          </cell>
          <cell r="N117" t="str">
            <v>非重复计数项:日报订单号</v>
          </cell>
        </row>
        <row r="118">
          <cell r="E118" t="str">
            <v>福建</v>
          </cell>
          <cell r="F118" t="str">
            <v>泉州</v>
          </cell>
          <cell r="G118">
            <v>1025.05</v>
          </cell>
        </row>
        <row r="118">
          <cell r="I118">
            <v>449.854833333334</v>
          </cell>
          <cell r="J118">
            <v>686.15</v>
          </cell>
          <cell r="K118">
            <v>272.14</v>
          </cell>
          <cell r="L118">
            <v>52.24</v>
          </cell>
          <cell r="M118">
            <v>242.253</v>
          </cell>
          <cell r="N118">
            <v>61</v>
          </cell>
        </row>
        <row r="119">
          <cell r="E119" t="str">
            <v>浙江</v>
          </cell>
          <cell r="F119" t="str">
            <v>宁波</v>
          </cell>
          <cell r="G119">
            <v>836.36</v>
          </cell>
        </row>
        <row r="119">
          <cell r="I119">
            <v>262.921666666667</v>
          </cell>
          <cell r="J119">
            <v>440.3</v>
          </cell>
          <cell r="K119">
            <v>126.7</v>
          </cell>
          <cell r="L119">
            <v>40.14</v>
          </cell>
          <cell r="M119">
            <v>92.398</v>
          </cell>
          <cell r="N119">
            <v>25</v>
          </cell>
        </row>
        <row r="120">
          <cell r="E120" t="str">
            <v>四川</v>
          </cell>
          <cell r="F120" t="str">
            <v>成都</v>
          </cell>
          <cell r="G120">
            <v>282.97</v>
          </cell>
        </row>
        <row r="120">
          <cell r="I120">
            <v>141.077571428571</v>
          </cell>
          <cell r="J120">
            <v>265.26</v>
          </cell>
          <cell r="K120">
            <v>77.9</v>
          </cell>
          <cell r="L120">
            <v>14.43</v>
          </cell>
          <cell r="M120">
            <v>61.787</v>
          </cell>
          <cell r="N120">
            <v>18</v>
          </cell>
        </row>
        <row r="121">
          <cell r="E121" t="str">
            <v>重庆</v>
          </cell>
          <cell r="F121" t="str">
            <v>重庆</v>
          </cell>
          <cell r="G121">
            <v>508.97</v>
          </cell>
        </row>
        <row r="121">
          <cell r="I121">
            <v>165.815666666667</v>
          </cell>
          <cell r="J121">
            <v>453.85</v>
          </cell>
          <cell r="K121">
            <v>189.79</v>
          </cell>
          <cell r="L121">
            <v>35.84</v>
          </cell>
          <cell r="M121">
            <v>89.929</v>
          </cell>
          <cell r="N121">
            <v>29</v>
          </cell>
        </row>
        <row r="122">
          <cell r="E122" t="str">
            <v>浙江</v>
          </cell>
          <cell r="F122" t="str">
            <v>杭州</v>
          </cell>
          <cell r="G122">
            <v>921.77</v>
          </cell>
        </row>
        <row r="122">
          <cell r="I122">
            <v>389.848935897436</v>
          </cell>
          <cell r="J122">
            <v>799.81</v>
          </cell>
          <cell r="K122">
            <v>327.4</v>
          </cell>
          <cell r="L122">
            <v>54.83</v>
          </cell>
          <cell r="M122">
            <v>183.37</v>
          </cell>
          <cell r="N122">
            <v>59</v>
          </cell>
        </row>
        <row r="123">
          <cell r="E123" t="str">
            <v>陕西</v>
          </cell>
          <cell r="F123" t="str">
            <v>西安</v>
          </cell>
          <cell r="G123">
            <v>970.2</v>
          </cell>
        </row>
        <row r="123">
          <cell r="I123">
            <v>369.406095238095</v>
          </cell>
          <cell r="J123">
            <v>863.91</v>
          </cell>
          <cell r="K123">
            <v>339.9</v>
          </cell>
          <cell r="L123">
            <v>70.64</v>
          </cell>
          <cell r="M123">
            <v>248.882</v>
          </cell>
          <cell r="N123">
            <v>58</v>
          </cell>
        </row>
        <row r="124">
          <cell r="E124" t="str">
            <v>四川</v>
          </cell>
          <cell r="F124" t="str">
            <v>成都</v>
          </cell>
          <cell r="G124">
            <v>1034.19</v>
          </cell>
        </row>
        <row r="124">
          <cell r="I124">
            <v>389.083333333333</v>
          </cell>
          <cell r="J124">
            <v>611.11</v>
          </cell>
          <cell r="K124">
            <v>203.8</v>
          </cell>
          <cell r="L124">
            <v>49.92</v>
          </cell>
          <cell r="M124">
            <v>183.592</v>
          </cell>
          <cell r="N124">
            <v>42</v>
          </cell>
        </row>
        <row r="125">
          <cell r="E125" t="str">
            <v>福建</v>
          </cell>
          <cell r="F125" t="str">
            <v>福州</v>
          </cell>
          <cell r="G125">
            <v>2272.45</v>
          </cell>
        </row>
        <row r="125">
          <cell r="I125">
            <v>729.60775</v>
          </cell>
          <cell r="J125">
            <v>990.19</v>
          </cell>
          <cell r="K125">
            <v>317.8</v>
          </cell>
          <cell r="L125">
            <v>113.79</v>
          </cell>
          <cell r="M125">
            <v>282.811</v>
          </cell>
          <cell r="N125">
            <v>66</v>
          </cell>
        </row>
        <row r="126">
          <cell r="E126" t="str">
            <v>福建</v>
          </cell>
          <cell r="F126" t="str">
            <v>莆田</v>
          </cell>
          <cell r="G126">
            <v>495.68</v>
          </cell>
        </row>
        <row r="126">
          <cell r="I126">
            <v>196.96625</v>
          </cell>
          <cell r="J126">
            <v>351.72</v>
          </cell>
          <cell r="K126">
            <v>128.42</v>
          </cell>
          <cell r="L126">
            <v>33.64</v>
          </cell>
          <cell r="M126">
            <v>95.036</v>
          </cell>
          <cell r="N126">
            <v>27</v>
          </cell>
        </row>
        <row r="127">
          <cell r="E127" t="str">
            <v>重庆</v>
          </cell>
          <cell r="F127" t="str">
            <v>重庆</v>
          </cell>
          <cell r="G127">
            <v>637.14</v>
          </cell>
        </row>
        <row r="127">
          <cell r="I127">
            <v>201.352833333333</v>
          </cell>
          <cell r="J127">
            <v>510.06</v>
          </cell>
          <cell r="K127">
            <v>262.79</v>
          </cell>
          <cell r="L127">
            <v>36.57</v>
          </cell>
          <cell r="M127">
            <v>127.467</v>
          </cell>
          <cell r="N127">
            <v>42</v>
          </cell>
        </row>
        <row r="128">
          <cell r="E128" t="str">
            <v>云南</v>
          </cell>
          <cell r="F128" t="str">
            <v>昆明</v>
          </cell>
          <cell r="G128">
            <v>406.88</v>
          </cell>
        </row>
        <row r="128">
          <cell r="I128">
            <v>203.650833333333</v>
          </cell>
          <cell r="J128">
            <v>327.68</v>
          </cell>
          <cell r="K128">
            <v>125.5</v>
          </cell>
          <cell r="L128">
            <v>22.16</v>
          </cell>
          <cell r="M128">
            <v>108.491</v>
          </cell>
          <cell r="N128">
            <v>30</v>
          </cell>
        </row>
        <row r="129">
          <cell r="E129" t="str">
            <v>海南</v>
          </cell>
          <cell r="F129" t="str">
            <v>海口</v>
          </cell>
          <cell r="G129">
            <v>230.38</v>
          </cell>
        </row>
        <row r="129">
          <cell r="I129">
            <v>110.22</v>
          </cell>
          <cell r="J129">
            <v>231.33</v>
          </cell>
          <cell r="K129">
            <v>80</v>
          </cell>
          <cell r="L129">
            <v>17.65</v>
          </cell>
          <cell r="M129">
            <v>54.484</v>
          </cell>
          <cell r="N129">
            <v>15</v>
          </cell>
        </row>
        <row r="130">
          <cell r="E130" t="str">
            <v>福建</v>
          </cell>
          <cell r="F130" t="str">
            <v>厦门</v>
          </cell>
          <cell r="G130">
            <v>1606.07</v>
          </cell>
        </row>
        <row r="130">
          <cell r="I130">
            <v>590.891</v>
          </cell>
          <cell r="J130">
            <v>940.18</v>
          </cell>
          <cell r="K130">
            <v>419.7</v>
          </cell>
          <cell r="L130">
            <v>81.18</v>
          </cell>
          <cell r="M130">
            <v>299.586</v>
          </cell>
          <cell r="N130">
            <v>77</v>
          </cell>
        </row>
        <row r="131">
          <cell r="E131" t="str">
            <v>山东</v>
          </cell>
          <cell r="F131" t="str">
            <v>济南</v>
          </cell>
          <cell r="G131">
            <v>25.82</v>
          </cell>
        </row>
        <row r="131">
          <cell r="I131">
            <v>5.89</v>
          </cell>
          <cell r="J131">
            <v>20.49</v>
          </cell>
          <cell r="K131">
            <v>13.8</v>
          </cell>
          <cell r="L131">
            <v>1.59</v>
          </cell>
          <cell r="M131">
            <v>6.952</v>
          </cell>
          <cell r="N131">
            <v>3</v>
          </cell>
        </row>
        <row r="132">
          <cell r="E132" t="str">
            <v>陕西</v>
          </cell>
          <cell r="F132" t="str">
            <v>西安</v>
          </cell>
          <cell r="G132">
            <v>944.51</v>
          </cell>
        </row>
        <row r="132">
          <cell r="I132">
            <v>444.969166666667</v>
          </cell>
          <cell r="J132">
            <v>779.15</v>
          </cell>
          <cell r="K132">
            <v>342.3</v>
          </cell>
          <cell r="L132">
            <v>54.62</v>
          </cell>
          <cell r="M132">
            <v>222.071</v>
          </cell>
          <cell r="N132">
            <v>74</v>
          </cell>
        </row>
        <row r="133">
          <cell r="E133" t="str">
            <v>山东</v>
          </cell>
          <cell r="F133" t="str">
            <v>济南</v>
          </cell>
          <cell r="G133">
            <v>1568.33</v>
          </cell>
        </row>
        <row r="133">
          <cell r="I133">
            <v>542.107595238095</v>
          </cell>
          <cell r="J133">
            <v>949.22</v>
          </cell>
          <cell r="K133">
            <v>348</v>
          </cell>
          <cell r="L133">
            <v>91.32</v>
          </cell>
          <cell r="M133">
            <v>249.36</v>
          </cell>
          <cell r="N133">
            <v>68</v>
          </cell>
        </row>
        <row r="134">
          <cell r="E134" t="str">
            <v>四川</v>
          </cell>
          <cell r="F134" t="str">
            <v>成都</v>
          </cell>
          <cell r="G134">
            <v>263.06</v>
          </cell>
        </row>
        <row r="134">
          <cell r="I134">
            <v>129.37</v>
          </cell>
          <cell r="J134">
            <v>288.15</v>
          </cell>
          <cell r="K134">
            <v>106.4</v>
          </cell>
          <cell r="L134">
            <v>16.9</v>
          </cell>
          <cell r="M134">
            <v>78.047</v>
          </cell>
          <cell r="N134">
            <v>21</v>
          </cell>
        </row>
        <row r="135">
          <cell r="E135" t="str">
            <v>福建</v>
          </cell>
          <cell r="F135" t="str">
            <v>泉州</v>
          </cell>
          <cell r="G135">
            <v>363.53</v>
          </cell>
        </row>
        <row r="135">
          <cell r="I135">
            <v>176.565</v>
          </cell>
          <cell r="J135">
            <v>348.13</v>
          </cell>
          <cell r="K135">
            <v>101.3</v>
          </cell>
          <cell r="L135">
            <v>18.59</v>
          </cell>
          <cell r="M135">
            <v>121.181</v>
          </cell>
          <cell r="N135">
            <v>28</v>
          </cell>
        </row>
        <row r="136">
          <cell r="E136" t="str">
            <v>福建</v>
          </cell>
          <cell r="F136" t="str">
            <v>泉州</v>
          </cell>
          <cell r="G136">
            <v>503.36</v>
          </cell>
        </row>
        <row r="136">
          <cell r="I136">
            <v>225.69</v>
          </cell>
          <cell r="J136">
            <v>73</v>
          </cell>
          <cell r="K136">
            <v>56.32</v>
          </cell>
          <cell r="L136">
            <v>37.54</v>
          </cell>
          <cell r="M136">
            <v>37.92</v>
          </cell>
          <cell r="N136">
            <v>9</v>
          </cell>
        </row>
        <row r="137">
          <cell r="E137" t="str">
            <v>浙江</v>
          </cell>
          <cell r="F137" t="str">
            <v>宁波</v>
          </cell>
          <cell r="G137">
            <v>848.87</v>
          </cell>
        </row>
        <row r="137">
          <cell r="I137">
            <v>323.904666666667</v>
          </cell>
          <cell r="J137">
            <v>554.98</v>
          </cell>
          <cell r="K137">
            <v>208</v>
          </cell>
          <cell r="L137">
            <v>46.66</v>
          </cell>
          <cell r="M137">
            <v>186.365</v>
          </cell>
          <cell r="N137">
            <v>36</v>
          </cell>
        </row>
        <row r="138">
          <cell r="E138" t="str">
            <v>四川</v>
          </cell>
          <cell r="F138" t="str">
            <v>成都</v>
          </cell>
          <cell r="G138">
            <v>305.84</v>
          </cell>
        </row>
        <row r="138">
          <cell r="I138">
            <v>149.061666666667</v>
          </cell>
          <cell r="J138">
            <v>248.76</v>
          </cell>
          <cell r="K138">
            <v>120.2</v>
          </cell>
          <cell r="L138">
            <v>17.05</v>
          </cell>
          <cell r="M138">
            <v>66.434</v>
          </cell>
          <cell r="N138">
            <v>24</v>
          </cell>
        </row>
        <row r="139">
          <cell r="E139" t="str">
            <v>重庆</v>
          </cell>
          <cell r="F139" t="str">
            <v>重庆</v>
          </cell>
          <cell r="G139">
            <v>444.34</v>
          </cell>
        </row>
        <row r="139">
          <cell r="I139">
            <v>161.535428571429</v>
          </cell>
          <cell r="J139">
            <v>417.05</v>
          </cell>
          <cell r="K139">
            <v>200.87</v>
          </cell>
          <cell r="L139">
            <v>26.29</v>
          </cell>
          <cell r="M139">
            <v>98.7349999999999</v>
          </cell>
          <cell r="N139">
            <v>32</v>
          </cell>
        </row>
        <row r="140">
          <cell r="E140" t="str">
            <v>福建</v>
          </cell>
          <cell r="F140" t="str">
            <v>漳州</v>
          </cell>
          <cell r="G140">
            <v>74.3</v>
          </cell>
        </row>
        <row r="140">
          <cell r="I140">
            <v>14.38</v>
          </cell>
          <cell r="J140">
            <v>109.88</v>
          </cell>
          <cell r="K140">
            <v>62.4</v>
          </cell>
          <cell r="L140">
            <v>4</v>
          </cell>
          <cell r="M140">
            <v>15.837</v>
          </cell>
          <cell r="N140">
            <v>7</v>
          </cell>
        </row>
        <row r="141">
          <cell r="E141" t="str">
            <v>云南</v>
          </cell>
          <cell r="F141" t="str">
            <v>昆明</v>
          </cell>
          <cell r="G141">
            <v>594.81</v>
          </cell>
        </row>
        <row r="141">
          <cell r="I141">
            <v>294.108642857143</v>
          </cell>
          <cell r="J141">
            <v>386</v>
          </cell>
          <cell r="K141">
            <v>134.5</v>
          </cell>
          <cell r="L141">
            <v>29.2</v>
          </cell>
          <cell r="M141">
            <v>107.784</v>
          </cell>
          <cell r="N141">
            <v>36</v>
          </cell>
        </row>
        <row r="142">
          <cell r="E142" t="str">
            <v>陕西</v>
          </cell>
          <cell r="F142" t="str">
            <v>西安</v>
          </cell>
          <cell r="G142">
            <v>482.99</v>
          </cell>
        </row>
        <row r="142">
          <cell r="I142">
            <v>212.98</v>
          </cell>
          <cell r="J142">
            <v>409.11</v>
          </cell>
          <cell r="K142">
            <v>159.3</v>
          </cell>
          <cell r="L142">
            <v>28.57</v>
          </cell>
          <cell r="M142">
            <v>103.4</v>
          </cell>
          <cell r="N142">
            <v>34</v>
          </cell>
        </row>
        <row r="143">
          <cell r="E143" t="str">
            <v>四川</v>
          </cell>
          <cell r="F143" t="str">
            <v>成都</v>
          </cell>
          <cell r="G143">
            <v>521.59</v>
          </cell>
        </row>
        <row r="143">
          <cell r="I143">
            <v>226.1144</v>
          </cell>
          <cell r="J143">
            <v>426.55</v>
          </cell>
          <cell r="K143">
            <v>161.3</v>
          </cell>
          <cell r="L143">
            <v>27.34</v>
          </cell>
          <cell r="M143">
            <v>148.482</v>
          </cell>
          <cell r="N143">
            <v>36</v>
          </cell>
        </row>
        <row r="144">
          <cell r="E144" t="str">
            <v>浙江</v>
          </cell>
          <cell r="F144" t="str">
            <v>杭州</v>
          </cell>
          <cell r="G144">
            <v>1013.82</v>
          </cell>
        </row>
        <row r="144">
          <cell r="I144">
            <v>353.352142857143</v>
          </cell>
          <cell r="J144">
            <v>874.33</v>
          </cell>
          <cell r="K144">
            <v>473</v>
          </cell>
          <cell r="L144">
            <v>44.93</v>
          </cell>
          <cell r="M144">
            <v>209.627</v>
          </cell>
          <cell r="N144">
            <v>58</v>
          </cell>
        </row>
        <row r="145">
          <cell r="E145" t="str">
            <v>云南</v>
          </cell>
          <cell r="F145" t="str">
            <v>昆明</v>
          </cell>
          <cell r="G145">
            <v>279.65</v>
          </cell>
        </row>
        <row r="145">
          <cell r="I145">
            <v>85.97</v>
          </cell>
          <cell r="J145">
            <v>120.82</v>
          </cell>
          <cell r="K145">
            <v>34</v>
          </cell>
          <cell r="L145">
            <v>12.99</v>
          </cell>
          <cell r="M145">
            <v>30.106</v>
          </cell>
          <cell r="N145">
            <v>6</v>
          </cell>
        </row>
        <row r="146">
          <cell r="E146" t="str">
            <v>湖南</v>
          </cell>
          <cell r="F146" t="str">
            <v>长沙</v>
          </cell>
          <cell r="G146">
            <v>1171.63</v>
          </cell>
        </row>
        <row r="146">
          <cell r="I146">
            <v>291.975</v>
          </cell>
          <cell r="J146">
            <v>718.97</v>
          </cell>
          <cell r="K146">
            <v>264.32</v>
          </cell>
          <cell r="L146">
            <v>58.67</v>
          </cell>
          <cell r="M146">
            <v>177.101</v>
          </cell>
          <cell r="N146">
            <v>42</v>
          </cell>
        </row>
        <row r="147">
          <cell r="E147" t="str">
            <v>福建</v>
          </cell>
          <cell r="F147" t="str">
            <v>福州</v>
          </cell>
          <cell r="G147">
            <v>703.88</v>
          </cell>
        </row>
        <row r="147">
          <cell r="I147">
            <v>353.763333333333</v>
          </cell>
          <cell r="J147">
            <v>641.76</v>
          </cell>
          <cell r="K147">
            <v>206.9</v>
          </cell>
          <cell r="L147">
            <v>36.97</v>
          </cell>
          <cell r="M147">
            <v>232.726</v>
          </cell>
          <cell r="N147">
            <v>55</v>
          </cell>
        </row>
        <row r="148">
          <cell r="E148" t="str">
            <v>福建</v>
          </cell>
          <cell r="F148" t="str">
            <v>厦门</v>
          </cell>
          <cell r="G148">
            <v>849.81</v>
          </cell>
        </row>
        <row r="148">
          <cell r="I148">
            <v>359.644333333333</v>
          </cell>
          <cell r="J148">
            <v>503.58</v>
          </cell>
          <cell r="K148">
            <v>208.1</v>
          </cell>
          <cell r="L148">
            <v>43.09</v>
          </cell>
          <cell r="M148">
            <v>181.11</v>
          </cell>
          <cell r="N148">
            <v>39</v>
          </cell>
        </row>
        <row r="149">
          <cell r="E149" t="str">
            <v>浙江</v>
          </cell>
          <cell r="F149" t="str">
            <v>宁波</v>
          </cell>
          <cell r="G149">
            <v>1099.99</v>
          </cell>
        </row>
        <row r="149">
          <cell r="I149">
            <v>461.057333333333</v>
          </cell>
          <cell r="J149">
            <v>858.720000000001</v>
          </cell>
          <cell r="K149">
            <v>327.4</v>
          </cell>
          <cell r="L149">
            <v>59.72</v>
          </cell>
          <cell r="M149">
            <v>237.639</v>
          </cell>
          <cell r="N149">
            <v>68</v>
          </cell>
        </row>
        <row r="150">
          <cell r="E150" t="str">
            <v>浙江</v>
          </cell>
          <cell r="F150" t="str">
            <v>余杭</v>
          </cell>
          <cell r="G150">
            <v>1392.51</v>
          </cell>
        </row>
        <row r="150">
          <cell r="I150">
            <v>509.174428571429</v>
          </cell>
          <cell r="J150">
            <v>1130.53</v>
          </cell>
          <cell r="K150">
            <v>499.4</v>
          </cell>
          <cell r="L150">
            <v>78.51</v>
          </cell>
          <cell r="M150">
            <v>411.953</v>
          </cell>
          <cell r="N150">
            <v>80</v>
          </cell>
        </row>
        <row r="151">
          <cell r="E151" t="str">
            <v>福建</v>
          </cell>
          <cell r="F151" t="str">
            <v>泉州</v>
          </cell>
          <cell r="G151">
            <v>390</v>
          </cell>
        </row>
        <row r="151">
          <cell r="I151">
            <v>207.746666666667</v>
          </cell>
          <cell r="J151">
            <v>279.87</v>
          </cell>
          <cell r="K151">
            <v>75.9</v>
          </cell>
          <cell r="L151">
            <v>18.69</v>
          </cell>
          <cell r="M151">
            <v>60.942</v>
          </cell>
          <cell r="N151">
            <v>24</v>
          </cell>
        </row>
        <row r="152">
          <cell r="E152" t="str">
            <v>福建</v>
          </cell>
          <cell r="F152" t="str">
            <v>厦门</v>
          </cell>
          <cell r="G152">
            <v>135.97</v>
          </cell>
        </row>
        <row r="152">
          <cell r="I152">
            <v>35.791</v>
          </cell>
          <cell r="J152">
            <v>81.91</v>
          </cell>
          <cell r="K152">
            <v>41.2000000000001</v>
          </cell>
          <cell r="L152">
            <v>7.08</v>
          </cell>
          <cell r="M152">
            <v>0</v>
          </cell>
          <cell r="N152">
            <v>6</v>
          </cell>
        </row>
        <row r="153">
          <cell r="E153" t="str">
            <v>浙江</v>
          </cell>
          <cell r="F153" t="str">
            <v>杭州</v>
          </cell>
          <cell r="G153">
            <v>887.69</v>
          </cell>
        </row>
        <row r="153">
          <cell r="I153">
            <v>286.754</v>
          </cell>
          <cell r="J153">
            <v>700.04</v>
          </cell>
          <cell r="K153">
            <v>410</v>
          </cell>
          <cell r="L153">
            <v>39.48</v>
          </cell>
          <cell r="M153">
            <v>158.061</v>
          </cell>
          <cell r="N153">
            <v>49</v>
          </cell>
        </row>
        <row r="154">
          <cell r="E154" t="str">
            <v>浙江</v>
          </cell>
          <cell r="F154" t="str">
            <v>杭州</v>
          </cell>
          <cell r="G154">
            <v>430.07</v>
          </cell>
        </row>
        <row r="154">
          <cell r="I154">
            <v>149.01</v>
          </cell>
          <cell r="J154">
            <v>356.23</v>
          </cell>
          <cell r="K154">
            <v>145.2</v>
          </cell>
          <cell r="L154">
            <v>23.35</v>
          </cell>
          <cell r="M154">
            <v>63.961</v>
          </cell>
          <cell r="N154">
            <v>29</v>
          </cell>
        </row>
        <row r="155">
          <cell r="E155" t="str">
            <v>福建</v>
          </cell>
          <cell r="F155" t="str">
            <v>泉州</v>
          </cell>
          <cell r="G155">
            <v>312.82</v>
          </cell>
        </row>
        <row r="155">
          <cell r="I155">
            <v>160.571</v>
          </cell>
          <cell r="J155">
            <v>229.12</v>
          </cell>
          <cell r="K155">
            <v>57.7</v>
          </cell>
          <cell r="L155">
            <v>14.86</v>
          </cell>
          <cell r="M155">
            <v>52.713</v>
          </cell>
          <cell r="N155">
            <v>18</v>
          </cell>
        </row>
        <row r="156">
          <cell r="E156" t="str">
            <v>重庆</v>
          </cell>
          <cell r="F156" t="str">
            <v>重庆</v>
          </cell>
          <cell r="G156">
            <v>22.9</v>
          </cell>
        </row>
        <row r="156">
          <cell r="I156">
            <v>17.3</v>
          </cell>
          <cell r="J156">
            <v>0</v>
          </cell>
          <cell r="K156">
            <v>1.8</v>
          </cell>
          <cell r="L156">
            <v>1.3</v>
          </cell>
          <cell r="M156">
            <v>1.368</v>
          </cell>
          <cell r="N156">
            <v>1</v>
          </cell>
        </row>
        <row r="157">
          <cell r="E157" t="str">
            <v>陕西</v>
          </cell>
          <cell r="F157" t="str">
            <v>西安</v>
          </cell>
          <cell r="G157">
            <v>31.45</v>
          </cell>
        </row>
        <row r="157">
          <cell r="I157">
            <v>22.45</v>
          </cell>
          <cell r="J157">
            <v>5</v>
          </cell>
          <cell r="K157">
            <v>1.8</v>
          </cell>
          <cell r="L157">
            <v>1.75</v>
          </cell>
          <cell r="M157">
            <v>0.178</v>
          </cell>
          <cell r="N157">
            <v>1</v>
          </cell>
        </row>
        <row r="158">
          <cell r="E158" t="str">
            <v>福建</v>
          </cell>
          <cell r="F158" t="str">
            <v>莆田</v>
          </cell>
          <cell r="G158">
            <v>64.7</v>
          </cell>
        </row>
        <row r="158">
          <cell r="I158">
            <v>26.9</v>
          </cell>
          <cell r="J158">
            <v>5</v>
          </cell>
          <cell r="K158">
            <v>1.8</v>
          </cell>
          <cell r="L158">
            <v>3.5</v>
          </cell>
          <cell r="M158">
            <v>0.562</v>
          </cell>
          <cell r="N158">
            <v>1</v>
          </cell>
        </row>
        <row r="159">
          <cell r="E159" t="str">
            <v>福建</v>
          </cell>
          <cell r="F159" t="str">
            <v>厦门</v>
          </cell>
          <cell r="G159">
            <v>261.45</v>
          </cell>
        </row>
        <row r="159">
          <cell r="I159">
            <v>95.45</v>
          </cell>
          <cell r="J159">
            <v>0</v>
          </cell>
          <cell r="K159">
            <v>3.6</v>
          </cell>
          <cell r="L159">
            <v>13.95</v>
          </cell>
          <cell r="M159">
            <v>6.991</v>
          </cell>
          <cell r="N159">
            <v>2</v>
          </cell>
        </row>
        <row r="160">
          <cell r="E160" t="str">
            <v>四川</v>
          </cell>
          <cell r="F160" t="str">
            <v>成都</v>
          </cell>
          <cell r="G160">
            <v>340</v>
          </cell>
        </row>
        <row r="160">
          <cell r="I160">
            <v>119</v>
          </cell>
          <cell r="J160">
            <v>5</v>
          </cell>
          <cell r="K160">
            <v>2</v>
          </cell>
          <cell r="L160">
            <v>18</v>
          </cell>
          <cell r="M160">
            <v>9.056</v>
          </cell>
          <cell r="N160">
            <v>1</v>
          </cell>
        </row>
        <row r="161">
          <cell r="E161" t="str">
            <v>浙江</v>
          </cell>
          <cell r="F161" t="str">
            <v>宁波</v>
          </cell>
          <cell r="G161">
            <v>39.05</v>
          </cell>
        </row>
        <row r="161">
          <cell r="I161">
            <v>26.33</v>
          </cell>
          <cell r="J161">
            <v>3.00000000000001</v>
          </cell>
          <cell r="K161">
            <v>1.8</v>
          </cell>
          <cell r="L161">
            <v>2.15</v>
          </cell>
          <cell r="M161">
            <v>14.415</v>
          </cell>
          <cell r="N161">
            <v>1</v>
          </cell>
        </row>
        <row r="162">
          <cell r="E162" t="str">
            <v>浙江</v>
          </cell>
          <cell r="F162" t="str">
            <v>余杭</v>
          </cell>
          <cell r="G162">
            <v>15.3</v>
          </cell>
        </row>
        <row r="162">
          <cell r="I162">
            <v>10.08</v>
          </cell>
          <cell r="J162">
            <v>0</v>
          </cell>
          <cell r="K162">
            <v>1.8</v>
          </cell>
          <cell r="L162">
            <v>0.9</v>
          </cell>
          <cell r="M162">
            <v>1.87</v>
          </cell>
          <cell r="N162">
            <v>1</v>
          </cell>
        </row>
        <row r="163">
          <cell r="E163" t="str">
            <v>福建</v>
          </cell>
          <cell r="F163" t="str">
            <v>泉州</v>
          </cell>
          <cell r="G163">
            <v>1164.61313786432</v>
          </cell>
        </row>
        <row r="163">
          <cell r="I163">
            <v>451.950221197655</v>
          </cell>
          <cell r="J163">
            <v>440.85</v>
          </cell>
          <cell r="K163">
            <v>417.206862135678</v>
          </cell>
          <cell r="L163">
            <v>119.2</v>
          </cell>
          <cell r="M163">
            <v>215.803</v>
          </cell>
          <cell r="N163">
            <v>62</v>
          </cell>
        </row>
        <row r="164">
          <cell r="E164" t="str">
            <v>浙江</v>
          </cell>
          <cell r="F164" t="str">
            <v>宁波</v>
          </cell>
          <cell r="G164">
            <v>1433.6919387301</v>
          </cell>
        </row>
        <row r="164">
          <cell r="I164">
            <v>388.768272063433</v>
          </cell>
          <cell r="J164">
            <v>584.96</v>
          </cell>
          <cell r="K164">
            <v>494.608061269901</v>
          </cell>
          <cell r="L164">
            <v>139.09</v>
          </cell>
          <cell r="M164">
            <v>248.03</v>
          </cell>
          <cell r="N164">
            <v>69</v>
          </cell>
        </row>
        <row r="165">
          <cell r="E165" t="str">
            <v>四川</v>
          </cell>
          <cell r="F165" t="str">
            <v>成都</v>
          </cell>
          <cell r="G165">
            <v>816.007787023741</v>
          </cell>
        </row>
        <row r="165">
          <cell r="I165">
            <v>246.982453690407</v>
          </cell>
          <cell r="J165">
            <v>446.52</v>
          </cell>
          <cell r="K165">
            <v>356.71221297626</v>
          </cell>
          <cell r="L165">
            <v>87.35</v>
          </cell>
          <cell r="M165">
            <v>144.225</v>
          </cell>
          <cell r="N165">
            <v>57</v>
          </cell>
        </row>
        <row r="166">
          <cell r="E166" t="str">
            <v>重庆</v>
          </cell>
          <cell r="F166" t="str">
            <v>重庆</v>
          </cell>
          <cell r="G166">
            <v>1232.72053196331</v>
          </cell>
        </row>
        <row r="166">
          <cell r="I166">
            <v>338.133365296643</v>
          </cell>
          <cell r="J166">
            <v>497.15</v>
          </cell>
          <cell r="K166">
            <v>382.84946803669</v>
          </cell>
          <cell r="L166">
            <v>121.67</v>
          </cell>
          <cell r="M166">
            <v>129.226</v>
          </cell>
          <cell r="N166">
            <v>49</v>
          </cell>
        </row>
        <row r="167">
          <cell r="E167" t="str">
            <v>浙江</v>
          </cell>
          <cell r="F167" t="str">
            <v>杭州</v>
          </cell>
          <cell r="G167">
            <v>2019.22200311187</v>
          </cell>
        </row>
        <row r="167">
          <cell r="I167">
            <v>676.704503111874</v>
          </cell>
          <cell r="J167">
            <v>721.160000000001</v>
          </cell>
          <cell r="K167">
            <v>712.847996888126</v>
          </cell>
          <cell r="L167">
            <v>201.64</v>
          </cell>
          <cell r="M167">
            <v>329.211</v>
          </cell>
          <cell r="N167">
            <v>96</v>
          </cell>
        </row>
        <row r="168">
          <cell r="E168" t="str">
            <v>陕西</v>
          </cell>
          <cell r="F168" t="str">
            <v>西安</v>
          </cell>
          <cell r="G168">
            <v>1873.64675760169</v>
          </cell>
        </row>
        <row r="168">
          <cell r="I168">
            <v>541.964757601689</v>
          </cell>
          <cell r="J168">
            <v>689.44</v>
          </cell>
          <cell r="K168">
            <v>619.283242398311</v>
          </cell>
          <cell r="L168">
            <v>187.81</v>
          </cell>
          <cell r="M168">
            <v>342.06</v>
          </cell>
          <cell r="N168">
            <v>87</v>
          </cell>
        </row>
        <row r="169">
          <cell r="E169" t="str">
            <v>四川</v>
          </cell>
          <cell r="F169" t="str">
            <v>成都</v>
          </cell>
          <cell r="G169">
            <v>1685.50181364577</v>
          </cell>
        </row>
        <row r="169">
          <cell r="I169">
            <v>415.52648031244</v>
          </cell>
          <cell r="J169">
            <v>420.71</v>
          </cell>
          <cell r="K169">
            <v>333.198186354227</v>
          </cell>
          <cell r="L169">
            <v>152.08</v>
          </cell>
          <cell r="M169">
            <v>146.07</v>
          </cell>
          <cell r="N169">
            <v>51</v>
          </cell>
        </row>
        <row r="170">
          <cell r="E170" t="str">
            <v>福建</v>
          </cell>
          <cell r="F170" t="str">
            <v>福州</v>
          </cell>
          <cell r="G170">
            <v>2652.16384478627</v>
          </cell>
        </row>
        <row r="170">
          <cell r="I170">
            <v>699.229511452939</v>
          </cell>
          <cell r="J170">
            <v>850.1</v>
          </cell>
          <cell r="K170">
            <v>511.326155213727</v>
          </cell>
          <cell r="L170">
            <v>232.81</v>
          </cell>
          <cell r="M170">
            <v>342.156</v>
          </cell>
          <cell r="N170">
            <v>78</v>
          </cell>
        </row>
        <row r="171">
          <cell r="E171" t="str">
            <v>福建</v>
          </cell>
          <cell r="F171" t="str">
            <v>莆田</v>
          </cell>
          <cell r="G171">
            <v>1294.08483196995</v>
          </cell>
        </row>
        <row r="171">
          <cell r="I171">
            <v>502.324831969954</v>
          </cell>
          <cell r="J171">
            <v>508.59</v>
          </cell>
          <cell r="K171">
            <v>311.705168030046</v>
          </cell>
          <cell r="L171">
            <v>117.05</v>
          </cell>
          <cell r="M171">
            <v>205.341</v>
          </cell>
          <cell r="N171">
            <v>54</v>
          </cell>
        </row>
        <row r="172">
          <cell r="E172" t="str">
            <v>重庆</v>
          </cell>
          <cell r="F172" t="str">
            <v>重庆</v>
          </cell>
          <cell r="G172">
            <v>1623.58158694802</v>
          </cell>
        </row>
        <row r="172">
          <cell r="I172">
            <v>444.443253614688</v>
          </cell>
          <cell r="J172">
            <v>446.93</v>
          </cell>
          <cell r="K172">
            <v>504.178413051978</v>
          </cell>
          <cell r="L172">
            <v>159.57</v>
          </cell>
          <cell r="M172">
            <v>154.018</v>
          </cell>
          <cell r="N172">
            <v>71</v>
          </cell>
        </row>
        <row r="173">
          <cell r="E173" t="str">
            <v>云南</v>
          </cell>
          <cell r="F173" t="str">
            <v>昆明</v>
          </cell>
          <cell r="G173">
            <v>2316.37788803418</v>
          </cell>
        </row>
        <row r="173">
          <cell r="I173">
            <v>799.939888034184</v>
          </cell>
          <cell r="J173">
            <v>594.01</v>
          </cell>
          <cell r="K173">
            <v>407.532111965816</v>
          </cell>
          <cell r="L173">
            <v>205.18</v>
          </cell>
          <cell r="M173">
            <v>196.03</v>
          </cell>
          <cell r="N173">
            <v>66</v>
          </cell>
        </row>
        <row r="174">
          <cell r="E174" t="str">
            <v>海南</v>
          </cell>
          <cell r="F174" t="str">
            <v>海口</v>
          </cell>
          <cell r="G174">
            <v>2785.45510871591</v>
          </cell>
        </row>
        <row r="174">
          <cell r="I174">
            <v>812.281775382572</v>
          </cell>
          <cell r="J174">
            <v>2212.43</v>
          </cell>
          <cell r="K174">
            <v>832.914891284095</v>
          </cell>
          <cell r="L174">
            <v>269.97</v>
          </cell>
          <cell r="M174">
            <v>584.398</v>
          </cell>
          <cell r="N174">
            <v>122</v>
          </cell>
        </row>
        <row r="175">
          <cell r="E175" t="str">
            <v>福建</v>
          </cell>
          <cell r="F175" t="str">
            <v>厦门</v>
          </cell>
          <cell r="G175">
            <v>1083.96635128984</v>
          </cell>
        </row>
        <row r="175">
          <cell r="I175">
            <v>394.59335128984</v>
          </cell>
          <cell r="J175">
            <v>539.38</v>
          </cell>
          <cell r="K175">
            <v>293.85364871016</v>
          </cell>
          <cell r="L175">
            <v>100.07</v>
          </cell>
          <cell r="M175">
            <v>244.195</v>
          </cell>
          <cell r="N175">
            <v>51</v>
          </cell>
        </row>
        <row r="176">
          <cell r="E176" t="str">
            <v>山东</v>
          </cell>
          <cell r="F176" t="str">
            <v>济南</v>
          </cell>
          <cell r="G176">
            <v>1938.2308907156</v>
          </cell>
        </row>
        <row r="176">
          <cell r="I176">
            <v>679.287557382263</v>
          </cell>
          <cell r="J176">
            <v>1417.35</v>
          </cell>
          <cell r="K176">
            <v>420.689109284404</v>
          </cell>
          <cell r="L176">
            <v>177.52</v>
          </cell>
          <cell r="M176">
            <v>0</v>
          </cell>
          <cell r="N176">
            <v>78</v>
          </cell>
        </row>
        <row r="177">
          <cell r="E177" t="str">
            <v>陕西</v>
          </cell>
          <cell r="F177" t="str">
            <v>西安</v>
          </cell>
          <cell r="G177">
            <v>2179.21503525719</v>
          </cell>
        </row>
        <row r="177">
          <cell r="I177">
            <v>718.239201923855</v>
          </cell>
          <cell r="J177">
            <v>626.15</v>
          </cell>
          <cell r="K177">
            <v>474.204964742812</v>
          </cell>
          <cell r="L177">
            <v>171.64</v>
          </cell>
          <cell r="M177">
            <v>275.376</v>
          </cell>
          <cell r="N177">
            <v>72</v>
          </cell>
        </row>
        <row r="178">
          <cell r="E178" t="str">
            <v>山东</v>
          </cell>
          <cell r="F178" t="str">
            <v>济南</v>
          </cell>
          <cell r="G178">
            <v>1876.2577850198</v>
          </cell>
        </row>
        <row r="178">
          <cell r="I178">
            <v>723.50236835313</v>
          </cell>
          <cell r="J178">
            <v>546.38</v>
          </cell>
          <cell r="K178">
            <v>447.952214980203</v>
          </cell>
          <cell r="L178">
            <v>175.04</v>
          </cell>
          <cell r="M178">
            <v>243.966</v>
          </cell>
          <cell r="N178">
            <v>59</v>
          </cell>
        </row>
        <row r="179">
          <cell r="E179" t="str">
            <v>四川</v>
          </cell>
          <cell r="F179" t="str">
            <v>成都</v>
          </cell>
          <cell r="G179">
            <v>782.502129785239</v>
          </cell>
        </row>
        <row r="179">
          <cell r="I179">
            <v>261.669213118572</v>
          </cell>
          <cell r="J179">
            <v>414.72</v>
          </cell>
          <cell r="K179">
            <v>245.367870214762</v>
          </cell>
          <cell r="L179">
            <v>77.45</v>
          </cell>
          <cell r="M179">
            <v>105.056</v>
          </cell>
          <cell r="N179">
            <v>43</v>
          </cell>
        </row>
        <row r="180">
          <cell r="E180" t="str">
            <v>福建</v>
          </cell>
          <cell r="F180" t="str">
            <v>泉州</v>
          </cell>
          <cell r="G180">
            <v>915.875269151402</v>
          </cell>
        </row>
        <row r="180">
          <cell r="I180">
            <v>248.143602484736</v>
          </cell>
          <cell r="J180">
            <v>258.3</v>
          </cell>
          <cell r="K180">
            <v>230.474730848598</v>
          </cell>
          <cell r="L180">
            <v>86.37</v>
          </cell>
          <cell r="M180">
            <v>155.006</v>
          </cell>
          <cell r="N180">
            <v>35</v>
          </cell>
        </row>
        <row r="181">
          <cell r="E181" t="str">
            <v>福建</v>
          </cell>
          <cell r="F181" t="str">
            <v>泉州</v>
          </cell>
          <cell r="G181">
            <v>614.07090153469</v>
          </cell>
        </row>
        <row r="181">
          <cell r="I181">
            <v>238.45590153469</v>
          </cell>
          <cell r="J181">
            <v>325.92</v>
          </cell>
          <cell r="K181">
            <v>32.9290984653103</v>
          </cell>
          <cell r="L181">
            <v>59.56</v>
          </cell>
          <cell r="M181">
            <v>69.196</v>
          </cell>
          <cell r="N181">
            <v>22</v>
          </cell>
        </row>
        <row r="182">
          <cell r="E182" t="str">
            <v>浙江</v>
          </cell>
          <cell r="F182" t="str">
            <v>宁波</v>
          </cell>
          <cell r="G182">
            <v>538.6985594024</v>
          </cell>
        </row>
        <row r="182">
          <cell r="I182">
            <v>98.1135594023997</v>
          </cell>
          <cell r="J182">
            <v>242.61</v>
          </cell>
          <cell r="K182">
            <v>264.7814405976</v>
          </cell>
          <cell r="L182">
            <v>60.57</v>
          </cell>
          <cell r="M182">
            <v>136.92</v>
          </cell>
          <cell r="N182">
            <v>33</v>
          </cell>
        </row>
        <row r="183">
          <cell r="E183" t="str">
            <v>四川</v>
          </cell>
          <cell r="F183" t="str">
            <v>成都</v>
          </cell>
          <cell r="G183">
            <v>2164.08728785497</v>
          </cell>
        </row>
        <row r="183">
          <cell r="I183">
            <v>432.272704521638</v>
          </cell>
          <cell r="J183">
            <v>312.59</v>
          </cell>
          <cell r="K183">
            <v>238.302712145029</v>
          </cell>
          <cell r="L183">
            <v>165.79</v>
          </cell>
          <cell r="M183">
            <v>112.139</v>
          </cell>
          <cell r="N183">
            <v>38</v>
          </cell>
        </row>
        <row r="184">
          <cell r="E184" t="str">
            <v>重庆</v>
          </cell>
          <cell r="F184" t="str">
            <v>重庆</v>
          </cell>
          <cell r="G184">
            <v>593.655004470954</v>
          </cell>
        </row>
        <row r="184">
          <cell r="I184">
            <v>179.190337804287</v>
          </cell>
          <cell r="J184">
            <v>346.17</v>
          </cell>
          <cell r="K184">
            <v>298.484995529046</v>
          </cell>
          <cell r="L184">
            <v>67.23</v>
          </cell>
          <cell r="M184">
            <v>163.271</v>
          </cell>
          <cell r="N184">
            <v>40</v>
          </cell>
        </row>
        <row r="185">
          <cell r="E185" t="str">
            <v>福建</v>
          </cell>
          <cell r="F185" t="str">
            <v>漳州</v>
          </cell>
          <cell r="G185">
            <v>738.796142100516</v>
          </cell>
        </row>
        <row r="185">
          <cell r="I185">
            <v>251.445142100516</v>
          </cell>
          <cell r="J185">
            <v>230.63</v>
          </cell>
          <cell r="K185">
            <v>195.463857899484</v>
          </cell>
          <cell r="L185">
            <v>67.97</v>
          </cell>
          <cell r="M185">
            <v>96.614</v>
          </cell>
          <cell r="N185">
            <v>36</v>
          </cell>
        </row>
        <row r="186">
          <cell r="E186" t="str">
            <v>云南</v>
          </cell>
          <cell r="F186" t="str">
            <v>昆明</v>
          </cell>
          <cell r="G186">
            <v>1233.93788803418</v>
          </cell>
        </row>
        <row r="186">
          <cell r="I186">
            <v>487.11230470085</v>
          </cell>
          <cell r="J186">
            <v>535.43</v>
          </cell>
          <cell r="K186">
            <v>369.532111965816</v>
          </cell>
          <cell r="L186">
            <v>120.91</v>
          </cell>
          <cell r="M186">
            <v>161.558</v>
          </cell>
          <cell r="N186">
            <v>63</v>
          </cell>
        </row>
        <row r="187">
          <cell r="E187" t="str">
            <v>陕西</v>
          </cell>
          <cell r="F187" t="str">
            <v>西安</v>
          </cell>
          <cell r="G187">
            <v>1362.22417408494</v>
          </cell>
        </row>
        <row r="187">
          <cell r="I187">
            <v>449.125840751605</v>
          </cell>
          <cell r="J187">
            <v>568.78</v>
          </cell>
          <cell r="K187">
            <v>390.015825915062</v>
          </cell>
          <cell r="L187">
            <v>132.03</v>
          </cell>
          <cell r="M187">
            <v>180.411</v>
          </cell>
          <cell r="N187">
            <v>64</v>
          </cell>
        </row>
        <row r="188">
          <cell r="E188" t="str">
            <v>四川</v>
          </cell>
          <cell r="F188" t="str">
            <v>成都</v>
          </cell>
          <cell r="G188">
            <v>1681.73810316321</v>
          </cell>
        </row>
        <row r="188">
          <cell r="I188">
            <v>335.361019829873</v>
          </cell>
          <cell r="J188">
            <v>440.28</v>
          </cell>
          <cell r="K188">
            <v>321.081896836794</v>
          </cell>
          <cell r="L188">
            <v>150.85</v>
          </cell>
          <cell r="M188">
            <v>165.307</v>
          </cell>
          <cell r="N188">
            <v>49</v>
          </cell>
        </row>
        <row r="189">
          <cell r="E189" t="str">
            <v>浙江</v>
          </cell>
          <cell r="F189" t="str">
            <v>杭州</v>
          </cell>
          <cell r="G189">
            <v>1374.73327499045</v>
          </cell>
        </row>
        <row r="189">
          <cell r="I189">
            <v>473.299941657121</v>
          </cell>
          <cell r="J189">
            <v>609.84</v>
          </cell>
          <cell r="K189">
            <v>496.816725009546</v>
          </cell>
          <cell r="L189">
            <v>135.15</v>
          </cell>
          <cell r="M189">
            <v>248.323</v>
          </cell>
          <cell r="N189">
            <v>66</v>
          </cell>
        </row>
        <row r="190">
          <cell r="E190" t="str">
            <v>云南</v>
          </cell>
          <cell r="F190" t="str">
            <v>昆明</v>
          </cell>
          <cell r="G190">
            <v>1135.16916878307</v>
          </cell>
        </row>
        <row r="190">
          <cell r="I190">
            <v>372.189168783066</v>
          </cell>
          <cell r="J190">
            <v>301.23</v>
          </cell>
          <cell r="K190">
            <v>243.200831216934</v>
          </cell>
          <cell r="L190">
            <v>103.86</v>
          </cell>
          <cell r="M190">
            <v>116.62</v>
          </cell>
          <cell r="N190">
            <v>40</v>
          </cell>
        </row>
        <row r="191">
          <cell r="E191" t="str">
            <v>湖南</v>
          </cell>
          <cell r="F191" t="str">
            <v>长沙</v>
          </cell>
          <cell r="G191">
            <v>1859.51609388952</v>
          </cell>
        </row>
        <row r="191">
          <cell r="I191">
            <v>555.14192722286</v>
          </cell>
          <cell r="J191">
            <v>496.93</v>
          </cell>
          <cell r="K191">
            <v>390.333906110474</v>
          </cell>
          <cell r="L191">
            <v>169.49</v>
          </cell>
          <cell r="M191">
            <v>233.055</v>
          </cell>
          <cell r="N191">
            <v>54</v>
          </cell>
        </row>
        <row r="192">
          <cell r="E192" t="str">
            <v>福建</v>
          </cell>
          <cell r="F192" t="str">
            <v>福州</v>
          </cell>
          <cell r="G192">
            <v>2078.30268584002</v>
          </cell>
        </row>
        <row r="192">
          <cell r="I192">
            <v>724.366852506687</v>
          </cell>
          <cell r="J192">
            <v>666.78</v>
          </cell>
          <cell r="K192">
            <v>408.58731415998</v>
          </cell>
          <cell r="L192">
            <v>179.39</v>
          </cell>
          <cell r="M192">
            <v>262.335</v>
          </cell>
          <cell r="N192">
            <v>66</v>
          </cell>
        </row>
        <row r="193">
          <cell r="E193" t="str">
            <v>福建</v>
          </cell>
          <cell r="F193" t="str">
            <v>厦门</v>
          </cell>
          <cell r="G193">
            <v>912.84909422724</v>
          </cell>
        </row>
        <row r="193">
          <cell r="I193">
            <v>430.703594227239</v>
          </cell>
          <cell r="J193">
            <v>452.3</v>
          </cell>
          <cell r="K193">
            <v>359.19090577276</v>
          </cell>
          <cell r="L193">
            <v>89.6</v>
          </cell>
          <cell r="M193">
            <v>302.037</v>
          </cell>
          <cell r="N193">
            <v>63</v>
          </cell>
        </row>
        <row r="194">
          <cell r="E194" t="str">
            <v>浙江</v>
          </cell>
          <cell r="F194" t="str">
            <v>宁波</v>
          </cell>
          <cell r="G194">
            <v>2000.54278356202</v>
          </cell>
        </row>
        <row r="194">
          <cell r="I194">
            <v>707.702712133453</v>
          </cell>
          <cell r="J194">
            <v>784.88</v>
          </cell>
          <cell r="K194">
            <v>624.427216437975</v>
          </cell>
          <cell r="L194">
            <v>191.97</v>
          </cell>
          <cell r="M194">
            <v>364.911</v>
          </cell>
          <cell r="N194">
            <v>79</v>
          </cell>
        </row>
        <row r="195">
          <cell r="E195" t="str">
            <v>浙江</v>
          </cell>
          <cell r="F195" t="str">
            <v>余杭</v>
          </cell>
          <cell r="G195">
            <v>1356.1921382732</v>
          </cell>
        </row>
        <row r="195">
          <cell r="I195">
            <v>444.269638273196</v>
          </cell>
          <cell r="J195">
            <v>449.91</v>
          </cell>
          <cell r="K195">
            <v>425.197861726805</v>
          </cell>
          <cell r="L195">
            <v>130.15</v>
          </cell>
          <cell r="M195">
            <v>225.802</v>
          </cell>
          <cell r="N195">
            <v>54</v>
          </cell>
        </row>
        <row r="196">
          <cell r="E196" t="str">
            <v>福建</v>
          </cell>
          <cell r="F196" t="str">
            <v>泉州</v>
          </cell>
          <cell r="G196">
            <v>509.928301973172</v>
          </cell>
        </row>
        <row r="196">
          <cell r="I196">
            <v>182.624468639839</v>
          </cell>
          <cell r="J196">
            <v>172.17</v>
          </cell>
          <cell r="K196">
            <v>181.691698026828</v>
          </cell>
          <cell r="L196">
            <v>50.11</v>
          </cell>
          <cell r="M196">
            <v>78.847</v>
          </cell>
          <cell r="N196">
            <v>27</v>
          </cell>
        </row>
        <row r="197">
          <cell r="E197" t="str">
            <v>福建</v>
          </cell>
          <cell r="F197" t="str">
            <v>厦门</v>
          </cell>
          <cell r="G197">
            <v>371.377616423985</v>
          </cell>
        </row>
        <row r="197">
          <cell r="I197">
            <v>134.172616423985</v>
          </cell>
          <cell r="J197">
            <v>139.65</v>
          </cell>
          <cell r="K197">
            <v>99.5023835760152</v>
          </cell>
          <cell r="L197">
            <v>34.21</v>
          </cell>
          <cell r="M197">
            <v>0</v>
          </cell>
          <cell r="N197">
            <v>18</v>
          </cell>
        </row>
        <row r="198">
          <cell r="E198" t="str">
            <v>浙江</v>
          </cell>
          <cell r="F198" t="str">
            <v>杭州</v>
          </cell>
          <cell r="G198">
            <v>1125.69327499045</v>
          </cell>
        </row>
        <row r="198">
          <cell r="I198">
            <v>379.233691657121</v>
          </cell>
          <cell r="J198">
            <v>536.01</v>
          </cell>
          <cell r="K198">
            <v>499.456725009546</v>
          </cell>
          <cell r="L198">
            <v>109.86</v>
          </cell>
          <cell r="M198">
            <v>302.062</v>
          </cell>
          <cell r="N198">
            <v>66</v>
          </cell>
        </row>
        <row r="199">
          <cell r="E199" t="str">
            <v>山东</v>
          </cell>
          <cell r="F199" t="str">
            <v>济南</v>
          </cell>
          <cell r="G199">
            <v>897.531615188798</v>
          </cell>
        </row>
        <row r="199">
          <cell r="I199">
            <v>245.604115188797</v>
          </cell>
          <cell r="J199">
            <v>1166.62</v>
          </cell>
          <cell r="K199">
            <v>304.598384811203</v>
          </cell>
          <cell r="L199">
            <v>84.4</v>
          </cell>
          <cell r="M199">
            <v>181.692</v>
          </cell>
          <cell r="N199">
            <v>50</v>
          </cell>
        </row>
        <row r="200">
          <cell r="E200" t="str">
            <v>浙江</v>
          </cell>
          <cell r="F200" t="str">
            <v>杭州</v>
          </cell>
          <cell r="G200">
            <v>1277.0521382732</v>
          </cell>
        </row>
        <row r="200">
          <cell r="I200">
            <v>387.798804939862</v>
          </cell>
          <cell r="J200">
            <v>401.26</v>
          </cell>
          <cell r="K200">
            <v>404.897861726805</v>
          </cell>
          <cell r="L200">
            <v>122.59</v>
          </cell>
          <cell r="M200">
            <v>152.662</v>
          </cell>
          <cell r="N200">
            <v>54</v>
          </cell>
        </row>
        <row r="201">
          <cell r="E201" t="str">
            <v>福建</v>
          </cell>
          <cell r="F201" t="str">
            <v>泉州</v>
          </cell>
          <cell r="G201">
            <v>409.738735233426</v>
          </cell>
        </row>
        <row r="201">
          <cell r="I201">
            <v>177.170401900092</v>
          </cell>
          <cell r="J201">
            <v>175.77</v>
          </cell>
          <cell r="K201">
            <v>158.251264766575</v>
          </cell>
          <cell r="L201">
            <v>42.9</v>
          </cell>
          <cell r="M201">
            <v>106.732</v>
          </cell>
          <cell r="N201">
            <v>27</v>
          </cell>
        </row>
        <row r="202">
          <cell r="G202">
            <v>81521.0996739086</v>
          </cell>
        </row>
        <row r="202">
          <cell r="I202">
            <v>27708.7319264727</v>
          </cell>
          <cell r="J202">
            <v>40566.79</v>
          </cell>
          <cell r="K202">
            <v>22347.9003260914</v>
          </cell>
          <cell r="L202">
            <v>6552.69</v>
          </cell>
          <cell r="M202">
            <v>13083.694</v>
          </cell>
          <cell r="N202">
            <v>3648</v>
          </cell>
        </row>
      </sheetData>
      <sheetData sheetId="3"/>
      <sheetData sheetId="4"/>
      <sheetData sheetId="5"/>
      <sheetData sheetId="6"/>
      <sheetData sheetId="7">
        <row r="1">
          <cell r="U1" t="str">
            <v>店铺</v>
          </cell>
          <cell r="V1" t="str">
            <v>转换日期</v>
          </cell>
          <cell r="W1" t="str">
            <v>列1</v>
          </cell>
        </row>
        <row r="2">
          <cell r="U2" t="str">
            <v>启点店</v>
          </cell>
          <cell r="V2" t="str">
            <v>2025-10-01</v>
          </cell>
          <cell r="W2">
            <v>70.34</v>
          </cell>
        </row>
        <row r="3">
          <cell r="U3" t="str">
            <v>大坪店</v>
          </cell>
          <cell r="V3" t="str">
            <v>2025-11-26</v>
          </cell>
          <cell r="W3">
            <v>58.14</v>
          </cell>
        </row>
        <row r="4">
          <cell r="U4" t="str">
            <v>洛江店</v>
          </cell>
          <cell r="V4" t="str">
            <v>2025-11-26</v>
          </cell>
          <cell r="W4">
            <v>86.79</v>
          </cell>
        </row>
        <row r="5">
          <cell r="U5" t="str">
            <v>官渡店</v>
          </cell>
          <cell r="V5" t="str">
            <v>2025-11-26</v>
          </cell>
          <cell r="W5">
            <v>20.02</v>
          </cell>
        </row>
        <row r="6">
          <cell r="U6" t="str">
            <v>武侯店</v>
          </cell>
          <cell r="V6" t="str">
            <v>2025-11-26</v>
          </cell>
          <cell r="W6">
            <v>1.07</v>
          </cell>
        </row>
        <row r="7">
          <cell r="U7" t="str">
            <v>五华店</v>
          </cell>
          <cell r="V7" t="str">
            <v>2025-11-26</v>
          </cell>
          <cell r="W7">
            <v>4.11</v>
          </cell>
        </row>
        <row r="8">
          <cell r="U8" t="str">
            <v>长沙店</v>
          </cell>
          <cell r="V8" t="str">
            <v>2025-11-26</v>
          </cell>
          <cell r="W8">
            <v>40.59</v>
          </cell>
        </row>
        <row r="9">
          <cell r="U9" t="str">
            <v>文昌店</v>
          </cell>
          <cell r="V9" t="str">
            <v>2025-11-26</v>
          </cell>
          <cell r="W9">
            <v>4.03</v>
          </cell>
        </row>
        <row r="10">
          <cell r="U10" t="str">
            <v>百丈店</v>
          </cell>
          <cell r="V10" t="str">
            <v>2025-11-26</v>
          </cell>
          <cell r="W10">
            <v>11.83</v>
          </cell>
        </row>
        <row r="11">
          <cell r="U11" t="str">
            <v>余杭店</v>
          </cell>
          <cell r="V11" t="str">
            <v>2025-11-26</v>
          </cell>
          <cell r="W11">
            <v>112.08</v>
          </cell>
        </row>
        <row r="12">
          <cell r="U12" t="str">
            <v>首南店</v>
          </cell>
          <cell r="V12" t="str">
            <v>2025-11-26</v>
          </cell>
          <cell r="W12">
            <v>47.88</v>
          </cell>
        </row>
        <row r="13">
          <cell r="U13" t="str">
            <v>启点店</v>
          </cell>
          <cell r="V13" t="str">
            <v>2025-11-27</v>
          </cell>
          <cell r="W13">
            <v>45.01</v>
          </cell>
        </row>
        <row r="14">
          <cell r="U14" t="str">
            <v>高新店</v>
          </cell>
          <cell r="V14" t="str">
            <v>2025-11-27</v>
          </cell>
          <cell r="W14">
            <v>76.37</v>
          </cell>
        </row>
        <row r="15">
          <cell r="U15" t="str">
            <v>金牛店</v>
          </cell>
          <cell r="V15" t="str">
            <v>2025-11-27</v>
          </cell>
          <cell r="W15">
            <v>0</v>
          </cell>
        </row>
        <row r="16">
          <cell r="U16" t="str">
            <v>成华店</v>
          </cell>
          <cell r="V16" t="str">
            <v>2025-11-27</v>
          </cell>
          <cell r="W16">
            <v>21.83</v>
          </cell>
        </row>
        <row r="17">
          <cell r="U17" t="str">
            <v>西山店</v>
          </cell>
          <cell r="V17" t="str">
            <v>2025-11-27</v>
          </cell>
          <cell r="W17">
            <v>13.95</v>
          </cell>
        </row>
        <row r="18">
          <cell r="U18" t="str">
            <v>沙坪坝店</v>
          </cell>
          <cell r="V18" t="str">
            <v>2025-11-27</v>
          </cell>
          <cell r="W18">
            <v>47.41</v>
          </cell>
        </row>
        <row r="19">
          <cell r="U19" t="str">
            <v>济南店</v>
          </cell>
          <cell r="V19" t="str">
            <v>2025-11-27</v>
          </cell>
          <cell r="W19">
            <v>115.81</v>
          </cell>
        </row>
        <row r="20">
          <cell r="U20" t="str">
            <v>青羊店</v>
          </cell>
          <cell r="V20" t="str">
            <v>2025-11-27</v>
          </cell>
          <cell r="W20">
            <v>7.65</v>
          </cell>
        </row>
        <row r="21">
          <cell r="U21" t="str">
            <v>观音桥店</v>
          </cell>
          <cell r="V21" t="str">
            <v>2025-11-27</v>
          </cell>
          <cell r="W21">
            <v>23.13</v>
          </cell>
        </row>
        <row r="22">
          <cell r="U22" t="str">
            <v>观音桥店</v>
          </cell>
          <cell r="V22" t="str">
            <v>2025-11-27</v>
          </cell>
          <cell r="W22">
            <v>0</v>
          </cell>
        </row>
        <row r="23">
          <cell r="U23" t="str">
            <v>西湖店</v>
          </cell>
          <cell r="V23" t="str">
            <v>2025-11-27</v>
          </cell>
          <cell r="W23">
            <v>21.41</v>
          </cell>
        </row>
        <row r="24">
          <cell r="U24" t="str">
            <v>东新店</v>
          </cell>
          <cell r="V24" t="str">
            <v>2025-11-27</v>
          </cell>
          <cell r="W24">
            <v>0</v>
          </cell>
        </row>
        <row r="25">
          <cell r="U25" t="str">
            <v>东新店</v>
          </cell>
          <cell r="V25" t="str">
            <v>2025-11-27</v>
          </cell>
          <cell r="W25">
            <v>83.74</v>
          </cell>
        </row>
        <row r="26">
          <cell r="U26" t="str">
            <v>大坪店</v>
          </cell>
          <cell r="V26" t="str">
            <v>2025-11-27</v>
          </cell>
          <cell r="W26">
            <v>87.24</v>
          </cell>
        </row>
        <row r="27">
          <cell r="U27" t="str">
            <v>洛江店</v>
          </cell>
          <cell r="V27" t="str">
            <v>2025-11-27</v>
          </cell>
          <cell r="W27">
            <v>58.83</v>
          </cell>
        </row>
        <row r="28">
          <cell r="U28" t="str">
            <v>官渡店</v>
          </cell>
          <cell r="V28" t="str">
            <v>2025-11-27</v>
          </cell>
          <cell r="W28">
            <v>27.21</v>
          </cell>
        </row>
        <row r="29">
          <cell r="U29" t="str">
            <v>武侯店</v>
          </cell>
          <cell r="V29" t="str">
            <v>2025-11-27</v>
          </cell>
          <cell r="W29">
            <v>0.67</v>
          </cell>
        </row>
        <row r="30">
          <cell r="U30" t="str">
            <v>五华店</v>
          </cell>
          <cell r="V30" t="str">
            <v>2025-11-27</v>
          </cell>
          <cell r="W30">
            <v>41.31</v>
          </cell>
        </row>
        <row r="31">
          <cell r="U31" t="str">
            <v>长沙店</v>
          </cell>
          <cell r="V31" t="str">
            <v>2025-11-27</v>
          </cell>
          <cell r="W31">
            <v>120.7</v>
          </cell>
        </row>
        <row r="32">
          <cell r="U32" t="str">
            <v>文昌店</v>
          </cell>
          <cell r="V32" t="str">
            <v>2025-11-27</v>
          </cell>
          <cell r="W32">
            <v>3.14</v>
          </cell>
        </row>
        <row r="33">
          <cell r="U33" t="str">
            <v>百丈店</v>
          </cell>
          <cell r="V33" t="str">
            <v>2025-11-27</v>
          </cell>
          <cell r="W33">
            <v>17.64</v>
          </cell>
        </row>
        <row r="34">
          <cell r="U34" t="str">
            <v>余杭店</v>
          </cell>
          <cell r="V34" t="str">
            <v>2025-11-27</v>
          </cell>
          <cell r="W34">
            <v>128.92</v>
          </cell>
        </row>
        <row r="35">
          <cell r="U35" t="str">
            <v>首南店</v>
          </cell>
          <cell r="V35" t="str">
            <v>2025-11-27</v>
          </cell>
          <cell r="W35">
            <v>50</v>
          </cell>
        </row>
        <row r="36">
          <cell r="U36" t="str">
            <v>启点店</v>
          </cell>
          <cell r="V36" t="str">
            <v>2025-11-28</v>
          </cell>
          <cell r="W36">
            <v>85.15</v>
          </cell>
        </row>
        <row r="37">
          <cell r="U37" t="str">
            <v>高新店</v>
          </cell>
          <cell r="V37" t="str">
            <v>2025-11-28</v>
          </cell>
          <cell r="W37">
            <v>74.08</v>
          </cell>
        </row>
        <row r="38">
          <cell r="U38" t="str">
            <v>金牛店</v>
          </cell>
          <cell r="V38" t="str">
            <v>2025-11-28</v>
          </cell>
          <cell r="W38">
            <v>0</v>
          </cell>
        </row>
        <row r="39">
          <cell r="U39" t="str">
            <v>成华店</v>
          </cell>
          <cell r="V39" t="str">
            <v>2025-11-28</v>
          </cell>
          <cell r="W39">
            <v>44.97</v>
          </cell>
        </row>
        <row r="40">
          <cell r="U40" t="str">
            <v>西山店</v>
          </cell>
          <cell r="V40" t="str">
            <v>2025-11-28</v>
          </cell>
          <cell r="W40">
            <v>30.32</v>
          </cell>
        </row>
        <row r="41">
          <cell r="U41" t="str">
            <v>沙坪坝店</v>
          </cell>
          <cell r="V41" t="str">
            <v>2025-11-28</v>
          </cell>
          <cell r="W41">
            <v>52.59</v>
          </cell>
        </row>
        <row r="42">
          <cell r="U42" t="str">
            <v>济南店</v>
          </cell>
          <cell r="V42" t="str">
            <v>2025-11-28</v>
          </cell>
          <cell r="W42">
            <v>62.67</v>
          </cell>
        </row>
        <row r="43">
          <cell r="U43" t="str">
            <v>青羊店</v>
          </cell>
          <cell r="V43" t="str">
            <v>2025-11-28</v>
          </cell>
          <cell r="W43">
            <v>14.66</v>
          </cell>
        </row>
        <row r="44">
          <cell r="U44" t="str">
            <v>观音桥店</v>
          </cell>
          <cell r="V44" t="str">
            <v>2025-11-28</v>
          </cell>
          <cell r="W44">
            <v>25.81</v>
          </cell>
        </row>
        <row r="45">
          <cell r="U45" t="str">
            <v>观音桥店</v>
          </cell>
          <cell r="V45" t="str">
            <v>2025-11-28</v>
          </cell>
          <cell r="W45">
            <v>0</v>
          </cell>
        </row>
        <row r="46">
          <cell r="U46" t="str">
            <v>西湖店</v>
          </cell>
          <cell r="V46" t="str">
            <v>2025-11-28</v>
          </cell>
          <cell r="W46">
            <v>28.71</v>
          </cell>
        </row>
        <row r="47">
          <cell r="U47" t="str">
            <v>东新店</v>
          </cell>
          <cell r="V47" t="str">
            <v>2025-11-28</v>
          </cell>
          <cell r="W47">
            <v>96.33</v>
          </cell>
        </row>
        <row r="48">
          <cell r="U48" t="str">
            <v>大坪店</v>
          </cell>
          <cell r="V48" t="str">
            <v>2025-11-28</v>
          </cell>
          <cell r="W48">
            <v>65.19</v>
          </cell>
        </row>
        <row r="49">
          <cell r="U49" t="str">
            <v>洛江店</v>
          </cell>
          <cell r="V49" t="str">
            <v>2025-11-28</v>
          </cell>
          <cell r="W49">
            <v>60.47</v>
          </cell>
        </row>
        <row r="50">
          <cell r="U50" t="str">
            <v>官渡店</v>
          </cell>
          <cell r="V50" t="str">
            <v>2025-11-28</v>
          </cell>
          <cell r="W50">
            <v>16.47</v>
          </cell>
        </row>
        <row r="51">
          <cell r="U51" t="str">
            <v>武侯店</v>
          </cell>
          <cell r="V51" t="str">
            <v>2025-11-28</v>
          </cell>
          <cell r="W51">
            <v>0.04</v>
          </cell>
        </row>
        <row r="52">
          <cell r="U52" t="str">
            <v>五华店</v>
          </cell>
          <cell r="V52" t="str">
            <v>2025-11-28</v>
          </cell>
          <cell r="W52">
            <v>35.97</v>
          </cell>
        </row>
        <row r="53">
          <cell r="U53" t="str">
            <v>长沙店</v>
          </cell>
          <cell r="V53" t="str">
            <v>2025-11-28</v>
          </cell>
          <cell r="W53">
            <v>81.95</v>
          </cell>
        </row>
        <row r="54">
          <cell r="U54" t="str">
            <v>文昌店</v>
          </cell>
          <cell r="V54" t="str">
            <v>2025-11-28</v>
          </cell>
          <cell r="W54">
            <v>3.89</v>
          </cell>
        </row>
        <row r="55">
          <cell r="U55" t="str">
            <v>百丈店</v>
          </cell>
          <cell r="V55" t="str">
            <v>2025-11-28</v>
          </cell>
          <cell r="W55">
            <v>22.46</v>
          </cell>
        </row>
        <row r="56">
          <cell r="U56" t="str">
            <v>余杭店</v>
          </cell>
          <cell r="V56" t="str">
            <v>2025-11-28</v>
          </cell>
          <cell r="W56">
            <v>214.16</v>
          </cell>
        </row>
        <row r="57">
          <cell r="U57" t="str">
            <v>首南店</v>
          </cell>
          <cell r="V57" t="str">
            <v>2025-11-28</v>
          </cell>
          <cell r="W57">
            <v>59.47</v>
          </cell>
        </row>
        <row r="58">
          <cell r="U58" t="str">
            <v>百捷店</v>
          </cell>
          <cell r="V58" t="str">
            <v>2025-11-28</v>
          </cell>
          <cell r="W58">
            <v>47.23</v>
          </cell>
        </row>
        <row r="59">
          <cell r="U59" t="str">
            <v>五路口店</v>
          </cell>
          <cell r="V59" t="str">
            <v>2025-11-28</v>
          </cell>
          <cell r="W59">
            <v>49.07</v>
          </cell>
        </row>
        <row r="60">
          <cell r="U60" t="str">
            <v>凤城二路店</v>
          </cell>
          <cell r="V60" t="str">
            <v>2025-11-28</v>
          </cell>
          <cell r="W60">
            <v>76.25</v>
          </cell>
        </row>
        <row r="61">
          <cell r="U61" t="str">
            <v>黄雁村店</v>
          </cell>
          <cell r="V61" t="str">
            <v>2025-11-28</v>
          </cell>
          <cell r="W61">
            <v>85.33</v>
          </cell>
        </row>
        <row r="62">
          <cell r="U62" t="str">
            <v>观桥店</v>
          </cell>
          <cell r="V62" t="str">
            <v>2025-11-28</v>
          </cell>
          <cell r="W62">
            <v>32.5</v>
          </cell>
        </row>
        <row r="63">
          <cell r="U63" t="str">
            <v>文灶店</v>
          </cell>
          <cell r="V63" t="str">
            <v>2025-11-28</v>
          </cell>
          <cell r="W63">
            <v>2.5</v>
          </cell>
        </row>
        <row r="64">
          <cell r="U64" t="str">
            <v>文灶店</v>
          </cell>
          <cell r="V64" t="str">
            <v>2025-11-28</v>
          </cell>
          <cell r="W64">
            <v>0.99</v>
          </cell>
        </row>
        <row r="65">
          <cell r="U65" t="str">
            <v>东海店</v>
          </cell>
          <cell r="V65" t="str">
            <v>2025-11-28</v>
          </cell>
          <cell r="W65">
            <v>0</v>
          </cell>
        </row>
        <row r="66">
          <cell r="U66" t="str">
            <v>启点店</v>
          </cell>
          <cell r="V66" t="str">
            <v>2025-11-29</v>
          </cell>
          <cell r="W66">
            <v>39.54</v>
          </cell>
        </row>
        <row r="67">
          <cell r="U67" t="str">
            <v>高新店</v>
          </cell>
          <cell r="V67" t="str">
            <v>2025-11-29</v>
          </cell>
          <cell r="W67">
            <v>75.59</v>
          </cell>
        </row>
        <row r="68">
          <cell r="U68" t="str">
            <v>金牛店</v>
          </cell>
          <cell r="V68" t="str">
            <v>2025-11-29</v>
          </cell>
          <cell r="W68">
            <v>0.23</v>
          </cell>
        </row>
        <row r="69">
          <cell r="U69" t="str">
            <v>成华店</v>
          </cell>
          <cell r="V69" t="str">
            <v>2025-11-29</v>
          </cell>
          <cell r="W69">
            <v>23.74</v>
          </cell>
        </row>
        <row r="70">
          <cell r="U70" t="str">
            <v>西山店</v>
          </cell>
          <cell r="V70" t="str">
            <v>2025-11-29</v>
          </cell>
          <cell r="W70">
            <v>25.56</v>
          </cell>
        </row>
        <row r="71">
          <cell r="U71" t="str">
            <v>沙坪坝店</v>
          </cell>
          <cell r="V71" t="str">
            <v>2025-11-29</v>
          </cell>
          <cell r="W71">
            <v>61.99</v>
          </cell>
        </row>
        <row r="72">
          <cell r="U72" t="str">
            <v>济南店</v>
          </cell>
          <cell r="V72" t="str">
            <v>2025-11-29</v>
          </cell>
          <cell r="W72">
            <v>82.31</v>
          </cell>
        </row>
        <row r="73">
          <cell r="U73" t="str">
            <v>青羊店</v>
          </cell>
          <cell r="V73" t="str">
            <v>2025-11-29</v>
          </cell>
          <cell r="W73">
            <v>13.05</v>
          </cell>
        </row>
        <row r="74">
          <cell r="U74" t="str">
            <v>观音桥店</v>
          </cell>
          <cell r="V74" t="str">
            <v>2025-11-29</v>
          </cell>
          <cell r="W74">
            <v>32.07</v>
          </cell>
        </row>
        <row r="75">
          <cell r="U75" t="str">
            <v>观音桥店</v>
          </cell>
          <cell r="V75" t="str">
            <v>2025-11-29</v>
          </cell>
          <cell r="W75">
            <v>0.86</v>
          </cell>
        </row>
        <row r="76">
          <cell r="U76" t="str">
            <v>西湖店</v>
          </cell>
          <cell r="V76" t="str">
            <v>2025-11-29</v>
          </cell>
          <cell r="W76">
            <v>78.87</v>
          </cell>
        </row>
        <row r="77">
          <cell r="U77" t="str">
            <v>东新店</v>
          </cell>
          <cell r="V77" t="str">
            <v>2025-11-29</v>
          </cell>
          <cell r="W77">
            <v>0</v>
          </cell>
        </row>
        <row r="78">
          <cell r="U78" t="str">
            <v>东新店</v>
          </cell>
          <cell r="V78" t="str">
            <v>2025-11-29</v>
          </cell>
          <cell r="W78">
            <v>175.67</v>
          </cell>
        </row>
        <row r="79">
          <cell r="U79" t="str">
            <v>大坪店</v>
          </cell>
          <cell r="V79" t="str">
            <v>2025-11-29</v>
          </cell>
          <cell r="W79">
            <v>71.28</v>
          </cell>
        </row>
        <row r="80">
          <cell r="U80" t="str">
            <v>洛江店</v>
          </cell>
          <cell r="V80" t="str">
            <v>2025-11-29</v>
          </cell>
          <cell r="W80">
            <v>0</v>
          </cell>
        </row>
        <row r="81">
          <cell r="U81" t="str">
            <v>官渡店</v>
          </cell>
          <cell r="V81" t="str">
            <v>2025-11-29</v>
          </cell>
          <cell r="W81">
            <v>28.18</v>
          </cell>
        </row>
        <row r="82">
          <cell r="U82" t="str">
            <v>武侯店</v>
          </cell>
          <cell r="V82" t="str">
            <v>2025-11-29</v>
          </cell>
          <cell r="W82">
            <v>1.76</v>
          </cell>
        </row>
        <row r="83">
          <cell r="U83" t="str">
            <v>五华店</v>
          </cell>
          <cell r="V83" t="str">
            <v>2025-11-29</v>
          </cell>
          <cell r="W83">
            <v>26.02</v>
          </cell>
        </row>
        <row r="84">
          <cell r="U84" t="str">
            <v>长沙店</v>
          </cell>
          <cell r="V84" t="str">
            <v>2025-11-29</v>
          </cell>
          <cell r="W84">
            <v>77.17</v>
          </cell>
        </row>
        <row r="85">
          <cell r="U85" t="str">
            <v>文昌店</v>
          </cell>
          <cell r="V85" t="str">
            <v>2025-11-29</v>
          </cell>
          <cell r="W85">
            <v>4.75</v>
          </cell>
        </row>
        <row r="86">
          <cell r="U86" t="str">
            <v>百丈店</v>
          </cell>
          <cell r="V86" t="str">
            <v>2025-11-29</v>
          </cell>
          <cell r="W86">
            <v>20.26</v>
          </cell>
        </row>
        <row r="87">
          <cell r="U87" t="str">
            <v>余杭店</v>
          </cell>
          <cell r="V87" t="str">
            <v>2025-11-29</v>
          </cell>
          <cell r="W87">
            <v>148.26</v>
          </cell>
        </row>
        <row r="88">
          <cell r="U88" t="str">
            <v>首南店</v>
          </cell>
          <cell r="V88" t="str">
            <v>2025-11-29</v>
          </cell>
          <cell r="W88">
            <v>80.94</v>
          </cell>
        </row>
        <row r="89">
          <cell r="U89" t="str">
            <v>百捷店</v>
          </cell>
          <cell r="V89" t="str">
            <v>2025-11-29</v>
          </cell>
          <cell r="W89">
            <v>51.51</v>
          </cell>
        </row>
        <row r="90">
          <cell r="U90" t="str">
            <v>五路口店</v>
          </cell>
          <cell r="V90" t="str">
            <v>2025-11-29</v>
          </cell>
          <cell r="W90">
            <v>86.03</v>
          </cell>
        </row>
        <row r="91">
          <cell r="U91" t="str">
            <v>凤城二路店</v>
          </cell>
          <cell r="V91" t="str">
            <v>2025-11-29</v>
          </cell>
          <cell r="W91">
            <v>119.06</v>
          </cell>
        </row>
        <row r="92">
          <cell r="U92" t="str">
            <v>黄雁村店</v>
          </cell>
          <cell r="V92" t="str">
            <v>2025-11-29</v>
          </cell>
          <cell r="W92">
            <v>101.62</v>
          </cell>
        </row>
        <row r="93">
          <cell r="U93" t="str">
            <v>观桥店</v>
          </cell>
          <cell r="V93" t="str">
            <v>2025-11-29</v>
          </cell>
          <cell r="W93">
            <v>43.49</v>
          </cell>
        </row>
        <row r="94">
          <cell r="U94" t="str">
            <v>文灶店</v>
          </cell>
          <cell r="V94" t="str">
            <v>2025-11-29</v>
          </cell>
          <cell r="W94">
            <v>15.72</v>
          </cell>
        </row>
        <row r="95">
          <cell r="U95" t="str">
            <v>文灶店</v>
          </cell>
          <cell r="V95" t="str">
            <v>2025-11-29</v>
          </cell>
          <cell r="W95">
            <v>2</v>
          </cell>
        </row>
        <row r="96">
          <cell r="U96" t="str">
            <v>东海店</v>
          </cell>
          <cell r="V96" t="str">
            <v>2025-11-29</v>
          </cell>
          <cell r="W96">
            <v>0</v>
          </cell>
        </row>
        <row r="97">
          <cell r="U97" t="str">
            <v>启点店</v>
          </cell>
          <cell r="V97" t="str">
            <v>2025-11-30</v>
          </cell>
          <cell r="W97">
            <v>60.02</v>
          </cell>
        </row>
        <row r="98">
          <cell r="U98" t="str">
            <v>高新店</v>
          </cell>
          <cell r="V98" t="str">
            <v>2025-11-30</v>
          </cell>
          <cell r="W98">
            <v>44.07</v>
          </cell>
        </row>
        <row r="99">
          <cell r="U99" t="str">
            <v>金牛店</v>
          </cell>
          <cell r="V99" t="str">
            <v>2025-11-30</v>
          </cell>
          <cell r="W99">
            <v>4.61</v>
          </cell>
        </row>
        <row r="100">
          <cell r="U100" t="str">
            <v>成华店</v>
          </cell>
          <cell r="V100" t="str">
            <v>2025-11-30</v>
          </cell>
          <cell r="W100">
            <v>36.88</v>
          </cell>
        </row>
        <row r="101">
          <cell r="U101" t="str">
            <v>西山店</v>
          </cell>
          <cell r="V101" t="str">
            <v>2025-11-30</v>
          </cell>
          <cell r="W101">
            <v>24.71</v>
          </cell>
        </row>
        <row r="102">
          <cell r="U102" t="str">
            <v>沙坪坝店</v>
          </cell>
          <cell r="V102" t="str">
            <v>2025-11-30</v>
          </cell>
          <cell r="W102">
            <v>40.26</v>
          </cell>
        </row>
        <row r="103">
          <cell r="U103" t="str">
            <v>济南店</v>
          </cell>
          <cell r="V103" t="str">
            <v>2025-11-30</v>
          </cell>
          <cell r="W103">
            <v>139.03</v>
          </cell>
        </row>
        <row r="104">
          <cell r="U104" t="str">
            <v>青羊店</v>
          </cell>
          <cell r="V104" t="str">
            <v>2025-11-30</v>
          </cell>
          <cell r="W104">
            <v>29.6</v>
          </cell>
        </row>
        <row r="105">
          <cell r="U105" t="str">
            <v>观音桥店</v>
          </cell>
          <cell r="V105" t="str">
            <v>2025-11-30</v>
          </cell>
          <cell r="W105">
            <v>30.25</v>
          </cell>
        </row>
        <row r="106">
          <cell r="U106" t="str">
            <v>观音桥店</v>
          </cell>
          <cell r="V106" t="str">
            <v>2025-11-30</v>
          </cell>
          <cell r="W106">
            <v>0</v>
          </cell>
        </row>
        <row r="107">
          <cell r="U107" t="str">
            <v>西湖店</v>
          </cell>
          <cell r="V107" t="str">
            <v>2025-11-30</v>
          </cell>
          <cell r="W107">
            <v>169.63</v>
          </cell>
        </row>
        <row r="108">
          <cell r="U108" t="str">
            <v>东新店</v>
          </cell>
          <cell r="V108" t="str">
            <v>2025-11-30</v>
          </cell>
          <cell r="W108">
            <v>6.21</v>
          </cell>
        </row>
        <row r="109">
          <cell r="U109" t="str">
            <v>东新店</v>
          </cell>
          <cell r="V109" t="str">
            <v>2025-11-30</v>
          </cell>
          <cell r="W109">
            <v>127.08</v>
          </cell>
        </row>
        <row r="110">
          <cell r="U110" t="str">
            <v>大坪店</v>
          </cell>
          <cell r="V110" t="str">
            <v>2025-11-30</v>
          </cell>
          <cell r="W110">
            <v>51.52</v>
          </cell>
        </row>
        <row r="111">
          <cell r="U111" t="str">
            <v>洛江店</v>
          </cell>
          <cell r="V111" t="str">
            <v>2025-11-30</v>
          </cell>
          <cell r="W111">
            <v>41.93</v>
          </cell>
        </row>
        <row r="112">
          <cell r="U112" t="str">
            <v>官渡店</v>
          </cell>
          <cell r="V112" t="str">
            <v>2025-11-30</v>
          </cell>
          <cell r="W112">
            <v>39.39</v>
          </cell>
        </row>
        <row r="113">
          <cell r="U113" t="str">
            <v>武侯店</v>
          </cell>
          <cell r="V113" t="str">
            <v>2025-11-30</v>
          </cell>
          <cell r="W113">
            <v>0.76</v>
          </cell>
        </row>
        <row r="114">
          <cell r="U114" t="str">
            <v>五华店</v>
          </cell>
          <cell r="V114" t="str">
            <v>2025-11-30</v>
          </cell>
          <cell r="W114">
            <v>18.82</v>
          </cell>
        </row>
        <row r="115">
          <cell r="U115" t="str">
            <v>长沙店</v>
          </cell>
          <cell r="V115" t="str">
            <v>2025-11-30</v>
          </cell>
          <cell r="W115">
            <v>115.8</v>
          </cell>
        </row>
        <row r="116">
          <cell r="U116" t="str">
            <v>文昌店</v>
          </cell>
          <cell r="V116" t="str">
            <v>2025-11-30</v>
          </cell>
          <cell r="W116">
            <v>10.04</v>
          </cell>
        </row>
        <row r="117">
          <cell r="U117" t="str">
            <v>百丈店</v>
          </cell>
          <cell r="V117" t="str">
            <v>2025-11-30</v>
          </cell>
          <cell r="W117">
            <v>47.54</v>
          </cell>
        </row>
        <row r="118">
          <cell r="U118" t="str">
            <v>余杭店</v>
          </cell>
          <cell r="V118" t="str">
            <v>2025-11-30</v>
          </cell>
          <cell r="W118">
            <v>84.89</v>
          </cell>
        </row>
        <row r="119">
          <cell r="U119" t="str">
            <v>首南店</v>
          </cell>
          <cell r="V119" t="str">
            <v>2025-11-30</v>
          </cell>
          <cell r="W119">
            <v>34.15</v>
          </cell>
        </row>
        <row r="120">
          <cell r="U120" t="str">
            <v>百捷店</v>
          </cell>
          <cell r="V120" t="str">
            <v>2025-11-30</v>
          </cell>
          <cell r="W120">
            <v>45.37</v>
          </cell>
        </row>
        <row r="121">
          <cell r="U121" t="str">
            <v>五路口店</v>
          </cell>
          <cell r="V121" t="str">
            <v>2025-11-30</v>
          </cell>
          <cell r="W121">
            <v>61.6</v>
          </cell>
        </row>
        <row r="122">
          <cell r="U122" t="str">
            <v>集美店</v>
          </cell>
          <cell r="V122" t="str">
            <v>2025-11-30</v>
          </cell>
          <cell r="W122">
            <v>0</v>
          </cell>
        </row>
        <row r="123">
          <cell r="U123" t="str">
            <v>凤城二路店</v>
          </cell>
          <cell r="V123" t="str">
            <v>2025-11-30</v>
          </cell>
          <cell r="W123">
            <v>96.15</v>
          </cell>
        </row>
        <row r="124">
          <cell r="U124" t="str">
            <v>黄雁村店</v>
          </cell>
          <cell r="V124" t="str">
            <v>2025-11-30</v>
          </cell>
          <cell r="W124">
            <v>44.75</v>
          </cell>
        </row>
        <row r="125">
          <cell r="U125" t="str">
            <v>观桥店</v>
          </cell>
          <cell r="V125" t="str">
            <v>2025-11-30</v>
          </cell>
          <cell r="W125">
            <v>39.22</v>
          </cell>
        </row>
        <row r="126">
          <cell r="U126" t="str">
            <v>文灶店</v>
          </cell>
          <cell r="V126" t="str">
            <v>2025-11-30</v>
          </cell>
          <cell r="W126">
            <v>20.37</v>
          </cell>
        </row>
        <row r="127">
          <cell r="U127" t="str">
            <v>文灶店</v>
          </cell>
          <cell r="V127" t="str">
            <v>2025-11-30</v>
          </cell>
          <cell r="W127">
            <v>0</v>
          </cell>
        </row>
        <row r="128">
          <cell r="U128" t="str">
            <v>启点店</v>
          </cell>
          <cell r="V128" t="str">
            <v>2025-12-01</v>
          </cell>
          <cell r="W128">
            <v>102.95</v>
          </cell>
        </row>
        <row r="129">
          <cell r="U129" t="str">
            <v>高新店</v>
          </cell>
          <cell r="V129" t="str">
            <v>2025-12-01</v>
          </cell>
          <cell r="W129">
            <v>58.29</v>
          </cell>
        </row>
        <row r="130">
          <cell r="U130" t="str">
            <v>金牛店</v>
          </cell>
          <cell r="V130" t="str">
            <v>2025-12-01</v>
          </cell>
          <cell r="W130">
            <v>27.96</v>
          </cell>
        </row>
        <row r="131">
          <cell r="U131" t="str">
            <v>成华店</v>
          </cell>
          <cell r="V131" t="str">
            <v>2025-12-01</v>
          </cell>
          <cell r="W131">
            <v>70.42</v>
          </cell>
        </row>
        <row r="132">
          <cell r="U132" t="str">
            <v>西山店</v>
          </cell>
          <cell r="V132" t="str">
            <v>2025-12-01</v>
          </cell>
          <cell r="W132">
            <v>19.4</v>
          </cell>
        </row>
        <row r="133">
          <cell r="U133" t="str">
            <v>沙坪坝店</v>
          </cell>
          <cell r="V133" t="str">
            <v>2025-12-01</v>
          </cell>
          <cell r="W133">
            <v>55.32</v>
          </cell>
        </row>
        <row r="134">
          <cell r="U134" t="str">
            <v>济南店</v>
          </cell>
          <cell r="V134" t="str">
            <v>2025-12-01</v>
          </cell>
          <cell r="W134">
            <v>94.06</v>
          </cell>
        </row>
        <row r="135">
          <cell r="U135" t="str">
            <v>青羊店</v>
          </cell>
          <cell r="V135" t="str">
            <v>2025-12-01</v>
          </cell>
          <cell r="W135">
            <v>47.28</v>
          </cell>
        </row>
        <row r="136">
          <cell r="U136" t="str">
            <v>观音桥店</v>
          </cell>
          <cell r="V136" t="str">
            <v>2025-12-01</v>
          </cell>
          <cell r="W136">
            <v>20.77</v>
          </cell>
        </row>
        <row r="137">
          <cell r="U137" t="str">
            <v>观音桥店</v>
          </cell>
          <cell r="V137" t="str">
            <v>2025-12-01</v>
          </cell>
          <cell r="W137">
            <v>0</v>
          </cell>
        </row>
        <row r="138">
          <cell r="U138" t="str">
            <v>西湖店</v>
          </cell>
          <cell r="V138" t="str">
            <v>2025-12-01</v>
          </cell>
          <cell r="W138">
            <v>122.53</v>
          </cell>
        </row>
        <row r="139">
          <cell r="U139" t="str">
            <v>诚毅店</v>
          </cell>
          <cell r="V139" t="str">
            <v>2025-12-01</v>
          </cell>
          <cell r="W139">
            <v>35.13</v>
          </cell>
        </row>
        <row r="140">
          <cell r="U140" t="str">
            <v>湖里店</v>
          </cell>
          <cell r="V140" t="str">
            <v>2025-12-01</v>
          </cell>
          <cell r="W140">
            <v>85.4</v>
          </cell>
        </row>
        <row r="141">
          <cell r="U141" t="str">
            <v>东新店</v>
          </cell>
          <cell r="V141" t="str">
            <v>2025-12-01</v>
          </cell>
          <cell r="W141">
            <v>3.96</v>
          </cell>
        </row>
        <row r="142">
          <cell r="U142" t="str">
            <v>东新店</v>
          </cell>
          <cell r="V142" t="str">
            <v>2025-12-01</v>
          </cell>
          <cell r="W142">
            <v>24.87</v>
          </cell>
        </row>
        <row r="143">
          <cell r="U143" t="str">
            <v>大坪店</v>
          </cell>
          <cell r="V143" t="str">
            <v>2025-12-01</v>
          </cell>
          <cell r="W143">
            <v>69.32</v>
          </cell>
        </row>
        <row r="144">
          <cell r="U144" t="str">
            <v>洛江店</v>
          </cell>
          <cell r="V144" t="str">
            <v>2025-12-01</v>
          </cell>
          <cell r="W144">
            <v>35.54</v>
          </cell>
        </row>
        <row r="145">
          <cell r="U145" t="str">
            <v>官渡店</v>
          </cell>
          <cell r="V145" t="str">
            <v>2025-12-01</v>
          </cell>
          <cell r="W145">
            <v>9.74</v>
          </cell>
        </row>
        <row r="146">
          <cell r="U146" t="str">
            <v>武侯店</v>
          </cell>
          <cell r="V146" t="str">
            <v>2025-12-01</v>
          </cell>
          <cell r="W146">
            <v>28.63</v>
          </cell>
        </row>
        <row r="147">
          <cell r="U147" t="str">
            <v>五华店</v>
          </cell>
          <cell r="V147" t="str">
            <v>2025-12-01</v>
          </cell>
          <cell r="W147">
            <v>18.68</v>
          </cell>
        </row>
        <row r="148">
          <cell r="U148" t="str">
            <v>长沙店</v>
          </cell>
          <cell r="V148" t="str">
            <v>2025-12-01</v>
          </cell>
          <cell r="W148">
            <v>109.45</v>
          </cell>
        </row>
        <row r="149">
          <cell r="U149" t="str">
            <v>鼓楼店</v>
          </cell>
          <cell r="V149" t="str">
            <v>2025-12-01</v>
          </cell>
          <cell r="W149">
            <v>77.56</v>
          </cell>
        </row>
        <row r="150">
          <cell r="U150" t="str">
            <v>鼓楼店</v>
          </cell>
          <cell r="V150" t="str">
            <v>2025-12-01</v>
          </cell>
          <cell r="W150">
            <v>0</v>
          </cell>
        </row>
        <row r="151">
          <cell r="U151" t="str">
            <v>文昌店</v>
          </cell>
          <cell r="V151" t="str">
            <v>2025-12-01</v>
          </cell>
          <cell r="W151">
            <v>7.87</v>
          </cell>
        </row>
        <row r="152">
          <cell r="U152" t="str">
            <v>百丈店</v>
          </cell>
          <cell r="V152" t="str">
            <v>2025-12-01</v>
          </cell>
          <cell r="W152">
            <v>87.56</v>
          </cell>
        </row>
        <row r="153">
          <cell r="U153" t="str">
            <v>余杭店</v>
          </cell>
          <cell r="V153" t="str">
            <v>2025-12-01</v>
          </cell>
          <cell r="W153">
            <v>43.69</v>
          </cell>
        </row>
        <row r="154">
          <cell r="U154" t="str">
            <v>首山店</v>
          </cell>
          <cell r="V154" t="str">
            <v>2025-12-01</v>
          </cell>
          <cell r="W154">
            <v>28.26</v>
          </cell>
        </row>
        <row r="155">
          <cell r="U155" t="str">
            <v>首南店</v>
          </cell>
          <cell r="V155" t="str">
            <v>2025-12-01</v>
          </cell>
          <cell r="W155">
            <v>73.24</v>
          </cell>
        </row>
        <row r="156">
          <cell r="U156" t="str">
            <v>百捷店</v>
          </cell>
          <cell r="V156" t="str">
            <v>2025-12-01</v>
          </cell>
          <cell r="W156">
            <v>81.7</v>
          </cell>
        </row>
        <row r="157">
          <cell r="U157" t="str">
            <v>五路口店</v>
          </cell>
          <cell r="V157" t="str">
            <v>2025-12-01</v>
          </cell>
          <cell r="W157">
            <v>58.36</v>
          </cell>
        </row>
        <row r="158">
          <cell r="U158" t="str">
            <v>凤城二路店</v>
          </cell>
          <cell r="V158" t="str">
            <v>2025-12-01</v>
          </cell>
          <cell r="W158">
            <v>64.86</v>
          </cell>
        </row>
        <row r="159">
          <cell r="U159" t="str">
            <v>黄雁村店</v>
          </cell>
          <cell r="V159" t="str">
            <v>2025-12-01</v>
          </cell>
          <cell r="W159">
            <v>0</v>
          </cell>
        </row>
        <row r="160">
          <cell r="U160" t="str">
            <v>观桥店</v>
          </cell>
          <cell r="V160" t="str">
            <v>2025-12-01</v>
          </cell>
          <cell r="W160">
            <v>47.83</v>
          </cell>
        </row>
        <row r="161">
          <cell r="U161" t="str">
            <v>文灶店</v>
          </cell>
          <cell r="V161" t="str">
            <v>2025-12-01</v>
          </cell>
          <cell r="W161">
            <v>6</v>
          </cell>
        </row>
        <row r="162">
          <cell r="U162" t="str">
            <v>文灶店</v>
          </cell>
          <cell r="V162" t="str">
            <v>2025-12-01</v>
          </cell>
          <cell r="W162">
            <v>0</v>
          </cell>
        </row>
        <row r="163">
          <cell r="U163" t="str">
            <v>东海店</v>
          </cell>
          <cell r="V163" t="str">
            <v>2025-12-01</v>
          </cell>
          <cell r="W163">
            <v>0</v>
          </cell>
        </row>
        <row r="164">
          <cell r="U164" t="str">
            <v>观桥店</v>
          </cell>
          <cell r="V164" t="str">
            <v>2025-12-02</v>
          </cell>
          <cell r="W164">
            <v>27.04</v>
          </cell>
        </row>
        <row r="165">
          <cell r="U165" t="str">
            <v>文灶店</v>
          </cell>
          <cell r="V165" t="str">
            <v>2025-12-02</v>
          </cell>
          <cell r="W165">
            <v>3.03</v>
          </cell>
        </row>
        <row r="166">
          <cell r="U166" t="str">
            <v>文灶店</v>
          </cell>
          <cell r="V166" t="str">
            <v>2025-12-02</v>
          </cell>
          <cell r="W166">
            <v>0</v>
          </cell>
        </row>
        <row r="167">
          <cell r="U167" t="str">
            <v>启点店</v>
          </cell>
          <cell r="V167" t="str">
            <v>2025-12-02</v>
          </cell>
          <cell r="W167">
            <v>64.28</v>
          </cell>
        </row>
        <row r="168">
          <cell r="U168" t="str">
            <v>高新店</v>
          </cell>
          <cell r="V168" t="str">
            <v>2025-12-02</v>
          </cell>
          <cell r="W168">
            <v>68.44</v>
          </cell>
        </row>
        <row r="169">
          <cell r="U169" t="str">
            <v>金牛店</v>
          </cell>
          <cell r="V169" t="str">
            <v>2025-12-02</v>
          </cell>
          <cell r="W169">
            <v>34.47</v>
          </cell>
        </row>
        <row r="170">
          <cell r="U170" t="str">
            <v>成华店</v>
          </cell>
          <cell r="V170" t="str">
            <v>2025-12-02</v>
          </cell>
          <cell r="W170">
            <v>41.34</v>
          </cell>
        </row>
        <row r="171">
          <cell r="U171" t="str">
            <v>西山店</v>
          </cell>
          <cell r="V171" t="str">
            <v>2025-12-02</v>
          </cell>
          <cell r="W171">
            <v>44.55</v>
          </cell>
        </row>
        <row r="172">
          <cell r="U172" t="str">
            <v>百捷店</v>
          </cell>
          <cell r="V172" t="str">
            <v>2025-12-02</v>
          </cell>
          <cell r="W172">
            <v>49.09</v>
          </cell>
        </row>
        <row r="173">
          <cell r="U173" t="str">
            <v>沙坪坝店</v>
          </cell>
          <cell r="V173" t="str">
            <v>2025-12-02</v>
          </cell>
          <cell r="W173">
            <v>57.78</v>
          </cell>
        </row>
        <row r="174">
          <cell r="U174" t="str">
            <v>五路口店</v>
          </cell>
          <cell r="V174" t="str">
            <v>2025-12-02</v>
          </cell>
          <cell r="W174">
            <v>31.74</v>
          </cell>
        </row>
        <row r="175">
          <cell r="U175" t="str">
            <v>济南店</v>
          </cell>
          <cell r="V175" t="str">
            <v>2025-12-02</v>
          </cell>
          <cell r="W175">
            <v>68.7</v>
          </cell>
        </row>
        <row r="176">
          <cell r="U176" t="str">
            <v>青羊店</v>
          </cell>
          <cell r="V176" t="str">
            <v>2025-12-02</v>
          </cell>
          <cell r="W176">
            <v>88.39</v>
          </cell>
        </row>
        <row r="177">
          <cell r="U177" t="str">
            <v>观音桥店</v>
          </cell>
          <cell r="V177" t="str">
            <v>2025-12-02</v>
          </cell>
          <cell r="W177">
            <v>20.07</v>
          </cell>
        </row>
        <row r="178">
          <cell r="U178" t="str">
            <v>观音桥店</v>
          </cell>
          <cell r="V178" t="str">
            <v>2025-12-02</v>
          </cell>
          <cell r="W178">
            <v>0</v>
          </cell>
        </row>
        <row r="179">
          <cell r="U179" t="str">
            <v>西湖店</v>
          </cell>
          <cell r="V179" t="str">
            <v>2025-12-02</v>
          </cell>
          <cell r="W179">
            <v>69.34</v>
          </cell>
        </row>
        <row r="180">
          <cell r="U180" t="str">
            <v>诚毅店</v>
          </cell>
          <cell r="V180" t="str">
            <v>2025-12-02</v>
          </cell>
          <cell r="W180">
            <v>24.89</v>
          </cell>
        </row>
        <row r="181">
          <cell r="U181" t="str">
            <v>湖里店</v>
          </cell>
          <cell r="V181" t="str">
            <v>2025-12-02</v>
          </cell>
          <cell r="W181">
            <v>63.79</v>
          </cell>
        </row>
        <row r="182">
          <cell r="U182" t="str">
            <v>东新店</v>
          </cell>
          <cell r="V182" t="str">
            <v>2025-12-02</v>
          </cell>
          <cell r="W182">
            <v>0</v>
          </cell>
        </row>
        <row r="183">
          <cell r="U183" t="str">
            <v>大坪店</v>
          </cell>
          <cell r="V183" t="str">
            <v>2025-12-02</v>
          </cell>
          <cell r="W183">
            <v>85.78</v>
          </cell>
        </row>
        <row r="184">
          <cell r="U184" t="str">
            <v>凤城二路店</v>
          </cell>
          <cell r="V184" t="str">
            <v>2025-12-02</v>
          </cell>
          <cell r="W184">
            <v>29.5</v>
          </cell>
        </row>
        <row r="185">
          <cell r="U185" t="str">
            <v>洛江店</v>
          </cell>
          <cell r="V185" t="str">
            <v>2025-12-02</v>
          </cell>
          <cell r="W185">
            <v>58.43</v>
          </cell>
        </row>
        <row r="186">
          <cell r="U186" t="str">
            <v>官渡店</v>
          </cell>
          <cell r="V186" t="str">
            <v>2025-12-02</v>
          </cell>
          <cell r="W186">
            <v>25.96</v>
          </cell>
        </row>
        <row r="187">
          <cell r="U187" t="str">
            <v>武侯店</v>
          </cell>
          <cell r="V187" t="str">
            <v>2025-12-02</v>
          </cell>
          <cell r="W187">
            <v>15.63</v>
          </cell>
        </row>
        <row r="188">
          <cell r="U188" t="str">
            <v>黄雁村店</v>
          </cell>
          <cell r="V188" t="str">
            <v>2025-12-02</v>
          </cell>
          <cell r="W188">
            <v>0</v>
          </cell>
        </row>
        <row r="189">
          <cell r="U189" t="str">
            <v>五华店</v>
          </cell>
          <cell r="V189" t="str">
            <v>2025-12-02</v>
          </cell>
          <cell r="W189">
            <v>37.99</v>
          </cell>
        </row>
        <row r="190">
          <cell r="U190" t="str">
            <v>长沙店</v>
          </cell>
          <cell r="V190" t="str">
            <v>2025-12-02</v>
          </cell>
          <cell r="W190">
            <v>78.21</v>
          </cell>
        </row>
        <row r="191">
          <cell r="U191" t="str">
            <v>鼓楼店</v>
          </cell>
          <cell r="V191" t="str">
            <v>2025-12-02</v>
          </cell>
          <cell r="W191">
            <v>46.93</v>
          </cell>
        </row>
        <row r="192">
          <cell r="U192" t="str">
            <v>鼓楼店</v>
          </cell>
          <cell r="V192" t="str">
            <v>2025-12-02</v>
          </cell>
          <cell r="W192">
            <v>0</v>
          </cell>
        </row>
        <row r="193">
          <cell r="U193" t="str">
            <v>文昌店</v>
          </cell>
          <cell r="V193" t="str">
            <v>2025-12-02</v>
          </cell>
          <cell r="W193">
            <v>3.53</v>
          </cell>
        </row>
        <row r="194">
          <cell r="U194" t="str">
            <v>百丈店</v>
          </cell>
          <cell r="V194" t="str">
            <v>2025-12-02</v>
          </cell>
          <cell r="W194">
            <v>77.31</v>
          </cell>
        </row>
        <row r="195">
          <cell r="U195" t="str">
            <v>余杭店</v>
          </cell>
          <cell r="V195" t="str">
            <v>2025-12-02</v>
          </cell>
          <cell r="W195">
            <v>0</v>
          </cell>
        </row>
        <row r="196">
          <cell r="U196" t="str">
            <v>首山店</v>
          </cell>
          <cell r="V196" t="str">
            <v>2025-12-02</v>
          </cell>
          <cell r="W196">
            <v>7.69</v>
          </cell>
        </row>
        <row r="197">
          <cell r="U197" t="str">
            <v>首南店</v>
          </cell>
          <cell r="V197" t="str">
            <v>2025-12-02</v>
          </cell>
          <cell r="W197">
            <v>86.58</v>
          </cell>
        </row>
        <row r="198">
          <cell r="U198" t="str">
            <v>启点店</v>
          </cell>
          <cell r="V198" t="str">
            <v>2025-12-03</v>
          </cell>
          <cell r="W198">
            <v>86.03</v>
          </cell>
        </row>
        <row r="199">
          <cell r="U199" t="str">
            <v>高新店</v>
          </cell>
          <cell r="V199" t="str">
            <v>2025-12-03</v>
          </cell>
          <cell r="W199">
            <v>64.5</v>
          </cell>
        </row>
        <row r="200">
          <cell r="U200" t="str">
            <v>金牛店</v>
          </cell>
          <cell r="V200" t="str">
            <v>2025-12-03</v>
          </cell>
          <cell r="W200">
            <v>16.16</v>
          </cell>
        </row>
        <row r="201">
          <cell r="U201" t="str">
            <v>成华店</v>
          </cell>
          <cell r="V201" t="str">
            <v>2025-12-03</v>
          </cell>
          <cell r="W201">
            <v>53.88</v>
          </cell>
        </row>
        <row r="202">
          <cell r="U202" t="str">
            <v>西山店</v>
          </cell>
          <cell r="V202" t="str">
            <v>2025-12-03</v>
          </cell>
          <cell r="W202">
            <v>19.99</v>
          </cell>
        </row>
        <row r="203">
          <cell r="U203" t="str">
            <v>百捷店</v>
          </cell>
          <cell r="V203" t="str">
            <v>2025-12-03</v>
          </cell>
          <cell r="W203">
            <v>75.54</v>
          </cell>
        </row>
        <row r="204">
          <cell r="U204" t="str">
            <v>沙坪坝店</v>
          </cell>
          <cell r="V204" t="str">
            <v>2025-12-03</v>
          </cell>
          <cell r="W204">
            <v>78.05</v>
          </cell>
        </row>
        <row r="205">
          <cell r="U205" t="str">
            <v>五路口店</v>
          </cell>
          <cell r="V205" t="str">
            <v>2025-12-03</v>
          </cell>
          <cell r="W205">
            <v>32.18</v>
          </cell>
        </row>
        <row r="206">
          <cell r="U206" t="str">
            <v>济南店</v>
          </cell>
          <cell r="V206" t="str">
            <v>2025-12-03</v>
          </cell>
          <cell r="W206">
            <v>83.9</v>
          </cell>
        </row>
        <row r="207">
          <cell r="U207" t="str">
            <v>青羊店</v>
          </cell>
          <cell r="V207" t="str">
            <v>2025-12-03</v>
          </cell>
          <cell r="W207">
            <v>74.41</v>
          </cell>
        </row>
        <row r="208">
          <cell r="U208" t="str">
            <v>观音桥店</v>
          </cell>
          <cell r="V208" t="str">
            <v>2025-12-03</v>
          </cell>
          <cell r="W208">
            <v>43.43</v>
          </cell>
        </row>
        <row r="209">
          <cell r="U209" t="str">
            <v>观音桥店</v>
          </cell>
          <cell r="V209" t="str">
            <v>2025-12-03</v>
          </cell>
          <cell r="W209">
            <v>0</v>
          </cell>
        </row>
        <row r="210">
          <cell r="U210" t="str">
            <v>西湖店</v>
          </cell>
          <cell r="V210" t="str">
            <v>2025-12-03</v>
          </cell>
          <cell r="W210">
            <v>100.38</v>
          </cell>
        </row>
        <row r="211">
          <cell r="U211" t="str">
            <v>诚毅店</v>
          </cell>
          <cell r="V211" t="str">
            <v>2025-12-03</v>
          </cell>
          <cell r="W211">
            <v>61.6</v>
          </cell>
        </row>
        <row r="212">
          <cell r="U212" t="str">
            <v>湖里店</v>
          </cell>
          <cell r="V212" t="str">
            <v>2025-12-03</v>
          </cell>
          <cell r="W212">
            <v>84.18</v>
          </cell>
        </row>
        <row r="213">
          <cell r="U213" t="str">
            <v>东新店</v>
          </cell>
          <cell r="V213" t="str">
            <v>2025-12-03</v>
          </cell>
          <cell r="W213">
            <v>0</v>
          </cell>
        </row>
        <row r="214">
          <cell r="U214" t="str">
            <v>东新店</v>
          </cell>
          <cell r="V214" t="str">
            <v>2025-12-03</v>
          </cell>
          <cell r="W214">
            <v>103.77</v>
          </cell>
        </row>
        <row r="215">
          <cell r="U215" t="str">
            <v>大坪店</v>
          </cell>
          <cell r="V215" t="str">
            <v>2025-12-03</v>
          </cell>
          <cell r="W215">
            <v>95.17</v>
          </cell>
        </row>
        <row r="216">
          <cell r="U216" t="str">
            <v>凤城二路店</v>
          </cell>
          <cell r="V216" t="str">
            <v>2025-12-03</v>
          </cell>
          <cell r="W216">
            <v>49.71</v>
          </cell>
        </row>
        <row r="217">
          <cell r="U217" t="str">
            <v>洛江店</v>
          </cell>
          <cell r="V217" t="str">
            <v>2025-12-03</v>
          </cell>
          <cell r="W217">
            <v>50.13</v>
          </cell>
        </row>
        <row r="218">
          <cell r="U218" t="str">
            <v>官渡店</v>
          </cell>
          <cell r="V218" t="str">
            <v>2025-12-03</v>
          </cell>
          <cell r="W218">
            <v>16.97</v>
          </cell>
        </row>
        <row r="219">
          <cell r="U219" t="str">
            <v>武侯店</v>
          </cell>
          <cell r="V219" t="str">
            <v>2025-12-03</v>
          </cell>
          <cell r="W219">
            <v>25.38</v>
          </cell>
        </row>
        <row r="220">
          <cell r="U220" t="str">
            <v>黄雁村店</v>
          </cell>
          <cell r="V220" t="str">
            <v>2025-12-03</v>
          </cell>
          <cell r="W220">
            <v>49.47</v>
          </cell>
        </row>
        <row r="221">
          <cell r="U221" t="str">
            <v>五华店</v>
          </cell>
          <cell r="V221" t="str">
            <v>2025-12-03</v>
          </cell>
          <cell r="W221">
            <v>24.1</v>
          </cell>
        </row>
        <row r="222">
          <cell r="U222" t="str">
            <v>长沙店</v>
          </cell>
          <cell r="V222" t="str">
            <v>2025-12-03</v>
          </cell>
          <cell r="W222">
            <v>73.14</v>
          </cell>
        </row>
        <row r="223">
          <cell r="U223" t="str">
            <v>鼓楼店</v>
          </cell>
          <cell r="V223" t="str">
            <v>2025-12-03</v>
          </cell>
          <cell r="W223">
            <v>58.15</v>
          </cell>
        </row>
        <row r="224">
          <cell r="U224" t="str">
            <v>鼓楼店</v>
          </cell>
          <cell r="V224" t="str">
            <v>2025-12-03</v>
          </cell>
          <cell r="W224">
            <v>0</v>
          </cell>
        </row>
        <row r="225">
          <cell r="U225" t="str">
            <v>文昌店</v>
          </cell>
          <cell r="V225" t="str">
            <v>2025-12-03</v>
          </cell>
          <cell r="W225">
            <v>14.73</v>
          </cell>
        </row>
        <row r="226">
          <cell r="U226" t="str">
            <v>百丈店</v>
          </cell>
          <cell r="V226" t="str">
            <v>2025-12-03</v>
          </cell>
          <cell r="W226">
            <v>55.81</v>
          </cell>
        </row>
        <row r="227">
          <cell r="U227" t="str">
            <v>余杭店</v>
          </cell>
          <cell r="V227" t="str">
            <v>2025-12-03</v>
          </cell>
          <cell r="W227">
            <v>0</v>
          </cell>
        </row>
        <row r="228">
          <cell r="U228" t="str">
            <v>首山店</v>
          </cell>
          <cell r="V228" t="str">
            <v>2025-12-03</v>
          </cell>
          <cell r="W228">
            <v>27.3</v>
          </cell>
        </row>
        <row r="229">
          <cell r="U229" t="str">
            <v>首南店</v>
          </cell>
          <cell r="V229" t="str">
            <v>2025-12-03</v>
          </cell>
          <cell r="W229">
            <v>87.76</v>
          </cell>
        </row>
        <row r="230">
          <cell r="U230" t="str">
            <v>滨江店</v>
          </cell>
          <cell r="V230" t="str">
            <v>2025-12-03</v>
          </cell>
          <cell r="W230">
            <v>46.53</v>
          </cell>
        </row>
        <row r="231">
          <cell r="U231" t="str">
            <v>观桥店</v>
          </cell>
          <cell r="V231" t="str">
            <v>2025-12-03</v>
          </cell>
          <cell r="W231">
            <v>31.74</v>
          </cell>
        </row>
        <row r="232">
          <cell r="U232" t="str">
            <v>文灶店</v>
          </cell>
          <cell r="V232" t="str">
            <v>2025-12-03</v>
          </cell>
          <cell r="W232">
            <v>10.85</v>
          </cell>
        </row>
        <row r="233">
          <cell r="U233" t="str">
            <v>文灶店</v>
          </cell>
          <cell r="V233" t="str">
            <v>2025-12-03</v>
          </cell>
          <cell r="W233">
            <v>0</v>
          </cell>
        </row>
        <row r="234">
          <cell r="U234" t="str">
            <v>启点店</v>
          </cell>
          <cell r="V234" t="str">
            <v>2025-12-04</v>
          </cell>
          <cell r="W234">
            <v>57.1</v>
          </cell>
        </row>
        <row r="235">
          <cell r="U235" t="str">
            <v>高新店</v>
          </cell>
          <cell r="V235" t="str">
            <v>2025-12-04</v>
          </cell>
          <cell r="W235">
            <v>43.15</v>
          </cell>
        </row>
        <row r="236">
          <cell r="U236" t="str">
            <v>金牛店</v>
          </cell>
          <cell r="V236" t="str">
            <v>2025-12-04</v>
          </cell>
          <cell r="W236">
            <v>36.33</v>
          </cell>
        </row>
        <row r="237">
          <cell r="U237" t="str">
            <v>成华店</v>
          </cell>
          <cell r="V237" t="str">
            <v>2025-12-04</v>
          </cell>
          <cell r="W237">
            <v>71.78</v>
          </cell>
        </row>
        <row r="238">
          <cell r="U238" t="str">
            <v>西山店</v>
          </cell>
          <cell r="V238" t="str">
            <v>2025-12-04</v>
          </cell>
          <cell r="W238">
            <v>24</v>
          </cell>
        </row>
        <row r="239">
          <cell r="U239" t="str">
            <v>百捷店</v>
          </cell>
          <cell r="V239" t="str">
            <v>2025-12-04</v>
          </cell>
          <cell r="W239">
            <v>56.5</v>
          </cell>
        </row>
        <row r="240">
          <cell r="U240" t="str">
            <v>沙坪坝店</v>
          </cell>
          <cell r="V240" t="str">
            <v>2025-12-04</v>
          </cell>
          <cell r="W240">
            <v>48.74</v>
          </cell>
        </row>
        <row r="241">
          <cell r="U241" t="str">
            <v>五路口店</v>
          </cell>
          <cell r="V241" t="str">
            <v>2025-12-04</v>
          </cell>
          <cell r="W241">
            <v>44.8</v>
          </cell>
        </row>
        <row r="242">
          <cell r="U242" t="str">
            <v>济南店</v>
          </cell>
          <cell r="V242" t="str">
            <v>2025-12-04</v>
          </cell>
          <cell r="W242">
            <v>116.06</v>
          </cell>
        </row>
        <row r="243">
          <cell r="U243" t="str">
            <v>青羊店</v>
          </cell>
          <cell r="V243" t="str">
            <v>2025-12-04</v>
          </cell>
          <cell r="W243">
            <v>17.93</v>
          </cell>
        </row>
        <row r="244">
          <cell r="U244" t="str">
            <v>观音桥店</v>
          </cell>
          <cell r="V244" t="str">
            <v>2025-12-04</v>
          </cell>
          <cell r="W244">
            <v>64.44</v>
          </cell>
        </row>
        <row r="245">
          <cell r="U245" t="str">
            <v>观音桥店</v>
          </cell>
          <cell r="V245" t="str">
            <v>2025-12-04</v>
          </cell>
          <cell r="W245">
            <v>1.44</v>
          </cell>
        </row>
        <row r="246">
          <cell r="U246" t="str">
            <v>西湖店</v>
          </cell>
          <cell r="V246" t="str">
            <v>2025-12-04</v>
          </cell>
          <cell r="W246">
            <v>85.83</v>
          </cell>
        </row>
        <row r="247">
          <cell r="U247" t="str">
            <v>诚毅店</v>
          </cell>
          <cell r="V247" t="str">
            <v>2025-12-04</v>
          </cell>
          <cell r="W247">
            <v>55.64</v>
          </cell>
        </row>
        <row r="248">
          <cell r="U248" t="str">
            <v>湖里店</v>
          </cell>
          <cell r="V248" t="str">
            <v>2025-12-04</v>
          </cell>
          <cell r="W248">
            <v>99.31</v>
          </cell>
        </row>
        <row r="249">
          <cell r="U249" t="str">
            <v>东新店</v>
          </cell>
          <cell r="V249" t="str">
            <v>2025-12-04</v>
          </cell>
          <cell r="W249">
            <v>0</v>
          </cell>
        </row>
        <row r="250">
          <cell r="U250" t="str">
            <v>东新店</v>
          </cell>
          <cell r="V250" t="str">
            <v>2025-12-04</v>
          </cell>
          <cell r="W250">
            <v>83.98</v>
          </cell>
        </row>
        <row r="251">
          <cell r="U251" t="str">
            <v>大坪店</v>
          </cell>
          <cell r="V251" t="str">
            <v>2025-12-04</v>
          </cell>
          <cell r="W251">
            <v>96.77</v>
          </cell>
        </row>
        <row r="252">
          <cell r="U252" t="str">
            <v>凤城二路店</v>
          </cell>
          <cell r="V252" t="str">
            <v>2025-12-04</v>
          </cell>
          <cell r="W252">
            <v>51.55</v>
          </cell>
        </row>
        <row r="253">
          <cell r="U253" t="str">
            <v>洛江店</v>
          </cell>
          <cell r="V253" t="str">
            <v>2025-12-04</v>
          </cell>
          <cell r="W253">
            <v>71.86</v>
          </cell>
        </row>
        <row r="254">
          <cell r="U254" t="str">
            <v>官渡店</v>
          </cell>
          <cell r="V254" t="str">
            <v>2025-12-04</v>
          </cell>
          <cell r="W254">
            <v>15.16</v>
          </cell>
        </row>
        <row r="255">
          <cell r="U255" t="str">
            <v>武侯店</v>
          </cell>
          <cell r="V255" t="str">
            <v>2025-12-04</v>
          </cell>
          <cell r="W255">
            <v>20.54</v>
          </cell>
        </row>
        <row r="256">
          <cell r="U256" t="str">
            <v>黄雁村店</v>
          </cell>
          <cell r="V256" t="str">
            <v>2025-12-04</v>
          </cell>
          <cell r="W256">
            <v>67.95</v>
          </cell>
        </row>
        <row r="257">
          <cell r="U257" t="str">
            <v>五华店</v>
          </cell>
          <cell r="V257" t="str">
            <v>2025-12-04</v>
          </cell>
          <cell r="W257">
            <v>26.89</v>
          </cell>
        </row>
        <row r="258">
          <cell r="U258" t="str">
            <v>长沙店</v>
          </cell>
          <cell r="V258" t="str">
            <v>2025-12-04</v>
          </cell>
          <cell r="W258">
            <v>83.3</v>
          </cell>
        </row>
        <row r="259">
          <cell r="U259" t="str">
            <v>鼓楼店</v>
          </cell>
          <cell r="V259" t="str">
            <v>2025-12-04</v>
          </cell>
          <cell r="W259">
            <v>61.82</v>
          </cell>
        </row>
        <row r="260">
          <cell r="U260" t="str">
            <v>鼓楼店</v>
          </cell>
          <cell r="V260" t="str">
            <v>2025-12-04</v>
          </cell>
          <cell r="W260">
            <v>0</v>
          </cell>
        </row>
        <row r="261">
          <cell r="U261" t="str">
            <v>文昌店</v>
          </cell>
          <cell r="V261" t="str">
            <v>2025-12-04</v>
          </cell>
          <cell r="W261">
            <v>16.78</v>
          </cell>
        </row>
        <row r="262">
          <cell r="U262" t="str">
            <v>百丈店</v>
          </cell>
          <cell r="V262" t="str">
            <v>2025-12-04</v>
          </cell>
          <cell r="W262">
            <v>40.72</v>
          </cell>
        </row>
        <row r="263">
          <cell r="U263" t="str">
            <v>余杭店</v>
          </cell>
          <cell r="V263" t="str">
            <v>2025-12-04</v>
          </cell>
          <cell r="W263">
            <v>75.87</v>
          </cell>
        </row>
        <row r="264">
          <cell r="U264" t="str">
            <v>首山店</v>
          </cell>
          <cell r="V264" t="str">
            <v>2025-12-04</v>
          </cell>
          <cell r="W264">
            <v>17.86</v>
          </cell>
        </row>
        <row r="265">
          <cell r="U265" t="str">
            <v>首南店</v>
          </cell>
          <cell r="V265" t="str">
            <v>2025-12-04</v>
          </cell>
          <cell r="W265">
            <v>175.34</v>
          </cell>
        </row>
        <row r="266">
          <cell r="U266" t="str">
            <v>滨江店</v>
          </cell>
          <cell r="V266" t="str">
            <v>2025-12-04</v>
          </cell>
          <cell r="W266">
            <v>48.33</v>
          </cell>
        </row>
        <row r="267">
          <cell r="U267" t="str">
            <v>观桥店</v>
          </cell>
          <cell r="V267" t="str">
            <v>2025-12-04</v>
          </cell>
          <cell r="W267">
            <v>27.1</v>
          </cell>
        </row>
        <row r="268">
          <cell r="U268" t="str">
            <v>文灶店</v>
          </cell>
          <cell r="V268" t="str">
            <v>2025-12-04</v>
          </cell>
          <cell r="W268">
            <v>2.87</v>
          </cell>
        </row>
        <row r="269">
          <cell r="U269" t="str">
            <v>文灶店</v>
          </cell>
          <cell r="V269" t="str">
            <v>2025-12-04</v>
          </cell>
          <cell r="W269">
            <v>0</v>
          </cell>
        </row>
        <row r="270">
          <cell r="U270" t="str">
            <v>启点店</v>
          </cell>
          <cell r="V270" t="str">
            <v>2025-12-05</v>
          </cell>
          <cell r="W270">
            <v>53.15</v>
          </cell>
        </row>
        <row r="271">
          <cell r="U271" t="str">
            <v>高新店</v>
          </cell>
          <cell r="V271" t="str">
            <v>2025-12-05</v>
          </cell>
          <cell r="W271">
            <v>64.59</v>
          </cell>
        </row>
        <row r="272">
          <cell r="U272" t="str">
            <v>金牛店</v>
          </cell>
          <cell r="V272" t="str">
            <v>2025-12-05</v>
          </cell>
          <cell r="W272">
            <v>29.24</v>
          </cell>
        </row>
        <row r="273">
          <cell r="U273" t="str">
            <v>成华店</v>
          </cell>
          <cell r="V273" t="str">
            <v>2025-12-05</v>
          </cell>
          <cell r="W273">
            <v>41.05</v>
          </cell>
        </row>
        <row r="274">
          <cell r="U274" t="str">
            <v>西山店</v>
          </cell>
          <cell r="V274" t="str">
            <v>2025-12-05</v>
          </cell>
          <cell r="W274">
            <v>39.85</v>
          </cell>
        </row>
        <row r="275">
          <cell r="U275" t="str">
            <v>百捷店</v>
          </cell>
          <cell r="V275" t="str">
            <v>2025-12-05</v>
          </cell>
          <cell r="W275">
            <v>57.98</v>
          </cell>
        </row>
        <row r="276">
          <cell r="U276" t="str">
            <v>沙坪坝店</v>
          </cell>
          <cell r="V276" t="str">
            <v>2025-12-05</v>
          </cell>
          <cell r="W276">
            <v>50.65</v>
          </cell>
        </row>
        <row r="277">
          <cell r="U277" t="str">
            <v>五路口店</v>
          </cell>
          <cell r="V277" t="str">
            <v>2025-12-05</v>
          </cell>
          <cell r="W277">
            <v>79.32</v>
          </cell>
        </row>
        <row r="278">
          <cell r="U278" t="str">
            <v>济南店</v>
          </cell>
          <cell r="V278" t="str">
            <v>2025-12-05</v>
          </cell>
          <cell r="W278">
            <v>84.15</v>
          </cell>
        </row>
        <row r="279">
          <cell r="U279" t="str">
            <v>青羊店</v>
          </cell>
          <cell r="V279" t="str">
            <v>2025-12-05</v>
          </cell>
          <cell r="W279">
            <v>52.23</v>
          </cell>
        </row>
        <row r="280">
          <cell r="U280" t="str">
            <v>观音桥店</v>
          </cell>
          <cell r="V280" t="str">
            <v>2025-12-05</v>
          </cell>
          <cell r="W280">
            <v>46.81</v>
          </cell>
        </row>
        <row r="281">
          <cell r="U281" t="str">
            <v>观音桥店</v>
          </cell>
          <cell r="V281" t="str">
            <v>2025-12-05</v>
          </cell>
          <cell r="W281">
            <v>0</v>
          </cell>
        </row>
        <row r="282">
          <cell r="U282" t="str">
            <v>西湖店</v>
          </cell>
          <cell r="V282" t="str">
            <v>2025-12-05</v>
          </cell>
          <cell r="W282">
            <v>99.92</v>
          </cell>
        </row>
        <row r="283">
          <cell r="U283" t="str">
            <v>诚毅店</v>
          </cell>
          <cell r="V283" t="str">
            <v>2025-12-05</v>
          </cell>
          <cell r="W283">
            <v>39.37</v>
          </cell>
        </row>
        <row r="284">
          <cell r="U284" t="str">
            <v>湖里店</v>
          </cell>
          <cell r="V284" t="str">
            <v>2025-12-05</v>
          </cell>
          <cell r="W284">
            <v>69.37</v>
          </cell>
        </row>
        <row r="285">
          <cell r="U285" t="str">
            <v>东新店</v>
          </cell>
          <cell r="V285" t="str">
            <v>2025-12-05</v>
          </cell>
          <cell r="W285">
            <v>0</v>
          </cell>
        </row>
        <row r="286">
          <cell r="U286" t="str">
            <v>东新店</v>
          </cell>
          <cell r="V286" t="str">
            <v>2025-12-05</v>
          </cell>
          <cell r="W286">
            <v>131.55</v>
          </cell>
        </row>
        <row r="287">
          <cell r="U287" t="str">
            <v>大坪店</v>
          </cell>
          <cell r="V287" t="str">
            <v>2025-12-05</v>
          </cell>
          <cell r="W287">
            <v>72.12</v>
          </cell>
        </row>
        <row r="288">
          <cell r="U288" t="str">
            <v>凤城二路店</v>
          </cell>
          <cell r="V288" t="str">
            <v>2025-12-05</v>
          </cell>
          <cell r="W288">
            <v>70.47</v>
          </cell>
        </row>
        <row r="289">
          <cell r="U289" t="str">
            <v>洛江店</v>
          </cell>
          <cell r="V289" t="str">
            <v>2025-12-05</v>
          </cell>
          <cell r="W289">
            <v>77.4</v>
          </cell>
        </row>
        <row r="290">
          <cell r="U290" t="str">
            <v>官渡店</v>
          </cell>
          <cell r="V290" t="str">
            <v>2025-12-05</v>
          </cell>
          <cell r="W290">
            <v>47.37</v>
          </cell>
        </row>
        <row r="291">
          <cell r="U291" t="str">
            <v>武侯店</v>
          </cell>
          <cell r="V291" t="str">
            <v>2025-12-05</v>
          </cell>
          <cell r="W291">
            <v>37.08</v>
          </cell>
        </row>
        <row r="292">
          <cell r="U292" t="str">
            <v>黄雁村店</v>
          </cell>
          <cell r="V292" t="str">
            <v>2025-12-05</v>
          </cell>
          <cell r="W292">
            <v>66.87</v>
          </cell>
        </row>
        <row r="293">
          <cell r="U293" t="str">
            <v>五华店</v>
          </cell>
          <cell r="V293" t="str">
            <v>2025-12-05</v>
          </cell>
          <cell r="W293">
            <v>72.21</v>
          </cell>
        </row>
        <row r="294">
          <cell r="U294" t="str">
            <v>长沙店</v>
          </cell>
          <cell r="V294" t="str">
            <v>2025-12-05</v>
          </cell>
          <cell r="W294">
            <v>86.33</v>
          </cell>
        </row>
        <row r="295">
          <cell r="U295" t="str">
            <v>鼓楼店</v>
          </cell>
          <cell r="V295" t="str">
            <v>2025-12-05</v>
          </cell>
          <cell r="W295">
            <v>51.16</v>
          </cell>
        </row>
        <row r="296">
          <cell r="U296" t="str">
            <v>鼓楼店</v>
          </cell>
          <cell r="V296" t="str">
            <v>2025-12-05</v>
          </cell>
          <cell r="W296">
            <v>0</v>
          </cell>
        </row>
        <row r="297">
          <cell r="U297" t="str">
            <v>文昌店</v>
          </cell>
          <cell r="V297" t="str">
            <v>2025-12-05</v>
          </cell>
          <cell r="W297">
            <v>32.73</v>
          </cell>
        </row>
        <row r="298">
          <cell r="U298" t="str">
            <v>百丈店</v>
          </cell>
          <cell r="V298" t="str">
            <v>2025-12-05</v>
          </cell>
          <cell r="W298">
            <v>38.13</v>
          </cell>
        </row>
        <row r="299">
          <cell r="U299" t="str">
            <v>余杭店</v>
          </cell>
          <cell r="V299" t="str">
            <v>2025-12-05</v>
          </cell>
          <cell r="W299">
            <v>24.13</v>
          </cell>
        </row>
        <row r="300">
          <cell r="U300" t="str">
            <v>首山店</v>
          </cell>
          <cell r="V300" t="str">
            <v>2025-12-05</v>
          </cell>
          <cell r="W300">
            <v>16.71</v>
          </cell>
        </row>
        <row r="301">
          <cell r="U301" t="str">
            <v>首南店</v>
          </cell>
          <cell r="V301" t="str">
            <v>2025-12-05</v>
          </cell>
          <cell r="W301">
            <v>169.22</v>
          </cell>
        </row>
        <row r="302">
          <cell r="U302" t="str">
            <v>滨江店</v>
          </cell>
          <cell r="V302" t="str">
            <v>2025-12-05</v>
          </cell>
          <cell r="W302">
            <v>47.56</v>
          </cell>
        </row>
        <row r="303">
          <cell r="U303" t="str">
            <v>观桥店</v>
          </cell>
          <cell r="V303" t="str">
            <v>2025-12-05</v>
          </cell>
          <cell r="W303">
            <v>49.22</v>
          </cell>
        </row>
        <row r="304">
          <cell r="U304" t="str">
            <v>文灶店</v>
          </cell>
          <cell r="V304" t="str">
            <v>2025-12-05</v>
          </cell>
          <cell r="W304">
            <v>6.58</v>
          </cell>
        </row>
        <row r="305">
          <cell r="U305" t="str">
            <v>文灶店</v>
          </cell>
          <cell r="V305" t="str">
            <v>2025-12-05</v>
          </cell>
          <cell r="W305">
            <v>0.5</v>
          </cell>
        </row>
        <row r="306">
          <cell r="U306" t="str">
            <v>启点店</v>
          </cell>
          <cell r="V306" t="str">
            <v>2025-12-06</v>
          </cell>
          <cell r="W306">
            <v>72.72</v>
          </cell>
        </row>
        <row r="307">
          <cell r="U307" t="str">
            <v>高新店</v>
          </cell>
          <cell r="V307" t="str">
            <v>2025-12-06</v>
          </cell>
          <cell r="W307">
            <v>68.2</v>
          </cell>
        </row>
        <row r="308">
          <cell r="U308" t="str">
            <v>金牛店</v>
          </cell>
          <cell r="V308" t="str">
            <v>2025-12-06</v>
          </cell>
          <cell r="W308">
            <v>55.61</v>
          </cell>
        </row>
        <row r="309">
          <cell r="U309" t="str">
            <v>成华店</v>
          </cell>
          <cell r="V309" t="str">
            <v>2025-12-06</v>
          </cell>
          <cell r="W309">
            <v>86.28</v>
          </cell>
        </row>
        <row r="310">
          <cell r="U310" t="str">
            <v>西山店</v>
          </cell>
          <cell r="V310" t="str">
            <v>2025-12-06</v>
          </cell>
          <cell r="W310">
            <v>25.66</v>
          </cell>
        </row>
        <row r="311">
          <cell r="U311" t="str">
            <v>百捷店</v>
          </cell>
          <cell r="V311" t="str">
            <v>2025-12-06</v>
          </cell>
          <cell r="W311">
            <v>35.76</v>
          </cell>
        </row>
        <row r="312">
          <cell r="U312" t="str">
            <v>沙坪坝店</v>
          </cell>
          <cell r="V312" t="str">
            <v>2025-12-06</v>
          </cell>
          <cell r="W312">
            <v>73.19</v>
          </cell>
        </row>
        <row r="313">
          <cell r="U313" t="str">
            <v>五路口店</v>
          </cell>
          <cell r="V313" t="str">
            <v>2025-12-06</v>
          </cell>
          <cell r="W313">
            <v>85.3</v>
          </cell>
        </row>
        <row r="314">
          <cell r="U314" t="str">
            <v>济南店</v>
          </cell>
          <cell r="V314" t="str">
            <v>2025-12-06</v>
          </cell>
          <cell r="W314">
            <v>117.66</v>
          </cell>
        </row>
        <row r="315">
          <cell r="U315" t="str">
            <v>青羊店</v>
          </cell>
          <cell r="V315" t="str">
            <v>2025-12-06</v>
          </cell>
          <cell r="W315">
            <v>67.57</v>
          </cell>
        </row>
        <row r="316">
          <cell r="U316" t="str">
            <v>观音桥店</v>
          </cell>
          <cell r="V316" t="str">
            <v>2025-12-06</v>
          </cell>
          <cell r="W316">
            <v>62.98</v>
          </cell>
        </row>
        <row r="317">
          <cell r="U317" t="str">
            <v>观音桥店</v>
          </cell>
          <cell r="V317" t="str">
            <v>2025-12-06</v>
          </cell>
          <cell r="W317">
            <v>2.05</v>
          </cell>
        </row>
        <row r="318">
          <cell r="U318" t="str">
            <v>西湖店</v>
          </cell>
          <cell r="V318" t="str">
            <v>2025-12-06</v>
          </cell>
          <cell r="W318">
            <v>84.61</v>
          </cell>
        </row>
        <row r="319">
          <cell r="U319" t="str">
            <v>诚毅店</v>
          </cell>
          <cell r="V319" t="str">
            <v>2025-12-06</v>
          </cell>
          <cell r="W319">
            <v>29.88</v>
          </cell>
        </row>
        <row r="320">
          <cell r="U320" t="str">
            <v>湖里店</v>
          </cell>
          <cell r="V320" t="str">
            <v>2025-12-06</v>
          </cell>
          <cell r="W320">
            <v>72.25</v>
          </cell>
        </row>
        <row r="321">
          <cell r="U321" t="str">
            <v>东新店</v>
          </cell>
          <cell r="V321" t="str">
            <v>2025-12-06</v>
          </cell>
          <cell r="W321">
            <v>0</v>
          </cell>
        </row>
        <row r="322">
          <cell r="U322" t="str">
            <v>东新店</v>
          </cell>
          <cell r="V322" t="str">
            <v>2025-12-06</v>
          </cell>
          <cell r="W322">
            <v>120.99</v>
          </cell>
        </row>
        <row r="323">
          <cell r="U323" t="str">
            <v>大坪店</v>
          </cell>
          <cell r="V323" t="str">
            <v>2025-12-06</v>
          </cell>
          <cell r="W323">
            <v>96.05</v>
          </cell>
        </row>
        <row r="324">
          <cell r="U324" t="str">
            <v>凤城二路店</v>
          </cell>
          <cell r="V324" t="str">
            <v>2025-12-06</v>
          </cell>
          <cell r="W324">
            <v>63.68</v>
          </cell>
        </row>
        <row r="325">
          <cell r="U325" t="str">
            <v>洛江店</v>
          </cell>
          <cell r="V325" t="str">
            <v>2025-12-06</v>
          </cell>
          <cell r="W325">
            <v>50.36</v>
          </cell>
        </row>
        <row r="326">
          <cell r="U326" t="str">
            <v>官渡店</v>
          </cell>
          <cell r="V326" t="str">
            <v>2025-12-06</v>
          </cell>
          <cell r="W326">
            <v>19.36</v>
          </cell>
        </row>
        <row r="327">
          <cell r="U327" t="str">
            <v>武侯店</v>
          </cell>
          <cell r="V327" t="str">
            <v>2025-12-06</v>
          </cell>
          <cell r="W327">
            <v>50.89</v>
          </cell>
        </row>
        <row r="328">
          <cell r="U328" t="str">
            <v>黄雁村店</v>
          </cell>
          <cell r="V328" t="str">
            <v>2025-12-06</v>
          </cell>
          <cell r="W328">
            <v>76.61</v>
          </cell>
        </row>
        <row r="329">
          <cell r="U329" t="str">
            <v>五华店</v>
          </cell>
          <cell r="V329" t="str">
            <v>2025-12-06</v>
          </cell>
          <cell r="W329">
            <v>21.82</v>
          </cell>
        </row>
        <row r="330">
          <cell r="U330" t="str">
            <v>长沙店</v>
          </cell>
          <cell r="V330" t="str">
            <v>2025-12-06</v>
          </cell>
          <cell r="W330">
            <v>74.82</v>
          </cell>
        </row>
        <row r="331">
          <cell r="U331" t="str">
            <v>鼓楼店</v>
          </cell>
          <cell r="V331" t="str">
            <v>2025-12-06</v>
          </cell>
          <cell r="W331">
            <v>43.25</v>
          </cell>
        </row>
        <row r="332">
          <cell r="U332" t="str">
            <v>鼓楼店</v>
          </cell>
          <cell r="V332" t="str">
            <v>2025-12-06</v>
          </cell>
          <cell r="W332">
            <v>0</v>
          </cell>
        </row>
        <row r="333">
          <cell r="U333" t="str">
            <v>文昌店</v>
          </cell>
          <cell r="V333" t="str">
            <v>2025-12-06</v>
          </cell>
          <cell r="W333">
            <v>28.67</v>
          </cell>
        </row>
        <row r="334">
          <cell r="U334" t="str">
            <v>百丈店</v>
          </cell>
          <cell r="V334" t="str">
            <v>2025-12-06</v>
          </cell>
          <cell r="W334">
            <v>34.63</v>
          </cell>
        </row>
        <row r="335">
          <cell r="U335" t="str">
            <v>首山店</v>
          </cell>
          <cell r="V335" t="str">
            <v>2025-12-06</v>
          </cell>
          <cell r="W335">
            <v>19.26</v>
          </cell>
        </row>
        <row r="336">
          <cell r="U336" t="str">
            <v>首南店</v>
          </cell>
          <cell r="V336" t="str">
            <v>2025-12-06</v>
          </cell>
          <cell r="W336">
            <v>259.82</v>
          </cell>
        </row>
        <row r="337">
          <cell r="U337" t="str">
            <v>滨江店</v>
          </cell>
          <cell r="V337" t="str">
            <v>2025-12-06</v>
          </cell>
          <cell r="W337">
            <v>99.37</v>
          </cell>
        </row>
        <row r="338">
          <cell r="U338" t="str">
            <v>观桥店</v>
          </cell>
          <cell r="V338" t="str">
            <v>2025-12-06</v>
          </cell>
          <cell r="W338">
            <v>33.01</v>
          </cell>
        </row>
        <row r="339">
          <cell r="U339" t="str">
            <v>文灶店</v>
          </cell>
          <cell r="V339" t="str">
            <v>2025-12-06</v>
          </cell>
          <cell r="W339">
            <v>25.14</v>
          </cell>
        </row>
        <row r="340">
          <cell r="U340" t="str">
            <v>文灶店</v>
          </cell>
          <cell r="V340" t="str">
            <v>2025-12-06</v>
          </cell>
          <cell r="W340">
            <v>0</v>
          </cell>
        </row>
        <row r="341">
          <cell r="U341" t="str">
            <v>启点店</v>
          </cell>
          <cell r="V341" t="str">
            <v>2025-12-07</v>
          </cell>
          <cell r="W341">
            <v>83.56</v>
          </cell>
        </row>
        <row r="342">
          <cell r="U342" t="str">
            <v>高新店</v>
          </cell>
          <cell r="V342" t="str">
            <v>2025-12-07</v>
          </cell>
          <cell r="W342">
            <v>48.74</v>
          </cell>
        </row>
        <row r="343">
          <cell r="U343" t="str">
            <v>金牛店</v>
          </cell>
          <cell r="V343" t="str">
            <v>2025-12-07</v>
          </cell>
          <cell r="W343">
            <v>27.31</v>
          </cell>
        </row>
        <row r="344">
          <cell r="U344" t="str">
            <v>成华店</v>
          </cell>
          <cell r="V344" t="str">
            <v>2025-12-07</v>
          </cell>
          <cell r="W344">
            <v>71.07</v>
          </cell>
        </row>
        <row r="345">
          <cell r="U345" t="str">
            <v>西山店</v>
          </cell>
          <cell r="V345" t="str">
            <v>2025-12-07</v>
          </cell>
          <cell r="W345">
            <v>57.35</v>
          </cell>
        </row>
        <row r="346">
          <cell r="U346" t="str">
            <v>百捷店</v>
          </cell>
          <cell r="V346" t="str">
            <v>2025-12-07</v>
          </cell>
          <cell r="W346">
            <v>51.86</v>
          </cell>
        </row>
        <row r="347">
          <cell r="U347" t="str">
            <v>沙坪坝店</v>
          </cell>
          <cell r="V347" t="str">
            <v>2025-12-07</v>
          </cell>
          <cell r="W347">
            <v>42.08</v>
          </cell>
        </row>
        <row r="348">
          <cell r="U348" t="str">
            <v>五路口店</v>
          </cell>
          <cell r="V348" t="str">
            <v>2025-12-07</v>
          </cell>
          <cell r="W348">
            <v>51.08</v>
          </cell>
        </row>
        <row r="349">
          <cell r="U349" t="str">
            <v>济南店</v>
          </cell>
          <cell r="V349" t="str">
            <v>2025-12-07</v>
          </cell>
          <cell r="W349">
            <v>106.72</v>
          </cell>
        </row>
        <row r="350">
          <cell r="U350" t="str">
            <v>青羊店</v>
          </cell>
          <cell r="V350" t="str">
            <v>2025-12-07</v>
          </cell>
          <cell r="W350">
            <v>62.88</v>
          </cell>
        </row>
        <row r="351">
          <cell r="U351" t="str">
            <v>观音桥店</v>
          </cell>
          <cell r="V351" t="str">
            <v>2025-12-07</v>
          </cell>
          <cell r="W351">
            <v>63.7</v>
          </cell>
        </row>
        <row r="352">
          <cell r="U352" t="str">
            <v>观音桥店</v>
          </cell>
          <cell r="V352" t="str">
            <v>2025-12-07</v>
          </cell>
          <cell r="W352">
            <v>0</v>
          </cell>
        </row>
        <row r="353">
          <cell r="U353" t="str">
            <v>西湖店</v>
          </cell>
          <cell r="V353" t="str">
            <v>2025-12-07</v>
          </cell>
          <cell r="W353">
            <v>95.01</v>
          </cell>
        </row>
        <row r="354">
          <cell r="U354" t="str">
            <v>诚毅店</v>
          </cell>
          <cell r="V354" t="str">
            <v>2025-12-07</v>
          </cell>
          <cell r="W354">
            <v>55.98</v>
          </cell>
        </row>
        <row r="355">
          <cell r="U355" t="str">
            <v>湖里店</v>
          </cell>
          <cell r="V355" t="str">
            <v>2025-12-07</v>
          </cell>
          <cell r="W355">
            <v>52.29</v>
          </cell>
        </row>
        <row r="356">
          <cell r="U356" t="str">
            <v>东新店</v>
          </cell>
          <cell r="V356" t="str">
            <v>2025-12-07</v>
          </cell>
          <cell r="W356">
            <v>0</v>
          </cell>
        </row>
        <row r="357">
          <cell r="U357" t="str">
            <v>东新店</v>
          </cell>
          <cell r="V357" t="str">
            <v>2025-12-07</v>
          </cell>
          <cell r="W357">
            <v>213.48</v>
          </cell>
        </row>
        <row r="358">
          <cell r="U358" t="str">
            <v>大坪店</v>
          </cell>
          <cell r="V358" t="str">
            <v>2025-12-07</v>
          </cell>
          <cell r="W358">
            <v>70.92</v>
          </cell>
        </row>
        <row r="359">
          <cell r="U359" t="str">
            <v>凤城二路店</v>
          </cell>
          <cell r="V359" t="str">
            <v>2025-12-07</v>
          </cell>
          <cell r="W359">
            <v>49.35</v>
          </cell>
        </row>
        <row r="360">
          <cell r="U360" t="str">
            <v>洛江店</v>
          </cell>
          <cell r="V360" t="str">
            <v>2025-12-07</v>
          </cell>
          <cell r="W360">
            <v>0</v>
          </cell>
        </row>
        <row r="361">
          <cell r="U361" t="str">
            <v>官渡店</v>
          </cell>
          <cell r="V361" t="str">
            <v>2025-12-07</v>
          </cell>
          <cell r="W361">
            <v>20.74</v>
          </cell>
        </row>
        <row r="362">
          <cell r="U362" t="str">
            <v>武侯店</v>
          </cell>
          <cell r="V362" t="str">
            <v>2025-12-07</v>
          </cell>
          <cell r="W362">
            <v>35.13</v>
          </cell>
        </row>
        <row r="363">
          <cell r="U363" t="str">
            <v>黄雁村店</v>
          </cell>
          <cell r="V363" t="str">
            <v>2025-12-07</v>
          </cell>
          <cell r="W363">
            <v>72.23</v>
          </cell>
        </row>
        <row r="364">
          <cell r="U364" t="str">
            <v>五华店</v>
          </cell>
          <cell r="V364" t="str">
            <v>2025-12-07</v>
          </cell>
          <cell r="W364">
            <v>19.33</v>
          </cell>
        </row>
        <row r="365">
          <cell r="U365" t="str">
            <v>长沙店</v>
          </cell>
          <cell r="V365" t="str">
            <v>2025-12-07</v>
          </cell>
          <cell r="W365">
            <v>57.54</v>
          </cell>
        </row>
        <row r="366">
          <cell r="U366" t="str">
            <v>鼓楼店</v>
          </cell>
          <cell r="V366" t="str">
            <v>2025-12-07</v>
          </cell>
          <cell r="W366">
            <v>66.05</v>
          </cell>
        </row>
        <row r="367">
          <cell r="U367" t="str">
            <v>鼓楼店</v>
          </cell>
          <cell r="V367" t="str">
            <v>2025-12-07</v>
          </cell>
          <cell r="W367">
            <v>0</v>
          </cell>
        </row>
        <row r="368">
          <cell r="U368" t="str">
            <v>文昌店</v>
          </cell>
          <cell r="V368" t="str">
            <v>2025-12-07</v>
          </cell>
          <cell r="W368">
            <v>38.89</v>
          </cell>
        </row>
        <row r="369">
          <cell r="U369" t="str">
            <v>百丈店</v>
          </cell>
          <cell r="V369" t="str">
            <v>2025-12-07</v>
          </cell>
          <cell r="W369">
            <v>60.7</v>
          </cell>
        </row>
        <row r="370">
          <cell r="U370" t="str">
            <v>余杭店</v>
          </cell>
          <cell r="V370" t="str">
            <v>2025-12-07</v>
          </cell>
          <cell r="W370">
            <v>0</v>
          </cell>
        </row>
        <row r="371">
          <cell r="U371" t="str">
            <v>首山店</v>
          </cell>
          <cell r="V371" t="str">
            <v>2025-12-07</v>
          </cell>
          <cell r="W371">
            <v>22.88</v>
          </cell>
        </row>
        <row r="372">
          <cell r="U372" t="str">
            <v>首南店</v>
          </cell>
          <cell r="V372" t="str">
            <v>2025-12-07</v>
          </cell>
          <cell r="W372">
            <v>305.34</v>
          </cell>
        </row>
        <row r="373">
          <cell r="U373" t="str">
            <v>滨江店</v>
          </cell>
          <cell r="V373" t="str">
            <v>2025-12-07</v>
          </cell>
          <cell r="W373">
            <v>132.51</v>
          </cell>
        </row>
        <row r="374">
          <cell r="U374" t="str">
            <v>观桥店</v>
          </cell>
          <cell r="V374" t="str">
            <v>2025-12-07</v>
          </cell>
          <cell r="W374">
            <v>25.95</v>
          </cell>
        </row>
        <row r="375">
          <cell r="U375" t="str">
            <v>文灶店</v>
          </cell>
          <cell r="V375" t="str">
            <v>2025-12-07</v>
          </cell>
          <cell r="W375">
            <v>2.22</v>
          </cell>
        </row>
        <row r="376">
          <cell r="U376" t="str">
            <v>文灶店</v>
          </cell>
          <cell r="V376" t="str">
            <v>2025-12-07</v>
          </cell>
          <cell r="W376">
            <v>0</v>
          </cell>
        </row>
        <row r="377">
          <cell r="U377" t="str">
            <v>启点店</v>
          </cell>
          <cell r="V377" t="str">
            <v>2025-12-08</v>
          </cell>
          <cell r="W377">
            <v>61.59</v>
          </cell>
        </row>
        <row r="378">
          <cell r="U378" t="str">
            <v>高新店</v>
          </cell>
          <cell r="V378" t="str">
            <v>2025-12-08</v>
          </cell>
          <cell r="W378">
            <v>62.44</v>
          </cell>
        </row>
        <row r="379">
          <cell r="U379" t="str">
            <v>金牛店</v>
          </cell>
          <cell r="V379" t="str">
            <v>2025-12-08</v>
          </cell>
          <cell r="W379">
            <v>53.66</v>
          </cell>
        </row>
        <row r="380">
          <cell r="U380" t="str">
            <v>成华店</v>
          </cell>
          <cell r="V380" t="str">
            <v>2025-12-08</v>
          </cell>
          <cell r="W380">
            <v>12.76</v>
          </cell>
        </row>
        <row r="381">
          <cell r="U381" t="str">
            <v>西山店</v>
          </cell>
          <cell r="V381" t="str">
            <v>2025-12-08</v>
          </cell>
          <cell r="W381">
            <v>22.56</v>
          </cell>
        </row>
        <row r="382">
          <cell r="U382" t="str">
            <v>百捷店</v>
          </cell>
          <cell r="V382" t="str">
            <v>2025-12-08</v>
          </cell>
          <cell r="W382">
            <v>44.85</v>
          </cell>
        </row>
        <row r="383">
          <cell r="U383" t="str">
            <v>沙坪坝店</v>
          </cell>
          <cell r="V383" t="str">
            <v>2025-12-08</v>
          </cell>
          <cell r="W383">
            <v>12.46</v>
          </cell>
        </row>
        <row r="384">
          <cell r="U384" t="str">
            <v>五路口店</v>
          </cell>
          <cell r="V384" t="str">
            <v>2025-12-08</v>
          </cell>
          <cell r="W384">
            <v>52.38</v>
          </cell>
        </row>
        <row r="385">
          <cell r="U385" t="str">
            <v>济南店</v>
          </cell>
          <cell r="V385" t="str">
            <v>2025-12-08</v>
          </cell>
          <cell r="W385">
            <v>88.21</v>
          </cell>
        </row>
        <row r="386">
          <cell r="U386" t="str">
            <v>青羊店</v>
          </cell>
          <cell r="V386" t="str">
            <v>2025-12-08</v>
          </cell>
          <cell r="W386">
            <v>61.07</v>
          </cell>
        </row>
        <row r="387">
          <cell r="U387" t="str">
            <v>观音桥店</v>
          </cell>
          <cell r="V387" t="str">
            <v>2025-12-08</v>
          </cell>
          <cell r="W387">
            <v>61.56</v>
          </cell>
        </row>
        <row r="388">
          <cell r="U388" t="str">
            <v>观音桥店</v>
          </cell>
          <cell r="V388" t="str">
            <v>2025-12-08</v>
          </cell>
          <cell r="W388">
            <v>0</v>
          </cell>
        </row>
        <row r="389">
          <cell r="U389" t="str">
            <v>西湖店</v>
          </cell>
          <cell r="V389" t="str">
            <v>2025-12-08</v>
          </cell>
          <cell r="W389">
            <v>16.41</v>
          </cell>
        </row>
        <row r="390">
          <cell r="U390" t="str">
            <v>诚毅店</v>
          </cell>
          <cell r="V390" t="str">
            <v>2025-12-08</v>
          </cell>
          <cell r="W390">
            <v>13.27</v>
          </cell>
        </row>
        <row r="391">
          <cell r="U391" t="str">
            <v>湖里店</v>
          </cell>
          <cell r="V391" t="str">
            <v>2025-12-08</v>
          </cell>
          <cell r="W391">
            <v>80.88</v>
          </cell>
        </row>
        <row r="392">
          <cell r="U392" t="str">
            <v>东新店</v>
          </cell>
          <cell r="V392" t="str">
            <v>2025-12-08</v>
          </cell>
          <cell r="W392">
            <v>0</v>
          </cell>
        </row>
        <row r="393">
          <cell r="U393" t="str">
            <v>东新店</v>
          </cell>
          <cell r="V393" t="str">
            <v>2025-12-08</v>
          </cell>
          <cell r="W393">
            <v>15.47</v>
          </cell>
        </row>
        <row r="394">
          <cell r="U394" t="str">
            <v>大坪店</v>
          </cell>
          <cell r="V394" t="str">
            <v>2025-12-08</v>
          </cell>
          <cell r="W394">
            <v>0</v>
          </cell>
        </row>
        <row r="395">
          <cell r="U395" t="str">
            <v>凤城二路店</v>
          </cell>
          <cell r="V395" t="str">
            <v>2025-12-08</v>
          </cell>
          <cell r="W395">
            <v>77.21</v>
          </cell>
        </row>
        <row r="396">
          <cell r="U396" t="str">
            <v>洛江店</v>
          </cell>
          <cell r="V396" t="str">
            <v>2025-12-08</v>
          </cell>
          <cell r="W396">
            <v>64.56</v>
          </cell>
        </row>
        <row r="397">
          <cell r="U397" t="str">
            <v>官渡店</v>
          </cell>
          <cell r="V397" t="str">
            <v>2025-12-08</v>
          </cell>
          <cell r="W397">
            <v>32.22</v>
          </cell>
        </row>
        <row r="398">
          <cell r="U398" t="str">
            <v>武侯店</v>
          </cell>
          <cell r="V398" t="str">
            <v>2025-12-08</v>
          </cell>
          <cell r="W398">
            <v>27.74</v>
          </cell>
        </row>
        <row r="399">
          <cell r="U399" t="str">
            <v>黄雁村店</v>
          </cell>
          <cell r="V399" t="str">
            <v>2025-12-08</v>
          </cell>
          <cell r="W399">
            <v>46.79</v>
          </cell>
        </row>
        <row r="400">
          <cell r="U400" t="str">
            <v>五华店</v>
          </cell>
          <cell r="V400" t="str">
            <v>2025-12-08</v>
          </cell>
          <cell r="W400">
            <v>50.87</v>
          </cell>
        </row>
        <row r="401">
          <cell r="U401" t="str">
            <v>长沙店</v>
          </cell>
          <cell r="V401" t="str">
            <v>2025-12-08</v>
          </cell>
          <cell r="W401">
            <v>73.52</v>
          </cell>
        </row>
        <row r="402">
          <cell r="U402" t="str">
            <v>鼓楼店</v>
          </cell>
          <cell r="V402" t="str">
            <v>2025-12-08</v>
          </cell>
          <cell r="W402">
            <v>6.34</v>
          </cell>
        </row>
        <row r="403">
          <cell r="U403" t="str">
            <v>鼓楼店</v>
          </cell>
          <cell r="V403" t="str">
            <v>2025-12-08</v>
          </cell>
          <cell r="W403">
            <v>0</v>
          </cell>
        </row>
        <row r="404">
          <cell r="U404" t="str">
            <v>文昌店</v>
          </cell>
          <cell r="V404" t="str">
            <v>2025-12-08</v>
          </cell>
          <cell r="W404">
            <v>46.76</v>
          </cell>
        </row>
        <row r="405">
          <cell r="U405" t="str">
            <v>百丈店</v>
          </cell>
          <cell r="V405" t="str">
            <v>2025-12-08</v>
          </cell>
          <cell r="W405">
            <v>77.62</v>
          </cell>
        </row>
        <row r="406">
          <cell r="U406" t="str">
            <v>余杭店</v>
          </cell>
          <cell r="V406" t="str">
            <v>2025-12-08</v>
          </cell>
          <cell r="W406">
            <v>17.02</v>
          </cell>
        </row>
        <row r="407">
          <cell r="U407" t="str">
            <v>首山店</v>
          </cell>
          <cell r="V407" t="str">
            <v>2025-12-08</v>
          </cell>
          <cell r="W407">
            <v>40.58</v>
          </cell>
        </row>
        <row r="408">
          <cell r="U408" t="str">
            <v>首南店</v>
          </cell>
          <cell r="V408" t="str">
            <v>2025-12-08</v>
          </cell>
          <cell r="W408">
            <v>42.16</v>
          </cell>
        </row>
        <row r="409">
          <cell r="U409" t="str">
            <v>滨江店</v>
          </cell>
          <cell r="V409" t="str">
            <v>2025-12-08</v>
          </cell>
          <cell r="W409">
            <v>45.53</v>
          </cell>
        </row>
        <row r="410">
          <cell r="U410" t="str">
            <v>观桥店</v>
          </cell>
          <cell r="V410" t="str">
            <v>2025-12-08</v>
          </cell>
          <cell r="W410">
            <v>39.41</v>
          </cell>
        </row>
        <row r="411">
          <cell r="U411" t="str">
            <v>文灶店</v>
          </cell>
          <cell r="V411" t="str">
            <v>2025-12-08</v>
          </cell>
          <cell r="W411">
            <v>5.69</v>
          </cell>
        </row>
        <row r="412">
          <cell r="U412" t="str">
            <v>文灶店</v>
          </cell>
          <cell r="V412" t="str">
            <v>2025-12-08</v>
          </cell>
          <cell r="W412">
            <v>0.61</v>
          </cell>
        </row>
        <row r="413">
          <cell r="U413" t="str">
            <v>启点店</v>
          </cell>
          <cell r="V413" t="str">
            <v>2025-12-09</v>
          </cell>
          <cell r="W413">
            <v>67.68</v>
          </cell>
        </row>
        <row r="414">
          <cell r="U414" t="str">
            <v>高新店</v>
          </cell>
          <cell r="V414" t="str">
            <v>2025-12-09</v>
          </cell>
          <cell r="W414">
            <v>66.19</v>
          </cell>
        </row>
        <row r="415">
          <cell r="U415" t="str">
            <v>金牛店</v>
          </cell>
          <cell r="V415" t="str">
            <v>2025-12-09</v>
          </cell>
          <cell r="W415">
            <v>76.35</v>
          </cell>
        </row>
        <row r="416">
          <cell r="U416" t="str">
            <v>成华店</v>
          </cell>
          <cell r="V416" t="str">
            <v>2025-12-09</v>
          </cell>
          <cell r="W416">
            <v>0.53</v>
          </cell>
        </row>
        <row r="417">
          <cell r="U417" t="str">
            <v>西山店</v>
          </cell>
          <cell r="V417" t="str">
            <v>2025-12-09</v>
          </cell>
          <cell r="W417">
            <v>31.34</v>
          </cell>
        </row>
        <row r="418">
          <cell r="U418" t="str">
            <v>百捷店</v>
          </cell>
          <cell r="V418" t="str">
            <v>2025-12-09</v>
          </cell>
          <cell r="W418">
            <v>55.33</v>
          </cell>
        </row>
        <row r="419">
          <cell r="U419" t="str">
            <v>沙坪坝店</v>
          </cell>
          <cell r="V419" t="str">
            <v>2025-12-09</v>
          </cell>
          <cell r="W419">
            <v>4.71</v>
          </cell>
        </row>
        <row r="420">
          <cell r="U420" t="str">
            <v>五路口店</v>
          </cell>
          <cell r="V420" t="str">
            <v>2025-12-09</v>
          </cell>
          <cell r="W420">
            <v>7.3</v>
          </cell>
        </row>
        <row r="421">
          <cell r="U421" t="str">
            <v>济南店</v>
          </cell>
          <cell r="V421" t="str">
            <v>2025-12-09</v>
          </cell>
          <cell r="W421">
            <v>77.35</v>
          </cell>
        </row>
        <row r="422">
          <cell r="U422" t="str">
            <v>青羊店</v>
          </cell>
          <cell r="V422" t="str">
            <v>2025-12-09</v>
          </cell>
          <cell r="W422">
            <v>55.67</v>
          </cell>
        </row>
        <row r="423">
          <cell r="U423" t="str">
            <v>观音桥店</v>
          </cell>
          <cell r="V423" t="str">
            <v>2025-12-09</v>
          </cell>
          <cell r="W423">
            <v>43.85</v>
          </cell>
        </row>
        <row r="424">
          <cell r="U424" t="str">
            <v>观音桥店</v>
          </cell>
          <cell r="V424" t="str">
            <v>2025-12-09</v>
          </cell>
          <cell r="W424">
            <v>0</v>
          </cell>
        </row>
        <row r="425">
          <cell r="U425" t="str">
            <v>西湖店</v>
          </cell>
          <cell r="V425" t="str">
            <v>2025-12-09</v>
          </cell>
          <cell r="W425">
            <v>2.4</v>
          </cell>
        </row>
        <row r="426">
          <cell r="U426" t="str">
            <v>诚毅店</v>
          </cell>
          <cell r="V426" t="str">
            <v>2025-12-09</v>
          </cell>
          <cell r="W426">
            <v>4.6</v>
          </cell>
        </row>
        <row r="427">
          <cell r="U427" t="str">
            <v>湖里店</v>
          </cell>
          <cell r="V427" t="str">
            <v>2025-12-09</v>
          </cell>
          <cell r="W427">
            <v>74.7</v>
          </cell>
        </row>
        <row r="428">
          <cell r="U428" t="str">
            <v>东新店</v>
          </cell>
          <cell r="V428" t="str">
            <v>2025-12-09</v>
          </cell>
          <cell r="W428">
            <v>0</v>
          </cell>
        </row>
        <row r="429">
          <cell r="U429" t="str">
            <v>东新店</v>
          </cell>
          <cell r="V429" t="str">
            <v>2025-12-09</v>
          </cell>
          <cell r="W429">
            <v>1.25</v>
          </cell>
        </row>
        <row r="430">
          <cell r="U430" t="str">
            <v>大坪店</v>
          </cell>
          <cell r="V430" t="str">
            <v>2025-12-09</v>
          </cell>
          <cell r="W430">
            <v>3.76</v>
          </cell>
        </row>
        <row r="431">
          <cell r="U431" t="str">
            <v>凤城二路店</v>
          </cell>
          <cell r="V431" t="str">
            <v>2025-12-09</v>
          </cell>
          <cell r="W431">
            <v>53.59</v>
          </cell>
        </row>
        <row r="432">
          <cell r="U432" t="str">
            <v>洛江店</v>
          </cell>
          <cell r="V432" t="str">
            <v>2025-12-09</v>
          </cell>
          <cell r="W432">
            <v>14.19</v>
          </cell>
        </row>
        <row r="433">
          <cell r="U433" t="str">
            <v>官渡店</v>
          </cell>
          <cell r="V433" t="str">
            <v>2025-12-09</v>
          </cell>
          <cell r="W433">
            <v>34.29</v>
          </cell>
        </row>
        <row r="434">
          <cell r="U434" t="str">
            <v>武侯店</v>
          </cell>
          <cell r="V434" t="str">
            <v>2025-12-09</v>
          </cell>
          <cell r="W434">
            <v>67.07</v>
          </cell>
        </row>
        <row r="435">
          <cell r="U435" t="str">
            <v>黄雁村店</v>
          </cell>
          <cell r="V435" t="str">
            <v>2025-12-09</v>
          </cell>
          <cell r="W435">
            <v>67.72</v>
          </cell>
        </row>
        <row r="436">
          <cell r="U436" t="str">
            <v>五华店</v>
          </cell>
          <cell r="V436" t="str">
            <v>2025-12-09</v>
          </cell>
          <cell r="W436">
            <v>40.94</v>
          </cell>
        </row>
        <row r="437">
          <cell r="U437" t="str">
            <v>长沙店</v>
          </cell>
          <cell r="V437" t="str">
            <v>2025-12-09</v>
          </cell>
          <cell r="W437">
            <v>52.59</v>
          </cell>
        </row>
        <row r="438">
          <cell r="U438" t="str">
            <v>鼓楼店</v>
          </cell>
          <cell r="V438" t="str">
            <v>2025-12-09</v>
          </cell>
          <cell r="W438">
            <v>0.28</v>
          </cell>
        </row>
        <row r="439">
          <cell r="U439" t="str">
            <v>鼓楼店</v>
          </cell>
          <cell r="V439" t="str">
            <v>2025-12-09</v>
          </cell>
          <cell r="W439">
            <v>0</v>
          </cell>
        </row>
        <row r="440">
          <cell r="U440" t="str">
            <v>文昌店</v>
          </cell>
          <cell r="V440" t="str">
            <v>2025-12-09</v>
          </cell>
          <cell r="W440">
            <v>30.24</v>
          </cell>
        </row>
        <row r="441">
          <cell r="U441" t="str">
            <v>百丈店</v>
          </cell>
          <cell r="V441" t="str">
            <v>2025-12-09</v>
          </cell>
          <cell r="W441">
            <v>78.99</v>
          </cell>
        </row>
        <row r="442">
          <cell r="U442" t="str">
            <v>余杭店</v>
          </cell>
          <cell r="V442" t="str">
            <v>2025-12-09</v>
          </cell>
          <cell r="W442">
            <v>1.67</v>
          </cell>
        </row>
        <row r="443">
          <cell r="U443" t="str">
            <v>首山店</v>
          </cell>
          <cell r="V443" t="str">
            <v>2025-12-09</v>
          </cell>
          <cell r="W443">
            <v>54.37</v>
          </cell>
        </row>
        <row r="444">
          <cell r="U444" t="str">
            <v>首南店</v>
          </cell>
          <cell r="V444" t="str">
            <v>2025-12-09</v>
          </cell>
          <cell r="W444">
            <v>55.62</v>
          </cell>
        </row>
        <row r="445">
          <cell r="U445" t="str">
            <v>滨江店</v>
          </cell>
          <cell r="V445" t="str">
            <v>2025-12-09</v>
          </cell>
          <cell r="W445">
            <v>44.99</v>
          </cell>
        </row>
        <row r="446">
          <cell r="U446" t="str">
            <v>集美店</v>
          </cell>
          <cell r="V446" t="str">
            <v>2025-12-09</v>
          </cell>
          <cell r="W446">
            <v>0</v>
          </cell>
        </row>
        <row r="447">
          <cell r="U447" t="str">
            <v>观桥店</v>
          </cell>
          <cell r="V447" t="str">
            <v>2025-12-09</v>
          </cell>
          <cell r="W447">
            <v>39.69</v>
          </cell>
        </row>
        <row r="448">
          <cell r="U448" t="str">
            <v>文灶店</v>
          </cell>
          <cell r="V448" t="str">
            <v>2025-12-09</v>
          </cell>
          <cell r="W448">
            <v>5.14</v>
          </cell>
        </row>
        <row r="449">
          <cell r="U449" t="str">
            <v>文灶店</v>
          </cell>
          <cell r="V449" t="str">
            <v>2025-12-09</v>
          </cell>
          <cell r="W449">
            <v>0</v>
          </cell>
        </row>
        <row r="450">
          <cell r="U450" t="str">
            <v>启点店</v>
          </cell>
          <cell r="V450" t="str">
            <v>2025-12-10</v>
          </cell>
          <cell r="W450">
            <v>61.24</v>
          </cell>
        </row>
        <row r="451">
          <cell r="U451" t="str">
            <v>高新店</v>
          </cell>
          <cell r="V451" t="str">
            <v>2025-12-10</v>
          </cell>
          <cell r="W451">
            <v>60.19</v>
          </cell>
        </row>
        <row r="452">
          <cell r="U452" t="str">
            <v>金牛店</v>
          </cell>
          <cell r="V452" t="str">
            <v>2025-12-10</v>
          </cell>
          <cell r="W452">
            <v>37.4</v>
          </cell>
        </row>
        <row r="453">
          <cell r="U453" t="str">
            <v>成华店</v>
          </cell>
          <cell r="V453" t="str">
            <v>2025-12-10</v>
          </cell>
          <cell r="W453">
            <v>0</v>
          </cell>
        </row>
        <row r="454">
          <cell r="U454" t="str">
            <v>西山店</v>
          </cell>
          <cell r="V454" t="str">
            <v>2025-12-10</v>
          </cell>
          <cell r="W454">
            <v>14.16</v>
          </cell>
        </row>
        <row r="455">
          <cell r="U455" t="str">
            <v>百捷店</v>
          </cell>
          <cell r="V455" t="str">
            <v>2025-12-10</v>
          </cell>
          <cell r="W455">
            <v>109.85</v>
          </cell>
        </row>
        <row r="456">
          <cell r="U456" t="str">
            <v>沙坪坝店</v>
          </cell>
          <cell r="V456" t="str">
            <v>2025-12-10</v>
          </cell>
          <cell r="W456">
            <v>3.28</v>
          </cell>
        </row>
        <row r="457">
          <cell r="U457" t="str">
            <v>五路口店</v>
          </cell>
          <cell r="V457" t="str">
            <v>2025-12-10</v>
          </cell>
          <cell r="W457">
            <v>3.37</v>
          </cell>
        </row>
        <row r="458">
          <cell r="U458" t="str">
            <v>济南店</v>
          </cell>
          <cell r="V458" t="str">
            <v>2025-12-10</v>
          </cell>
          <cell r="W458">
            <v>53.99</v>
          </cell>
        </row>
        <row r="459">
          <cell r="U459" t="str">
            <v>青羊店</v>
          </cell>
          <cell r="V459" t="str">
            <v>2025-12-10</v>
          </cell>
          <cell r="W459">
            <v>29.99</v>
          </cell>
        </row>
        <row r="460">
          <cell r="U460" t="str">
            <v>观音桥店</v>
          </cell>
          <cell r="V460" t="str">
            <v>2025-12-10</v>
          </cell>
          <cell r="W460">
            <v>43.64</v>
          </cell>
        </row>
        <row r="461">
          <cell r="U461" t="str">
            <v>观音桥店</v>
          </cell>
          <cell r="V461" t="str">
            <v>2025-12-10</v>
          </cell>
          <cell r="W461">
            <v>0.85</v>
          </cell>
        </row>
        <row r="462">
          <cell r="U462" t="str">
            <v>西湖店</v>
          </cell>
          <cell r="V462" t="str">
            <v>2025-12-10</v>
          </cell>
          <cell r="W462">
            <v>4.15</v>
          </cell>
        </row>
        <row r="463">
          <cell r="U463" t="str">
            <v>诚毅店</v>
          </cell>
          <cell r="V463" t="str">
            <v>2025-12-10</v>
          </cell>
          <cell r="W463">
            <v>7.04</v>
          </cell>
        </row>
        <row r="464">
          <cell r="U464" t="str">
            <v>湖里店</v>
          </cell>
          <cell r="V464" t="str">
            <v>2025-12-10</v>
          </cell>
          <cell r="W464">
            <v>79.93</v>
          </cell>
        </row>
        <row r="465">
          <cell r="U465" t="str">
            <v>东新店</v>
          </cell>
          <cell r="V465" t="str">
            <v>2025-12-10</v>
          </cell>
          <cell r="W465">
            <v>0</v>
          </cell>
        </row>
        <row r="466">
          <cell r="U466" t="str">
            <v>东新店</v>
          </cell>
          <cell r="V466" t="str">
            <v>2025-12-10</v>
          </cell>
          <cell r="W466">
            <v>89.19</v>
          </cell>
        </row>
        <row r="467">
          <cell r="U467" t="str">
            <v>大坪店</v>
          </cell>
          <cell r="V467" t="str">
            <v>2025-12-10</v>
          </cell>
          <cell r="W467">
            <v>1.88</v>
          </cell>
        </row>
        <row r="468">
          <cell r="U468" t="str">
            <v>凤城二路店</v>
          </cell>
          <cell r="V468" t="str">
            <v>2025-12-10</v>
          </cell>
          <cell r="W468">
            <v>82.13</v>
          </cell>
        </row>
        <row r="469">
          <cell r="U469" t="str">
            <v>洛江店</v>
          </cell>
          <cell r="V469" t="str">
            <v>2025-12-10</v>
          </cell>
          <cell r="W469">
            <v>47.22</v>
          </cell>
        </row>
        <row r="470">
          <cell r="U470" t="str">
            <v>官渡店</v>
          </cell>
          <cell r="V470" t="str">
            <v>2025-12-10</v>
          </cell>
          <cell r="W470">
            <v>43.67</v>
          </cell>
        </row>
        <row r="471">
          <cell r="U471" t="str">
            <v>武侯店</v>
          </cell>
          <cell r="V471" t="str">
            <v>2025-12-10</v>
          </cell>
          <cell r="W471">
            <v>38.75</v>
          </cell>
        </row>
        <row r="472">
          <cell r="U472" t="str">
            <v>黄雁村店</v>
          </cell>
          <cell r="V472" t="str">
            <v>2025-12-10</v>
          </cell>
          <cell r="W472">
            <v>56.53</v>
          </cell>
        </row>
        <row r="473">
          <cell r="U473" t="str">
            <v>五华店</v>
          </cell>
          <cell r="V473" t="str">
            <v>2025-12-10</v>
          </cell>
          <cell r="W473">
            <v>34.53</v>
          </cell>
        </row>
        <row r="474">
          <cell r="U474" t="str">
            <v>长沙店</v>
          </cell>
          <cell r="V474" t="str">
            <v>2025-12-10</v>
          </cell>
          <cell r="W474">
            <v>47.95</v>
          </cell>
        </row>
        <row r="475">
          <cell r="U475" t="str">
            <v>鼓楼店</v>
          </cell>
          <cell r="V475" t="str">
            <v>2025-12-10</v>
          </cell>
          <cell r="W475">
            <v>6.28</v>
          </cell>
        </row>
        <row r="476">
          <cell r="U476" t="str">
            <v>鼓楼店</v>
          </cell>
          <cell r="V476" t="str">
            <v>2025-12-10</v>
          </cell>
          <cell r="W476">
            <v>0</v>
          </cell>
        </row>
        <row r="477">
          <cell r="U477" t="str">
            <v>文昌店</v>
          </cell>
          <cell r="V477" t="str">
            <v>2025-12-10</v>
          </cell>
          <cell r="W477">
            <v>39.22</v>
          </cell>
        </row>
        <row r="478">
          <cell r="U478" t="str">
            <v>百丈店</v>
          </cell>
          <cell r="V478" t="str">
            <v>2025-12-10</v>
          </cell>
          <cell r="W478">
            <v>53.45</v>
          </cell>
        </row>
        <row r="479">
          <cell r="U479" t="str">
            <v>余杭店</v>
          </cell>
          <cell r="V479" t="str">
            <v>2025-12-10</v>
          </cell>
          <cell r="W479">
            <v>122.12</v>
          </cell>
        </row>
        <row r="480">
          <cell r="U480" t="str">
            <v>首山店</v>
          </cell>
          <cell r="V480" t="str">
            <v>2025-12-10</v>
          </cell>
          <cell r="W480">
            <v>43.98</v>
          </cell>
        </row>
        <row r="481">
          <cell r="U481" t="str">
            <v>首南店</v>
          </cell>
          <cell r="V481" t="str">
            <v>2025-12-10</v>
          </cell>
          <cell r="W481">
            <v>211.53</v>
          </cell>
        </row>
        <row r="482">
          <cell r="U482" t="str">
            <v>滨江店</v>
          </cell>
          <cell r="V482" t="str">
            <v>2025-12-10</v>
          </cell>
          <cell r="W482">
            <v>69.11</v>
          </cell>
        </row>
        <row r="483">
          <cell r="U483" t="str">
            <v>观桥店</v>
          </cell>
          <cell r="V483" t="str">
            <v>2025-12-10</v>
          </cell>
          <cell r="W483">
            <v>43.75</v>
          </cell>
        </row>
        <row r="484">
          <cell r="U484" t="str">
            <v>文灶店</v>
          </cell>
          <cell r="V484" t="str">
            <v>2025-12-10</v>
          </cell>
          <cell r="W484">
            <v>17.69</v>
          </cell>
        </row>
        <row r="485">
          <cell r="U485" t="str">
            <v>文灶店</v>
          </cell>
          <cell r="V485" t="str">
            <v>2025-12-10</v>
          </cell>
          <cell r="W485">
            <v>0</v>
          </cell>
        </row>
        <row r="486">
          <cell r="U486" t="str">
            <v>启点店</v>
          </cell>
          <cell r="V486" t="str">
            <v>2025-12-11</v>
          </cell>
          <cell r="W486">
            <v>25.95</v>
          </cell>
        </row>
        <row r="487">
          <cell r="U487" t="str">
            <v>高新店</v>
          </cell>
          <cell r="V487" t="str">
            <v>2025-12-11</v>
          </cell>
          <cell r="W487">
            <v>26.79</v>
          </cell>
        </row>
        <row r="488">
          <cell r="U488" t="str">
            <v>金牛店</v>
          </cell>
          <cell r="V488" t="str">
            <v>2025-12-11</v>
          </cell>
          <cell r="W488">
            <v>36.93</v>
          </cell>
        </row>
        <row r="489">
          <cell r="U489" t="str">
            <v>成华店</v>
          </cell>
          <cell r="V489" t="str">
            <v>2025-12-11</v>
          </cell>
          <cell r="W489">
            <v>0</v>
          </cell>
        </row>
        <row r="490">
          <cell r="U490" t="str">
            <v>西山店</v>
          </cell>
          <cell r="V490" t="str">
            <v>2025-12-11</v>
          </cell>
          <cell r="W490">
            <v>12.8</v>
          </cell>
        </row>
        <row r="491">
          <cell r="U491" t="str">
            <v>百捷店</v>
          </cell>
          <cell r="V491" t="str">
            <v>2025-12-11</v>
          </cell>
          <cell r="W491">
            <v>53.24</v>
          </cell>
        </row>
        <row r="492">
          <cell r="U492" t="str">
            <v>沙坪坝店</v>
          </cell>
          <cell r="V492" t="str">
            <v>2025-12-11</v>
          </cell>
          <cell r="W492">
            <v>6.27</v>
          </cell>
        </row>
        <row r="493">
          <cell r="U493" t="str">
            <v>五路口店</v>
          </cell>
          <cell r="V493" t="str">
            <v>2025-12-11</v>
          </cell>
          <cell r="W493">
            <v>3.63</v>
          </cell>
        </row>
        <row r="494">
          <cell r="U494" t="str">
            <v>济南店</v>
          </cell>
          <cell r="V494" t="str">
            <v>2025-12-11</v>
          </cell>
          <cell r="W494">
            <v>59.29</v>
          </cell>
        </row>
        <row r="495">
          <cell r="U495" t="str">
            <v>青羊店</v>
          </cell>
          <cell r="V495" t="str">
            <v>2025-12-11</v>
          </cell>
          <cell r="W495">
            <v>23.27</v>
          </cell>
        </row>
        <row r="496">
          <cell r="U496" t="str">
            <v>观音桥店</v>
          </cell>
          <cell r="V496" t="str">
            <v>2025-12-11</v>
          </cell>
          <cell r="W496">
            <v>76.38</v>
          </cell>
        </row>
        <row r="497">
          <cell r="U497" t="str">
            <v>观音桥店</v>
          </cell>
          <cell r="V497" t="str">
            <v>2025-12-11</v>
          </cell>
          <cell r="W497">
            <v>0</v>
          </cell>
        </row>
        <row r="498">
          <cell r="U498" t="str">
            <v>西湖店</v>
          </cell>
          <cell r="V498" t="str">
            <v>2025-12-11</v>
          </cell>
          <cell r="W498">
            <v>38.43</v>
          </cell>
        </row>
        <row r="499">
          <cell r="U499" t="str">
            <v>诚毅店</v>
          </cell>
          <cell r="V499" t="str">
            <v>2025-12-11</v>
          </cell>
          <cell r="W499">
            <v>1.35</v>
          </cell>
        </row>
        <row r="500">
          <cell r="U500" t="str">
            <v>湖里店</v>
          </cell>
          <cell r="V500" t="str">
            <v>2025-12-11</v>
          </cell>
          <cell r="W500">
            <v>48.03</v>
          </cell>
        </row>
        <row r="501">
          <cell r="U501" t="str">
            <v>东新店</v>
          </cell>
          <cell r="V501" t="str">
            <v>2025-12-11</v>
          </cell>
          <cell r="W501">
            <v>0</v>
          </cell>
        </row>
        <row r="502">
          <cell r="U502" t="str">
            <v>东新店</v>
          </cell>
          <cell r="V502" t="str">
            <v>2025-12-11</v>
          </cell>
          <cell r="W502">
            <v>72.84</v>
          </cell>
        </row>
        <row r="503">
          <cell r="U503" t="str">
            <v>大坪店</v>
          </cell>
          <cell r="V503" t="str">
            <v>2025-12-11</v>
          </cell>
          <cell r="W503">
            <v>55.44</v>
          </cell>
        </row>
        <row r="504">
          <cell r="U504" t="str">
            <v>凤城二路店</v>
          </cell>
          <cell r="V504" t="str">
            <v>2025-12-11</v>
          </cell>
          <cell r="W504">
            <v>39.25</v>
          </cell>
        </row>
        <row r="505">
          <cell r="U505" t="str">
            <v>洛江店</v>
          </cell>
          <cell r="V505" t="str">
            <v>2025-12-11</v>
          </cell>
          <cell r="W505">
            <v>17.15</v>
          </cell>
        </row>
        <row r="506">
          <cell r="U506" t="str">
            <v>官渡店</v>
          </cell>
          <cell r="V506" t="str">
            <v>2025-12-11</v>
          </cell>
          <cell r="W506">
            <v>52.72</v>
          </cell>
        </row>
        <row r="507">
          <cell r="U507" t="str">
            <v>武侯店</v>
          </cell>
          <cell r="V507" t="str">
            <v>2025-12-11</v>
          </cell>
          <cell r="W507">
            <v>36.02</v>
          </cell>
        </row>
        <row r="508">
          <cell r="U508" t="str">
            <v>黄雁村店</v>
          </cell>
          <cell r="V508" t="str">
            <v>2025-12-11</v>
          </cell>
          <cell r="W508">
            <v>29.22</v>
          </cell>
        </row>
        <row r="509">
          <cell r="U509" t="str">
            <v>五华店</v>
          </cell>
          <cell r="V509" t="str">
            <v>2025-12-11</v>
          </cell>
          <cell r="W509">
            <v>48.89</v>
          </cell>
        </row>
        <row r="510">
          <cell r="U510" t="str">
            <v>长沙店</v>
          </cell>
          <cell r="V510" t="str">
            <v>2025-12-11</v>
          </cell>
          <cell r="W510">
            <v>61.14</v>
          </cell>
        </row>
        <row r="511">
          <cell r="U511" t="str">
            <v>鼓楼店</v>
          </cell>
          <cell r="V511" t="str">
            <v>2025-12-11</v>
          </cell>
          <cell r="W511">
            <v>11.02</v>
          </cell>
        </row>
        <row r="512">
          <cell r="U512" t="str">
            <v>鼓楼店</v>
          </cell>
          <cell r="V512" t="str">
            <v>2025-12-11</v>
          </cell>
          <cell r="W512">
            <v>0</v>
          </cell>
        </row>
        <row r="513">
          <cell r="U513" t="str">
            <v>文昌店</v>
          </cell>
          <cell r="V513" t="str">
            <v>2025-12-11</v>
          </cell>
          <cell r="W513">
            <v>13.68</v>
          </cell>
        </row>
        <row r="514">
          <cell r="U514" t="str">
            <v>百丈店</v>
          </cell>
          <cell r="V514" t="str">
            <v>2025-12-11</v>
          </cell>
          <cell r="W514">
            <v>47.99</v>
          </cell>
        </row>
        <row r="515">
          <cell r="U515" t="str">
            <v>余杭店</v>
          </cell>
          <cell r="V515" t="str">
            <v>2025-12-11</v>
          </cell>
          <cell r="W515">
            <v>81.77</v>
          </cell>
        </row>
        <row r="516">
          <cell r="U516" t="str">
            <v>首山店</v>
          </cell>
          <cell r="V516" t="str">
            <v>2025-12-11</v>
          </cell>
          <cell r="W516">
            <v>65.45</v>
          </cell>
        </row>
        <row r="517">
          <cell r="U517" t="str">
            <v>首南店</v>
          </cell>
          <cell r="V517" t="str">
            <v>2025-12-11</v>
          </cell>
          <cell r="W517">
            <v>186.15</v>
          </cell>
        </row>
        <row r="518">
          <cell r="U518" t="str">
            <v>滨江店</v>
          </cell>
          <cell r="V518" t="str">
            <v>2025-12-11</v>
          </cell>
          <cell r="W518">
            <v>24.71</v>
          </cell>
        </row>
        <row r="519">
          <cell r="U519" t="str">
            <v>文灶店</v>
          </cell>
          <cell r="V519" t="str">
            <v>2025-12-11</v>
          </cell>
          <cell r="W519">
            <v>4.46</v>
          </cell>
        </row>
        <row r="520">
          <cell r="U520" t="str">
            <v>文灶店</v>
          </cell>
          <cell r="V520" t="str">
            <v>2025-12-11</v>
          </cell>
          <cell r="W520">
            <v>1.36</v>
          </cell>
        </row>
        <row r="521">
          <cell r="U521" t="str">
            <v>东海店</v>
          </cell>
          <cell r="V521" t="str">
            <v>2025-12-11</v>
          </cell>
          <cell r="W521">
            <v>0</v>
          </cell>
        </row>
        <row r="522">
          <cell r="U522" t="str">
            <v>启点店</v>
          </cell>
          <cell r="V522" t="str">
            <v>2025-12-12</v>
          </cell>
          <cell r="W522">
            <v>0.38</v>
          </cell>
        </row>
        <row r="523">
          <cell r="U523" t="str">
            <v>高新店</v>
          </cell>
          <cell r="V523" t="str">
            <v>2025-12-12</v>
          </cell>
          <cell r="W523">
            <v>5.47</v>
          </cell>
        </row>
        <row r="524">
          <cell r="U524" t="str">
            <v>金牛店</v>
          </cell>
          <cell r="V524" t="str">
            <v>2025-12-12</v>
          </cell>
          <cell r="W524">
            <v>59.89</v>
          </cell>
        </row>
        <row r="525">
          <cell r="U525" t="str">
            <v>成华店</v>
          </cell>
          <cell r="V525" t="str">
            <v>2025-12-12</v>
          </cell>
          <cell r="W525">
            <v>0</v>
          </cell>
        </row>
        <row r="526">
          <cell r="U526" t="str">
            <v>西山店</v>
          </cell>
          <cell r="V526" t="str">
            <v>2025-12-12</v>
          </cell>
          <cell r="W526">
            <v>13.41</v>
          </cell>
        </row>
        <row r="527">
          <cell r="U527" t="str">
            <v>百捷店</v>
          </cell>
          <cell r="V527" t="str">
            <v>2025-12-12</v>
          </cell>
          <cell r="W527">
            <v>44.66</v>
          </cell>
        </row>
        <row r="528">
          <cell r="U528" t="str">
            <v>沙坪坝店</v>
          </cell>
          <cell r="V528" t="str">
            <v>2025-12-12</v>
          </cell>
          <cell r="W528">
            <v>3.02</v>
          </cell>
        </row>
        <row r="529">
          <cell r="U529" t="str">
            <v>五路口店</v>
          </cell>
          <cell r="V529" t="str">
            <v>2025-12-12</v>
          </cell>
          <cell r="W529">
            <v>4.02</v>
          </cell>
        </row>
        <row r="530">
          <cell r="U530" t="str">
            <v>济南店</v>
          </cell>
          <cell r="V530" t="str">
            <v>2025-12-12</v>
          </cell>
          <cell r="W530">
            <v>1.27</v>
          </cell>
        </row>
        <row r="531">
          <cell r="U531" t="str">
            <v>青羊店</v>
          </cell>
          <cell r="V531" t="str">
            <v>2025-12-12</v>
          </cell>
          <cell r="W531">
            <v>53.69</v>
          </cell>
        </row>
        <row r="532">
          <cell r="U532" t="str">
            <v>观音桥店</v>
          </cell>
          <cell r="V532" t="str">
            <v>2025-12-12</v>
          </cell>
          <cell r="W532">
            <v>62</v>
          </cell>
        </row>
        <row r="533">
          <cell r="U533" t="str">
            <v>观音桥店</v>
          </cell>
          <cell r="V533" t="str">
            <v>2025-12-12</v>
          </cell>
          <cell r="W533">
            <v>0.6</v>
          </cell>
        </row>
        <row r="534">
          <cell r="U534" t="str">
            <v>西湖店</v>
          </cell>
          <cell r="V534" t="str">
            <v>2025-12-12</v>
          </cell>
          <cell r="W534">
            <v>41.73</v>
          </cell>
        </row>
        <row r="535">
          <cell r="U535" t="str">
            <v>诚毅店</v>
          </cell>
          <cell r="V535" t="str">
            <v>2025-12-12</v>
          </cell>
          <cell r="W535">
            <v>0.49</v>
          </cell>
        </row>
        <row r="536">
          <cell r="U536" t="str">
            <v>湖里店</v>
          </cell>
          <cell r="V536" t="str">
            <v>2025-12-12</v>
          </cell>
          <cell r="W536">
            <v>28.86</v>
          </cell>
        </row>
        <row r="537">
          <cell r="U537" t="str">
            <v>东新店</v>
          </cell>
          <cell r="V537" t="str">
            <v>2025-12-12</v>
          </cell>
          <cell r="W537">
            <v>0</v>
          </cell>
        </row>
        <row r="538">
          <cell r="U538" t="str">
            <v>东新店</v>
          </cell>
          <cell r="V538" t="str">
            <v>2025-12-12</v>
          </cell>
          <cell r="W538">
            <v>31.09</v>
          </cell>
        </row>
        <row r="539">
          <cell r="U539" t="str">
            <v>大坪店</v>
          </cell>
          <cell r="V539" t="str">
            <v>2025-12-12</v>
          </cell>
          <cell r="W539">
            <v>127.38</v>
          </cell>
        </row>
        <row r="540">
          <cell r="U540" t="str">
            <v>凤城二路店</v>
          </cell>
          <cell r="V540" t="str">
            <v>2025-12-12</v>
          </cell>
          <cell r="W540">
            <v>32.59</v>
          </cell>
        </row>
        <row r="541">
          <cell r="U541" t="str">
            <v>洛江店</v>
          </cell>
          <cell r="V541" t="str">
            <v>2025-12-12</v>
          </cell>
          <cell r="W541">
            <v>0</v>
          </cell>
        </row>
        <row r="542">
          <cell r="U542" t="str">
            <v>官渡店</v>
          </cell>
          <cell r="V542" t="str">
            <v>2025-12-12</v>
          </cell>
          <cell r="W542">
            <v>38.09</v>
          </cell>
        </row>
        <row r="543">
          <cell r="U543" t="str">
            <v>武侯店</v>
          </cell>
          <cell r="V543" t="str">
            <v>2025-12-12</v>
          </cell>
          <cell r="W543">
            <v>46.43</v>
          </cell>
        </row>
        <row r="544">
          <cell r="U544" t="str">
            <v>黄雁村店</v>
          </cell>
          <cell r="V544" t="str">
            <v>2025-12-12</v>
          </cell>
          <cell r="W544">
            <v>35.66</v>
          </cell>
        </row>
        <row r="545">
          <cell r="U545" t="str">
            <v>五华店</v>
          </cell>
          <cell r="V545" t="str">
            <v>2025-12-12</v>
          </cell>
          <cell r="W545">
            <v>37.73</v>
          </cell>
        </row>
        <row r="546">
          <cell r="U546" t="str">
            <v>长沙店</v>
          </cell>
          <cell r="V546" t="str">
            <v>2025-12-12</v>
          </cell>
          <cell r="W546">
            <v>46.52</v>
          </cell>
        </row>
        <row r="547">
          <cell r="U547" t="str">
            <v>鼓楼店</v>
          </cell>
          <cell r="V547" t="str">
            <v>2025-12-12</v>
          </cell>
          <cell r="W547">
            <v>20.49</v>
          </cell>
        </row>
        <row r="548">
          <cell r="U548" t="str">
            <v>鼓楼店</v>
          </cell>
          <cell r="V548" t="str">
            <v>2025-12-12</v>
          </cell>
          <cell r="W548">
            <v>0</v>
          </cell>
        </row>
        <row r="549">
          <cell r="U549" t="str">
            <v>文昌店</v>
          </cell>
          <cell r="V549" t="str">
            <v>2025-12-12</v>
          </cell>
          <cell r="W549">
            <v>3.88</v>
          </cell>
        </row>
        <row r="550">
          <cell r="U550" t="str">
            <v>百丈店</v>
          </cell>
          <cell r="V550" t="str">
            <v>2025-12-12</v>
          </cell>
          <cell r="W550">
            <v>34.2</v>
          </cell>
        </row>
        <row r="551">
          <cell r="U551" t="str">
            <v>观桥店</v>
          </cell>
          <cell r="V551" t="str">
            <v>2025-12-12</v>
          </cell>
          <cell r="W551">
            <v>15.43</v>
          </cell>
        </row>
        <row r="552">
          <cell r="U552" t="str">
            <v>余杭店</v>
          </cell>
          <cell r="V552" t="str">
            <v>2025-12-12</v>
          </cell>
          <cell r="W552">
            <v>68.66</v>
          </cell>
        </row>
        <row r="553">
          <cell r="U553" t="str">
            <v>首山店</v>
          </cell>
          <cell r="V553" t="str">
            <v>2025-12-12</v>
          </cell>
          <cell r="W553">
            <v>66.76</v>
          </cell>
        </row>
        <row r="554">
          <cell r="U554" t="str">
            <v>首南店</v>
          </cell>
          <cell r="V554" t="str">
            <v>2025-12-12</v>
          </cell>
          <cell r="W554">
            <v>95.42</v>
          </cell>
        </row>
        <row r="555">
          <cell r="U555" t="str">
            <v>滨江店</v>
          </cell>
          <cell r="V555" t="str">
            <v>2025-12-12</v>
          </cell>
          <cell r="W555">
            <v>32.86</v>
          </cell>
        </row>
        <row r="556">
          <cell r="U556" t="str">
            <v>文灶店</v>
          </cell>
          <cell r="V556" t="str">
            <v>2025-12-12</v>
          </cell>
          <cell r="W556">
            <v>44.87</v>
          </cell>
        </row>
        <row r="557">
          <cell r="U557" t="str">
            <v>文灶店</v>
          </cell>
          <cell r="V557" t="str">
            <v>2025-12-12</v>
          </cell>
          <cell r="W557">
            <v>0</v>
          </cell>
        </row>
        <row r="558">
          <cell r="U558" t="str">
            <v>启点店</v>
          </cell>
          <cell r="V558" t="str">
            <v>2025-12-13</v>
          </cell>
          <cell r="W558">
            <v>7.01</v>
          </cell>
        </row>
        <row r="559">
          <cell r="U559" t="str">
            <v>高新店</v>
          </cell>
          <cell r="V559" t="str">
            <v>2025-12-13</v>
          </cell>
          <cell r="W559">
            <v>3.74</v>
          </cell>
        </row>
        <row r="560">
          <cell r="U560" t="str">
            <v>金牛店</v>
          </cell>
          <cell r="V560" t="str">
            <v>2025-12-13</v>
          </cell>
          <cell r="W560">
            <v>52.33</v>
          </cell>
        </row>
        <row r="561">
          <cell r="U561" t="str">
            <v>成华店</v>
          </cell>
          <cell r="V561" t="str">
            <v>2025-12-13</v>
          </cell>
          <cell r="W561">
            <v>107.89</v>
          </cell>
        </row>
        <row r="562">
          <cell r="U562" t="str">
            <v>西山店</v>
          </cell>
          <cell r="V562" t="str">
            <v>2025-12-13</v>
          </cell>
          <cell r="W562">
            <v>26.07</v>
          </cell>
        </row>
        <row r="563">
          <cell r="U563" t="str">
            <v>百捷店</v>
          </cell>
          <cell r="V563" t="str">
            <v>2025-12-13</v>
          </cell>
          <cell r="W563">
            <v>49.25</v>
          </cell>
        </row>
        <row r="564">
          <cell r="U564" t="str">
            <v>沙坪坝店</v>
          </cell>
          <cell r="V564" t="str">
            <v>2025-12-13</v>
          </cell>
          <cell r="W564">
            <v>21.49</v>
          </cell>
        </row>
        <row r="565">
          <cell r="U565" t="str">
            <v>五路口店</v>
          </cell>
          <cell r="V565" t="str">
            <v>2025-12-13</v>
          </cell>
          <cell r="W565">
            <v>1.76</v>
          </cell>
        </row>
        <row r="566">
          <cell r="U566" t="str">
            <v>济南店</v>
          </cell>
          <cell r="V566" t="str">
            <v>2025-12-13</v>
          </cell>
          <cell r="W566">
            <v>7.16</v>
          </cell>
        </row>
        <row r="567">
          <cell r="U567" t="str">
            <v>青羊店</v>
          </cell>
          <cell r="V567" t="str">
            <v>2025-12-13</v>
          </cell>
          <cell r="W567">
            <v>41.92</v>
          </cell>
        </row>
        <row r="568">
          <cell r="U568" t="str">
            <v>观音桥店</v>
          </cell>
          <cell r="V568" t="str">
            <v>2025-12-13</v>
          </cell>
          <cell r="W568">
            <v>63.74</v>
          </cell>
        </row>
        <row r="569">
          <cell r="U569" t="str">
            <v>观音桥店</v>
          </cell>
          <cell r="V569" t="str">
            <v>2025-12-13</v>
          </cell>
          <cell r="W569">
            <v>1.27</v>
          </cell>
        </row>
        <row r="570">
          <cell r="U570" t="str">
            <v>西湖店</v>
          </cell>
          <cell r="V570" t="str">
            <v>2025-12-13</v>
          </cell>
          <cell r="W570">
            <v>55.75</v>
          </cell>
        </row>
        <row r="571">
          <cell r="U571" t="str">
            <v>诚毅店</v>
          </cell>
          <cell r="V571" t="str">
            <v>2025-12-13</v>
          </cell>
          <cell r="W571">
            <v>35.31</v>
          </cell>
        </row>
        <row r="572">
          <cell r="U572" t="str">
            <v>湖里店</v>
          </cell>
          <cell r="V572" t="str">
            <v>2025-12-13</v>
          </cell>
          <cell r="W572">
            <v>69.25</v>
          </cell>
        </row>
        <row r="573">
          <cell r="U573" t="str">
            <v>东新店</v>
          </cell>
          <cell r="V573" t="str">
            <v>2025-12-13</v>
          </cell>
          <cell r="W573">
            <v>0</v>
          </cell>
        </row>
        <row r="574">
          <cell r="U574" t="str">
            <v>东新店</v>
          </cell>
          <cell r="V574" t="str">
            <v>2025-12-13</v>
          </cell>
          <cell r="W574">
            <v>62.53</v>
          </cell>
        </row>
        <row r="575">
          <cell r="U575" t="str">
            <v>大坪店</v>
          </cell>
          <cell r="V575" t="str">
            <v>2025-12-13</v>
          </cell>
          <cell r="W575">
            <v>97.85</v>
          </cell>
        </row>
        <row r="576">
          <cell r="U576" t="str">
            <v>凤城二路店</v>
          </cell>
          <cell r="V576" t="str">
            <v>2025-12-13</v>
          </cell>
          <cell r="W576">
            <v>28.21</v>
          </cell>
        </row>
        <row r="577">
          <cell r="U577" t="str">
            <v>洛江店</v>
          </cell>
          <cell r="V577" t="str">
            <v>2025-12-13</v>
          </cell>
          <cell r="W577">
            <v>0</v>
          </cell>
        </row>
        <row r="578">
          <cell r="U578" t="str">
            <v>官渡店</v>
          </cell>
          <cell r="V578" t="str">
            <v>2025-12-13</v>
          </cell>
          <cell r="W578">
            <v>47.95</v>
          </cell>
        </row>
        <row r="579">
          <cell r="U579" t="str">
            <v>武侯店</v>
          </cell>
          <cell r="V579" t="str">
            <v>2025-12-13</v>
          </cell>
          <cell r="W579">
            <v>70.82</v>
          </cell>
        </row>
        <row r="580">
          <cell r="U580" t="str">
            <v>黄雁村店</v>
          </cell>
          <cell r="V580" t="str">
            <v>2025-12-13</v>
          </cell>
          <cell r="W580">
            <v>37.6</v>
          </cell>
        </row>
        <row r="581">
          <cell r="U581" t="str">
            <v>五华店</v>
          </cell>
          <cell r="V581" t="str">
            <v>2025-12-13</v>
          </cell>
          <cell r="W581">
            <v>52.64</v>
          </cell>
        </row>
        <row r="582">
          <cell r="U582" t="str">
            <v>长沙店</v>
          </cell>
          <cell r="V582" t="str">
            <v>2025-12-13</v>
          </cell>
          <cell r="W582">
            <v>51.74</v>
          </cell>
        </row>
        <row r="583">
          <cell r="U583" t="str">
            <v>鼓楼店</v>
          </cell>
          <cell r="V583" t="str">
            <v>2025-12-13</v>
          </cell>
          <cell r="W583">
            <v>40.9</v>
          </cell>
        </row>
        <row r="584">
          <cell r="U584" t="str">
            <v>鼓楼店</v>
          </cell>
          <cell r="V584" t="str">
            <v>2025-12-13</v>
          </cell>
          <cell r="W584">
            <v>0</v>
          </cell>
        </row>
        <row r="585">
          <cell r="U585" t="str">
            <v>文昌店</v>
          </cell>
          <cell r="V585" t="str">
            <v>2025-12-13</v>
          </cell>
          <cell r="W585">
            <v>4.76</v>
          </cell>
        </row>
        <row r="586">
          <cell r="U586" t="str">
            <v>百丈店</v>
          </cell>
          <cell r="V586" t="str">
            <v>2025-12-13</v>
          </cell>
          <cell r="W586">
            <v>21.24</v>
          </cell>
        </row>
        <row r="587">
          <cell r="U587" t="str">
            <v>观桥店</v>
          </cell>
          <cell r="V587" t="str">
            <v>2025-12-13</v>
          </cell>
          <cell r="W587">
            <v>10.42</v>
          </cell>
        </row>
        <row r="588">
          <cell r="U588" t="str">
            <v>余杭店</v>
          </cell>
          <cell r="V588" t="str">
            <v>2025-12-13</v>
          </cell>
          <cell r="W588">
            <v>89.76</v>
          </cell>
        </row>
        <row r="589">
          <cell r="U589" t="str">
            <v>首山店</v>
          </cell>
          <cell r="V589" t="str">
            <v>2025-12-13</v>
          </cell>
          <cell r="W589">
            <v>89.5</v>
          </cell>
        </row>
        <row r="590">
          <cell r="U590" t="str">
            <v>首南店</v>
          </cell>
          <cell r="V590" t="str">
            <v>2025-12-13</v>
          </cell>
          <cell r="W590">
            <v>194.3</v>
          </cell>
        </row>
        <row r="591">
          <cell r="U591" t="str">
            <v>滨江店</v>
          </cell>
          <cell r="V591" t="str">
            <v>2025-12-13</v>
          </cell>
          <cell r="W591">
            <v>31.36</v>
          </cell>
        </row>
        <row r="592">
          <cell r="U592" t="str">
            <v>文灶店</v>
          </cell>
          <cell r="V592" t="str">
            <v>2025-12-13</v>
          </cell>
          <cell r="W592">
            <v>4.65</v>
          </cell>
        </row>
        <row r="593">
          <cell r="U593" t="str">
            <v>文灶店</v>
          </cell>
          <cell r="V593" t="str">
            <v>2025-12-13</v>
          </cell>
          <cell r="W593">
            <v>0</v>
          </cell>
        </row>
        <row r="594">
          <cell r="U594" t="str">
            <v>启点店</v>
          </cell>
          <cell r="V594" t="str">
            <v>2025-12-14</v>
          </cell>
          <cell r="W594">
            <v>1.05</v>
          </cell>
        </row>
        <row r="595">
          <cell r="U595" t="str">
            <v>高新店</v>
          </cell>
          <cell r="V595" t="str">
            <v>2025-12-14</v>
          </cell>
          <cell r="W595">
            <v>7.2</v>
          </cell>
        </row>
        <row r="596">
          <cell r="U596" t="str">
            <v>金牛店</v>
          </cell>
          <cell r="V596" t="str">
            <v>2025-12-14</v>
          </cell>
          <cell r="W596">
            <v>46.47</v>
          </cell>
        </row>
        <row r="597">
          <cell r="U597" t="str">
            <v>成华店</v>
          </cell>
          <cell r="V597" t="str">
            <v>2025-12-14</v>
          </cell>
          <cell r="W597">
            <v>9.41</v>
          </cell>
        </row>
        <row r="598">
          <cell r="U598" t="str">
            <v>西山店</v>
          </cell>
          <cell r="V598" t="str">
            <v>2025-12-14</v>
          </cell>
          <cell r="W598">
            <v>22.82</v>
          </cell>
        </row>
        <row r="599">
          <cell r="U599" t="str">
            <v>百捷店</v>
          </cell>
          <cell r="V599" t="str">
            <v>2025-12-14</v>
          </cell>
          <cell r="W599">
            <v>23.33</v>
          </cell>
        </row>
        <row r="600">
          <cell r="U600" t="str">
            <v>沙坪坝店</v>
          </cell>
          <cell r="V600" t="str">
            <v>2025-12-14</v>
          </cell>
          <cell r="W600">
            <v>91.57</v>
          </cell>
        </row>
        <row r="601">
          <cell r="U601" t="str">
            <v>五路口店</v>
          </cell>
          <cell r="V601" t="str">
            <v>2025-12-14</v>
          </cell>
          <cell r="W601">
            <v>2.88</v>
          </cell>
        </row>
        <row r="602">
          <cell r="U602" t="str">
            <v>济南店</v>
          </cell>
          <cell r="V602" t="str">
            <v>2025-12-14</v>
          </cell>
          <cell r="W602">
            <v>66.92</v>
          </cell>
        </row>
        <row r="603">
          <cell r="U603" t="str">
            <v>青羊店</v>
          </cell>
          <cell r="V603" t="str">
            <v>2025-12-14</v>
          </cell>
          <cell r="W603">
            <v>46.97</v>
          </cell>
        </row>
        <row r="604">
          <cell r="U604" t="str">
            <v>观音桥店</v>
          </cell>
          <cell r="V604" t="str">
            <v>2025-12-14</v>
          </cell>
          <cell r="W604">
            <v>57.02</v>
          </cell>
        </row>
        <row r="605">
          <cell r="U605" t="str">
            <v>观音桥店</v>
          </cell>
          <cell r="V605" t="str">
            <v>2025-12-14</v>
          </cell>
          <cell r="W605">
            <v>3.01</v>
          </cell>
        </row>
        <row r="606">
          <cell r="U606" t="str">
            <v>西湖店</v>
          </cell>
          <cell r="V606" t="str">
            <v>2025-12-14</v>
          </cell>
          <cell r="W606">
            <v>64.86</v>
          </cell>
        </row>
        <row r="607">
          <cell r="U607" t="str">
            <v>诚毅店</v>
          </cell>
          <cell r="V607" t="str">
            <v>2025-12-14</v>
          </cell>
          <cell r="W607">
            <v>39.86</v>
          </cell>
        </row>
        <row r="608">
          <cell r="U608" t="str">
            <v>湖里店</v>
          </cell>
          <cell r="V608" t="str">
            <v>2025-12-14</v>
          </cell>
          <cell r="W608">
            <v>47.34</v>
          </cell>
        </row>
        <row r="609">
          <cell r="U609" t="str">
            <v>东新店</v>
          </cell>
          <cell r="V609" t="str">
            <v>2025-12-14</v>
          </cell>
          <cell r="W609">
            <v>0.5</v>
          </cell>
        </row>
        <row r="610">
          <cell r="U610" t="str">
            <v>东新店</v>
          </cell>
          <cell r="V610" t="str">
            <v>2025-12-14</v>
          </cell>
          <cell r="W610">
            <v>185.65</v>
          </cell>
        </row>
        <row r="611">
          <cell r="U611" t="str">
            <v>大坪店</v>
          </cell>
          <cell r="V611" t="str">
            <v>2025-12-14</v>
          </cell>
          <cell r="W611">
            <v>90.84</v>
          </cell>
        </row>
        <row r="612">
          <cell r="U612" t="str">
            <v>凤城二路店</v>
          </cell>
          <cell r="V612" t="str">
            <v>2025-12-14</v>
          </cell>
          <cell r="W612">
            <v>36.85</v>
          </cell>
        </row>
        <row r="613">
          <cell r="U613" t="str">
            <v>洛江店</v>
          </cell>
          <cell r="V613" t="str">
            <v>2025-12-14</v>
          </cell>
          <cell r="W613">
            <v>0</v>
          </cell>
        </row>
        <row r="614">
          <cell r="U614" t="str">
            <v>官渡店</v>
          </cell>
          <cell r="V614" t="str">
            <v>2025-12-14</v>
          </cell>
          <cell r="W614">
            <v>41.31</v>
          </cell>
        </row>
        <row r="615">
          <cell r="U615" t="str">
            <v>武侯店</v>
          </cell>
          <cell r="V615" t="str">
            <v>2025-12-14</v>
          </cell>
          <cell r="W615">
            <v>45.65</v>
          </cell>
        </row>
        <row r="616">
          <cell r="U616" t="str">
            <v>黄雁村店</v>
          </cell>
          <cell r="V616" t="str">
            <v>2025-12-14</v>
          </cell>
          <cell r="W616">
            <v>26.15</v>
          </cell>
        </row>
        <row r="617">
          <cell r="U617" t="str">
            <v>五华店</v>
          </cell>
          <cell r="V617" t="str">
            <v>2025-12-14</v>
          </cell>
          <cell r="W617">
            <v>36.96</v>
          </cell>
        </row>
        <row r="618">
          <cell r="U618" t="str">
            <v>长沙店</v>
          </cell>
          <cell r="V618" t="str">
            <v>2025-12-14</v>
          </cell>
          <cell r="W618">
            <v>86.58</v>
          </cell>
        </row>
        <row r="619">
          <cell r="U619" t="str">
            <v>鼓楼店</v>
          </cell>
          <cell r="V619" t="str">
            <v>2025-12-14</v>
          </cell>
          <cell r="W619">
            <v>25.56</v>
          </cell>
        </row>
        <row r="620">
          <cell r="U620" t="str">
            <v>鼓楼店</v>
          </cell>
          <cell r="V620" t="str">
            <v>2025-12-14</v>
          </cell>
          <cell r="W620">
            <v>0.15</v>
          </cell>
        </row>
        <row r="621">
          <cell r="U621" t="str">
            <v>文昌店</v>
          </cell>
          <cell r="V621" t="str">
            <v>2025-12-14</v>
          </cell>
          <cell r="W621">
            <v>3.3</v>
          </cell>
        </row>
        <row r="622">
          <cell r="U622" t="str">
            <v>百丈店</v>
          </cell>
          <cell r="V622" t="str">
            <v>2025-12-14</v>
          </cell>
          <cell r="W622">
            <v>40.92</v>
          </cell>
        </row>
        <row r="623">
          <cell r="U623" t="str">
            <v>观桥店</v>
          </cell>
          <cell r="V623" t="str">
            <v>2025-12-14</v>
          </cell>
          <cell r="W623">
            <v>10.97</v>
          </cell>
        </row>
        <row r="624">
          <cell r="U624" t="str">
            <v>余杭店</v>
          </cell>
          <cell r="V624" t="str">
            <v>2025-12-14</v>
          </cell>
          <cell r="W624">
            <v>140.17</v>
          </cell>
        </row>
        <row r="625">
          <cell r="U625" t="str">
            <v>首山店</v>
          </cell>
          <cell r="V625" t="str">
            <v>2025-12-14</v>
          </cell>
          <cell r="W625">
            <v>47.32</v>
          </cell>
        </row>
        <row r="626">
          <cell r="U626" t="str">
            <v>首南店</v>
          </cell>
          <cell r="V626" t="str">
            <v>2025-12-14</v>
          </cell>
          <cell r="W626">
            <v>203.44</v>
          </cell>
        </row>
        <row r="627">
          <cell r="U627" t="str">
            <v>滨江店</v>
          </cell>
          <cell r="V627" t="str">
            <v>2025-12-14</v>
          </cell>
          <cell r="W627">
            <v>47.31</v>
          </cell>
        </row>
        <row r="628">
          <cell r="U628" t="str">
            <v>文灶店</v>
          </cell>
          <cell r="V628" t="str">
            <v>2025-12-14</v>
          </cell>
          <cell r="W628">
            <v>4.74</v>
          </cell>
        </row>
        <row r="629">
          <cell r="U629" t="str">
            <v>文灶店</v>
          </cell>
          <cell r="V629" t="str">
            <v>2025-12-14</v>
          </cell>
          <cell r="W629">
            <v>0</v>
          </cell>
        </row>
        <row r="630">
          <cell r="U630" t="str">
            <v>启点店</v>
          </cell>
          <cell r="V630" t="str">
            <v>2025-12-15</v>
          </cell>
          <cell r="W630">
            <v>29.63</v>
          </cell>
        </row>
        <row r="631">
          <cell r="U631" t="str">
            <v>高新店</v>
          </cell>
          <cell r="V631" t="str">
            <v>2025-12-15</v>
          </cell>
          <cell r="W631">
            <v>4.98</v>
          </cell>
        </row>
        <row r="632">
          <cell r="U632" t="str">
            <v>金牛店</v>
          </cell>
          <cell r="V632" t="str">
            <v>2025-12-15</v>
          </cell>
          <cell r="W632">
            <v>33.04</v>
          </cell>
        </row>
        <row r="633">
          <cell r="U633" t="str">
            <v>成华店</v>
          </cell>
          <cell r="V633" t="str">
            <v>2025-12-15</v>
          </cell>
          <cell r="W633">
            <v>0</v>
          </cell>
        </row>
        <row r="634">
          <cell r="U634" t="str">
            <v>西山店</v>
          </cell>
          <cell r="V634" t="str">
            <v>2025-12-15</v>
          </cell>
          <cell r="W634">
            <v>7.06</v>
          </cell>
        </row>
        <row r="635">
          <cell r="U635" t="str">
            <v>百捷店</v>
          </cell>
          <cell r="V635" t="str">
            <v>2025-12-15</v>
          </cell>
          <cell r="W635">
            <v>19.05</v>
          </cell>
        </row>
        <row r="636">
          <cell r="U636" t="str">
            <v>沙坪坝店</v>
          </cell>
          <cell r="V636" t="str">
            <v>2025-12-15</v>
          </cell>
          <cell r="W636">
            <v>64.85</v>
          </cell>
        </row>
        <row r="637">
          <cell r="U637" t="str">
            <v>五路口店</v>
          </cell>
          <cell r="V637" t="str">
            <v>2025-12-15</v>
          </cell>
          <cell r="W637">
            <v>22.05</v>
          </cell>
        </row>
        <row r="638">
          <cell r="U638" t="str">
            <v>济南店</v>
          </cell>
          <cell r="V638" t="str">
            <v>2025-12-15</v>
          </cell>
          <cell r="W638">
            <v>94.9</v>
          </cell>
        </row>
        <row r="639">
          <cell r="U639" t="str">
            <v>青羊店</v>
          </cell>
          <cell r="V639" t="str">
            <v>2025-12-15</v>
          </cell>
          <cell r="W639">
            <v>15.39</v>
          </cell>
        </row>
        <row r="640">
          <cell r="U640" t="str">
            <v>观音桥店</v>
          </cell>
          <cell r="V640" t="str">
            <v>2025-12-15</v>
          </cell>
          <cell r="W640">
            <v>29.17</v>
          </cell>
        </row>
        <row r="641">
          <cell r="U641" t="str">
            <v>观音桥店</v>
          </cell>
          <cell r="V641" t="str">
            <v>2025-12-15</v>
          </cell>
          <cell r="W641">
            <v>0.05</v>
          </cell>
        </row>
        <row r="642">
          <cell r="U642" t="str">
            <v>西湖店</v>
          </cell>
          <cell r="V642" t="str">
            <v>2025-12-15</v>
          </cell>
          <cell r="W642">
            <v>71.42</v>
          </cell>
        </row>
        <row r="643">
          <cell r="U643" t="str">
            <v>诚毅店</v>
          </cell>
          <cell r="V643" t="str">
            <v>2025-12-15</v>
          </cell>
          <cell r="W643">
            <v>42.98</v>
          </cell>
        </row>
        <row r="644">
          <cell r="U644" t="str">
            <v>湖里店</v>
          </cell>
          <cell r="V644" t="str">
            <v>2025-12-15</v>
          </cell>
          <cell r="W644">
            <v>31.75</v>
          </cell>
        </row>
        <row r="645">
          <cell r="U645" t="str">
            <v>东新店</v>
          </cell>
          <cell r="V645" t="str">
            <v>2025-12-15</v>
          </cell>
          <cell r="W645">
            <v>0</v>
          </cell>
        </row>
        <row r="646">
          <cell r="U646" t="str">
            <v>东新店</v>
          </cell>
          <cell r="V646" t="str">
            <v>2025-12-15</v>
          </cell>
          <cell r="W646">
            <v>122.69</v>
          </cell>
        </row>
        <row r="647">
          <cell r="U647" t="str">
            <v>大坪店</v>
          </cell>
          <cell r="V647" t="str">
            <v>2025-12-15</v>
          </cell>
          <cell r="W647">
            <v>43.27</v>
          </cell>
        </row>
        <row r="648">
          <cell r="U648" t="str">
            <v>凤城二路店</v>
          </cell>
          <cell r="V648" t="str">
            <v>2025-12-15</v>
          </cell>
          <cell r="W648">
            <v>46.15</v>
          </cell>
        </row>
        <row r="649">
          <cell r="U649" t="str">
            <v>洛江店</v>
          </cell>
          <cell r="V649" t="str">
            <v>2025-12-15</v>
          </cell>
          <cell r="W649">
            <v>0</v>
          </cell>
        </row>
        <row r="650">
          <cell r="U650" t="str">
            <v>官渡店</v>
          </cell>
          <cell r="V650" t="str">
            <v>2025-12-15</v>
          </cell>
          <cell r="W650">
            <v>56.26</v>
          </cell>
        </row>
        <row r="651">
          <cell r="U651" t="str">
            <v>武侯店</v>
          </cell>
          <cell r="V651" t="str">
            <v>2025-12-15</v>
          </cell>
          <cell r="W651">
            <v>58</v>
          </cell>
        </row>
        <row r="652">
          <cell r="U652" t="str">
            <v>黄雁村店</v>
          </cell>
          <cell r="V652" t="str">
            <v>2025-12-15</v>
          </cell>
          <cell r="W652">
            <v>32.21</v>
          </cell>
        </row>
        <row r="653">
          <cell r="U653" t="str">
            <v>五华店</v>
          </cell>
          <cell r="V653" t="str">
            <v>2025-12-15</v>
          </cell>
          <cell r="W653">
            <v>14.11</v>
          </cell>
        </row>
        <row r="654">
          <cell r="U654" t="str">
            <v>长沙店</v>
          </cell>
          <cell r="V654" t="str">
            <v>2025-12-15</v>
          </cell>
          <cell r="W654">
            <v>17.67</v>
          </cell>
        </row>
        <row r="655">
          <cell r="U655" t="str">
            <v>鼓楼店</v>
          </cell>
          <cell r="V655" t="str">
            <v>2025-12-15</v>
          </cell>
          <cell r="W655">
            <v>36.72</v>
          </cell>
        </row>
        <row r="656">
          <cell r="U656" t="str">
            <v>鼓楼店</v>
          </cell>
          <cell r="V656" t="str">
            <v>2025-12-15</v>
          </cell>
          <cell r="W656">
            <v>0</v>
          </cell>
        </row>
        <row r="657">
          <cell r="U657" t="str">
            <v>文昌店</v>
          </cell>
          <cell r="V657" t="str">
            <v>2025-12-15</v>
          </cell>
          <cell r="W657">
            <v>2.18</v>
          </cell>
        </row>
        <row r="658">
          <cell r="U658" t="str">
            <v>百丈店</v>
          </cell>
          <cell r="V658" t="str">
            <v>2025-12-15</v>
          </cell>
          <cell r="W658">
            <v>7.98</v>
          </cell>
        </row>
        <row r="659">
          <cell r="U659" t="str">
            <v>观桥店</v>
          </cell>
          <cell r="V659" t="str">
            <v>2025-12-15</v>
          </cell>
          <cell r="W659">
            <v>18.9</v>
          </cell>
        </row>
        <row r="660">
          <cell r="U660" t="str">
            <v>余杭店</v>
          </cell>
          <cell r="V660" t="str">
            <v>2025-12-15</v>
          </cell>
          <cell r="W660">
            <v>226.45</v>
          </cell>
        </row>
        <row r="661">
          <cell r="U661" t="str">
            <v>首山店</v>
          </cell>
          <cell r="V661" t="str">
            <v>2025-12-15</v>
          </cell>
          <cell r="W661">
            <v>32.14</v>
          </cell>
        </row>
        <row r="662">
          <cell r="U662" t="str">
            <v>首南店</v>
          </cell>
          <cell r="V662" t="str">
            <v>2025-12-15</v>
          </cell>
          <cell r="W662">
            <v>184.87</v>
          </cell>
        </row>
        <row r="663">
          <cell r="U663" t="str">
            <v>滨江店</v>
          </cell>
          <cell r="V663" t="str">
            <v>2025-12-15</v>
          </cell>
          <cell r="W663">
            <v>54.11</v>
          </cell>
        </row>
        <row r="664">
          <cell r="U664" t="str">
            <v>文灶店</v>
          </cell>
          <cell r="V664" t="str">
            <v>2025-12-15</v>
          </cell>
          <cell r="W664">
            <v>55.81</v>
          </cell>
        </row>
        <row r="665">
          <cell r="U665" t="str">
            <v>文灶店</v>
          </cell>
          <cell r="V665" t="str">
            <v>2025-12-15</v>
          </cell>
          <cell r="W665">
            <v>1.98</v>
          </cell>
        </row>
        <row r="666">
          <cell r="U666" t="str">
            <v>启点店</v>
          </cell>
          <cell r="V666" t="str">
            <v>2025-12-16</v>
          </cell>
          <cell r="W666">
            <v>75.14</v>
          </cell>
        </row>
        <row r="667">
          <cell r="U667" t="str">
            <v>高新店</v>
          </cell>
          <cell r="V667" t="str">
            <v>2025-12-16</v>
          </cell>
          <cell r="W667">
            <v>24.61</v>
          </cell>
        </row>
        <row r="668">
          <cell r="U668" t="str">
            <v>金牛店</v>
          </cell>
          <cell r="V668" t="str">
            <v>2025-12-16</v>
          </cell>
          <cell r="W668">
            <v>52.07</v>
          </cell>
        </row>
        <row r="669">
          <cell r="U669" t="str">
            <v>成华店</v>
          </cell>
          <cell r="V669" t="str">
            <v>2025-12-16</v>
          </cell>
          <cell r="W669">
            <v>18.71</v>
          </cell>
        </row>
        <row r="670">
          <cell r="U670" t="str">
            <v>西山店</v>
          </cell>
          <cell r="V670" t="str">
            <v>2025-12-16</v>
          </cell>
          <cell r="W670">
            <v>1.73</v>
          </cell>
        </row>
        <row r="671">
          <cell r="U671" t="str">
            <v>百捷店</v>
          </cell>
          <cell r="V671" t="str">
            <v>2025-12-16</v>
          </cell>
          <cell r="W671">
            <v>3.72</v>
          </cell>
        </row>
        <row r="672">
          <cell r="U672" t="str">
            <v>沙坪坝店</v>
          </cell>
          <cell r="V672" t="str">
            <v>2025-12-16</v>
          </cell>
          <cell r="W672">
            <v>59.95</v>
          </cell>
        </row>
        <row r="673">
          <cell r="U673" t="str">
            <v>五路口店</v>
          </cell>
          <cell r="V673" t="str">
            <v>2025-12-16</v>
          </cell>
          <cell r="W673">
            <v>37.22</v>
          </cell>
        </row>
        <row r="674">
          <cell r="U674" t="str">
            <v>济南店</v>
          </cell>
          <cell r="V674" t="str">
            <v>2025-12-16</v>
          </cell>
          <cell r="W674">
            <v>104.85</v>
          </cell>
        </row>
        <row r="675">
          <cell r="U675" t="str">
            <v>青羊店</v>
          </cell>
          <cell r="V675" t="str">
            <v>2025-12-16</v>
          </cell>
          <cell r="W675">
            <v>4.85</v>
          </cell>
        </row>
        <row r="676">
          <cell r="U676" t="str">
            <v>观音桥店</v>
          </cell>
          <cell r="V676" t="str">
            <v>2025-12-16</v>
          </cell>
          <cell r="W676">
            <v>3.83</v>
          </cell>
        </row>
        <row r="677">
          <cell r="U677" t="str">
            <v>观音桥店</v>
          </cell>
          <cell r="V677" t="str">
            <v>2025-12-16</v>
          </cell>
          <cell r="W677">
            <v>0.3</v>
          </cell>
        </row>
        <row r="678">
          <cell r="U678" t="str">
            <v>西湖店</v>
          </cell>
          <cell r="V678" t="str">
            <v>2025-12-16</v>
          </cell>
          <cell r="W678">
            <v>71.43</v>
          </cell>
        </row>
        <row r="679">
          <cell r="U679" t="str">
            <v>诚毅店</v>
          </cell>
          <cell r="V679" t="str">
            <v>2025-12-16</v>
          </cell>
          <cell r="W679">
            <v>71.03</v>
          </cell>
        </row>
        <row r="680">
          <cell r="U680" t="str">
            <v>湖里店</v>
          </cell>
          <cell r="V680" t="str">
            <v>2025-12-16</v>
          </cell>
          <cell r="W680">
            <v>14.7</v>
          </cell>
        </row>
        <row r="681">
          <cell r="U681" t="str">
            <v>东新店</v>
          </cell>
          <cell r="V681" t="str">
            <v>2025-12-16</v>
          </cell>
          <cell r="W681">
            <v>0</v>
          </cell>
        </row>
        <row r="682">
          <cell r="U682" t="str">
            <v>东新店</v>
          </cell>
          <cell r="V682" t="str">
            <v>2025-12-16</v>
          </cell>
          <cell r="W682">
            <v>111.56</v>
          </cell>
        </row>
        <row r="683">
          <cell r="U683" t="str">
            <v>大坪店</v>
          </cell>
          <cell r="V683" t="str">
            <v>2025-12-16</v>
          </cell>
          <cell r="W683">
            <v>75.74</v>
          </cell>
        </row>
        <row r="684">
          <cell r="U684" t="str">
            <v>凤城二路店</v>
          </cell>
          <cell r="V684" t="str">
            <v>2025-12-16</v>
          </cell>
          <cell r="W684">
            <v>6.11</v>
          </cell>
        </row>
        <row r="685">
          <cell r="U685" t="str">
            <v>洛江店</v>
          </cell>
          <cell r="V685" t="str">
            <v>2025-12-16</v>
          </cell>
          <cell r="W685">
            <v>0</v>
          </cell>
        </row>
        <row r="686">
          <cell r="U686" t="str">
            <v>官渡店</v>
          </cell>
          <cell r="V686" t="str">
            <v>2025-12-16</v>
          </cell>
          <cell r="W686">
            <v>38.45</v>
          </cell>
        </row>
        <row r="687">
          <cell r="U687" t="str">
            <v>武侯店</v>
          </cell>
          <cell r="V687" t="str">
            <v>2025-12-16</v>
          </cell>
          <cell r="W687">
            <v>52.01</v>
          </cell>
        </row>
        <row r="688">
          <cell r="U688" t="str">
            <v>黄雁村店</v>
          </cell>
          <cell r="V688" t="str">
            <v>2025-12-16</v>
          </cell>
          <cell r="W688">
            <v>34.95</v>
          </cell>
        </row>
        <row r="689">
          <cell r="U689" t="str">
            <v>五华店</v>
          </cell>
          <cell r="V689" t="str">
            <v>2025-12-16</v>
          </cell>
          <cell r="W689">
            <v>7.54</v>
          </cell>
        </row>
        <row r="690">
          <cell r="U690" t="str">
            <v>长沙店</v>
          </cell>
          <cell r="V690" t="str">
            <v>2025-12-16</v>
          </cell>
          <cell r="W690">
            <v>2.95</v>
          </cell>
        </row>
        <row r="691">
          <cell r="U691" t="str">
            <v>鼓楼店</v>
          </cell>
          <cell r="V691" t="str">
            <v>2025-12-16</v>
          </cell>
          <cell r="W691">
            <v>47.96</v>
          </cell>
        </row>
        <row r="692">
          <cell r="U692" t="str">
            <v>鼓楼店</v>
          </cell>
          <cell r="V692" t="str">
            <v>2025-12-16</v>
          </cell>
          <cell r="W692">
            <v>0</v>
          </cell>
        </row>
        <row r="693">
          <cell r="U693" t="str">
            <v>文昌店</v>
          </cell>
          <cell r="V693" t="str">
            <v>2025-12-16</v>
          </cell>
          <cell r="W693">
            <v>3.06</v>
          </cell>
        </row>
        <row r="694">
          <cell r="U694" t="str">
            <v>百丈店</v>
          </cell>
          <cell r="V694" t="str">
            <v>2025-12-16</v>
          </cell>
          <cell r="W694">
            <v>1.83</v>
          </cell>
        </row>
        <row r="695">
          <cell r="U695" t="str">
            <v>观桥店</v>
          </cell>
          <cell r="V695" t="str">
            <v>2025-12-16</v>
          </cell>
          <cell r="W695">
            <v>14.94</v>
          </cell>
        </row>
        <row r="696">
          <cell r="U696" t="str">
            <v>余杭店</v>
          </cell>
          <cell r="V696" t="str">
            <v>2025-12-16</v>
          </cell>
          <cell r="W696">
            <v>169.56</v>
          </cell>
        </row>
        <row r="697">
          <cell r="U697" t="str">
            <v>首山店</v>
          </cell>
          <cell r="V697" t="str">
            <v>2025-12-16</v>
          </cell>
          <cell r="W697">
            <v>9.71</v>
          </cell>
        </row>
        <row r="698">
          <cell r="U698" t="str">
            <v>首南店</v>
          </cell>
          <cell r="V698" t="str">
            <v>2025-12-16</v>
          </cell>
          <cell r="W698">
            <v>222.26</v>
          </cell>
        </row>
        <row r="699">
          <cell r="U699" t="str">
            <v>滨江店</v>
          </cell>
          <cell r="V699" t="str">
            <v>2025-12-16</v>
          </cell>
          <cell r="W699">
            <v>38.3</v>
          </cell>
        </row>
        <row r="700">
          <cell r="U700" t="str">
            <v>文灶店</v>
          </cell>
          <cell r="V700" t="str">
            <v>2025-12-16</v>
          </cell>
          <cell r="W700">
            <v>12.53</v>
          </cell>
        </row>
        <row r="701">
          <cell r="U701" t="str">
            <v>文灶店</v>
          </cell>
          <cell r="V701" t="str">
            <v>2025-12-16</v>
          </cell>
          <cell r="W701">
            <v>3.48</v>
          </cell>
        </row>
        <row r="702">
          <cell r="U702" t="str">
            <v>东海店</v>
          </cell>
          <cell r="V702" t="str">
            <v>2025-12-16</v>
          </cell>
          <cell r="W702">
            <v>11.23</v>
          </cell>
        </row>
        <row r="703">
          <cell r="U703" t="str">
            <v>东海店</v>
          </cell>
          <cell r="V703" t="str">
            <v>2025-12-16</v>
          </cell>
          <cell r="W703">
            <v>0</v>
          </cell>
        </row>
        <row r="704">
          <cell r="U704" t="str">
            <v>启点店</v>
          </cell>
          <cell r="V704" t="str">
            <v>2025-12-17</v>
          </cell>
          <cell r="W704">
            <v>37.34</v>
          </cell>
        </row>
        <row r="705">
          <cell r="U705" t="str">
            <v>高新店</v>
          </cell>
          <cell r="V705" t="str">
            <v>2025-12-17</v>
          </cell>
          <cell r="W705">
            <v>71.32</v>
          </cell>
        </row>
        <row r="706">
          <cell r="U706" t="str">
            <v>金牛店</v>
          </cell>
          <cell r="V706" t="str">
            <v>2025-12-17</v>
          </cell>
          <cell r="W706">
            <v>38.01</v>
          </cell>
        </row>
        <row r="707">
          <cell r="U707" t="str">
            <v>成华店</v>
          </cell>
          <cell r="V707" t="str">
            <v>2025-12-17</v>
          </cell>
          <cell r="W707">
            <v>19.58</v>
          </cell>
        </row>
        <row r="708">
          <cell r="U708" t="str">
            <v>西山店</v>
          </cell>
          <cell r="V708" t="str">
            <v>2025-12-17</v>
          </cell>
          <cell r="W708">
            <v>1.52</v>
          </cell>
        </row>
        <row r="709">
          <cell r="U709" t="str">
            <v>百捷店</v>
          </cell>
          <cell r="V709" t="str">
            <v>2025-12-17</v>
          </cell>
          <cell r="W709">
            <v>0.63</v>
          </cell>
        </row>
        <row r="710">
          <cell r="U710" t="str">
            <v>沙坪坝店</v>
          </cell>
          <cell r="V710" t="str">
            <v>2025-12-17</v>
          </cell>
          <cell r="W710">
            <v>67.67</v>
          </cell>
        </row>
        <row r="711">
          <cell r="U711" t="str">
            <v>五路口店</v>
          </cell>
          <cell r="V711" t="str">
            <v>2025-12-17</v>
          </cell>
          <cell r="W711">
            <v>30.13</v>
          </cell>
        </row>
        <row r="712">
          <cell r="U712" t="str">
            <v>济南店</v>
          </cell>
          <cell r="V712" t="str">
            <v>2025-12-17</v>
          </cell>
          <cell r="W712">
            <v>78.49</v>
          </cell>
        </row>
        <row r="713">
          <cell r="U713" t="str">
            <v>青羊店</v>
          </cell>
          <cell r="V713" t="str">
            <v>2025-12-17</v>
          </cell>
          <cell r="W713">
            <v>6.22</v>
          </cell>
        </row>
        <row r="714">
          <cell r="U714" t="str">
            <v>观音桥店</v>
          </cell>
          <cell r="V714" t="str">
            <v>2025-12-17</v>
          </cell>
          <cell r="W714">
            <v>5.06</v>
          </cell>
        </row>
        <row r="715">
          <cell r="U715" t="str">
            <v>观音桥店</v>
          </cell>
          <cell r="V715" t="str">
            <v>2025-12-17</v>
          </cell>
          <cell r="W715">
            <v>0.13</v>
          </cell>
        </row>
        <row r="716">
          <cell r="U716" t="str">
            <v>西湖店</v>
          </cell>
          <cell r="V716" t="str">
            <v>2025-12-17</v>
          </cell>
          <cell r="W716">
            <v>126.44</v>
          </cell>
        </row>
        <row r="717">
          <cell r="U717" t="str">
            <v>诚毅店</v>
          </cell>
          <cell r="V717" t="str">
            <v>2025-12-17</v>
          </cell>
          <cell r="W717">
            <v>67.15</v>
          </cell>
        </row>
        <row r="718">
          <cell r="U718" t="str">
            <v>湖里店</v>
          </cell>
          <cell r="V718" t="str">
            <v>2025-12-17</v>
          </cell>
          <cell r="W718">
            <v>24.98</v>
          </cell>
        </row>
        <row r="719">
          <cell r="U719" t="str">
            <v>东新店</v>
          </cell>
          <cell r="V719" t="str">
            <v>2025-12-17</v>
          </cell>
          <cell r="W719">
            <v>0.5</v>
          </cell>
        </row>
        <row r="720">
          <cell r="U720" t="str">
            <v>东新店</v>
          </cell>
          <cell r="V720" t="str">
            <v>2025-12-17</v>
          </cell>
          <cell r="W720">
            <v>120.9</v>
          </cell>
        </row>
        <row r="721">
          <cell r="U721" t="str">
            <v>大坪店</v>
          </cell>
          <cell r="V721" t="str">
            <v>2025-12-17</v>
          </cell>
          <cell r="W721">
            <v>63.82</v>
          </cell>
        </row>
        <row r="722">
          <cell r="U722" t="str">
            <v>凤城二路店</v>
          </cell>
          <cell r="V722" t="str">
            <v>2025-12-17</v>
          </cell>
          <cell r="W722">
            <v>3.12</v>
          </cell>
        </row>
        <row r="723">
          <cell r="U723" t="str">
            <v>洛江店</v>
          </cell>
          <cell r="V723" t="str">
            <v>2025-12-17</v>
          </cell>
          <cell r="W723">
            <v>0</v>
          </cell>
        </row>
        <row r="724">
          <cell r="U724" t="str">
            <v>官渡店</v>
          </cell>
          <cell r="V724" t="str">
            <v>2025-12-17</v>
          </cell>
          <cell r="W724">
            <v>42.14</v>
          </cell>
        </row>
        <row r="725">
          <cell r="U725" t="str">
            <v>武侯店</v>
          </cell>
          <cell r="V725" t="str">
            <v>2025-12-17</v>
          </cell>
          <cell r="W725">
            <v>30.53</v>
          </cell>
        </row>
        <row r="726">
          <cell r="U726" t="str">
            <v>黄雁村店</v>
          </cell>
          <cell r="V726" t="str">
            <v>2025-12-17</v>
          </cell>
          <cell r="W726">
            <v>46.26</v>
          </cell>
        </row>
        <row r="727">
          <cell r="U727" t="str">
            <v>五华店</v>
          </cell>
          <cell r="V727" t="str">
            <v>2025-12-17</v>
          </cell>
          <cell r="W727">
            <v>9.12</v>
          </cell>
        </row>
        <row r="728">
          <cell r="U728" t="str">
            <v>长沙店</v>
          </cell>
          <cell r="V728" t="str">
            <v>2025-12-17</v>
          </cell>
          <cell r="W728">
            <v>8.64</v>
          </cell>
        </row>
        <row r="729">
          <cell r="U729" t="str">
            <v>鼓楼店</v>
          </cell>
          <cell r="V729" t="str">
            <v>2025-12-17</v>
          </cell>
          <cell r="W729">
            <v>13.21</v>
          </cell>
        </row>
        <row r="730">
          <cell r="U730" t="str">
            <v>鼓楼店</v>
          </cell>
          <cell r="V730" t="str">
            <v>2025-12-17</v>
          </cell>
          <cell r="W730">
            <v>0</v>
          </cell>
        </row>
        <row r="731">
          <cell r="U731" t="str">
            <v>文昌店</v>
          </cell>
          <cell r="V731" t="str">
            <v>2025-12-17</v>
          </cell>
          <cell r="W731">
            <v>3.17</v>
          </cell>
        </row>
        <row r="732">
          <cell r="U732" t="str">
            <v>百丈店</v>
          </cell>
          <cell r="V732" t="str">
            <v>2025-12-17</v>
          </cell>
          <cell r="W732">
            <v>0.87</v>
          </cell>
        </row>
        <row r="733">
          <cell r="U733" t="str">
            <v>观桥店</v>
          </cell>
          <cell r="V733" t="str">
            <v>2025-12-17</v>
          </cell>
          <cell r="W733">
            <v>16.2</v>
          </cell>
        </row>
        <row r="734">
          <cell r="U734" t="str">
            <v>余杭店</v>
          </cell>
          <cell r="V734" t="str">
            <v>2025-12-17</v>
          </cell>
          <cell r="W734">
            <v>148.94</v>
          </cell>
        </row>
        <row r="735">
          <cell r="U735" t="str">
            <v>首山店</v>
          </cell>
          <cell r="V735" t="str">
            <v>2025-12-17</v>
          </cell>
          <cell r="W735">
            <v>5.21</v>
          </cell>
        </row>
        <row r="736">
          <cell r="U736" t="str">
            <v>首南店</v>
          </cell>
          <cell r="V736" t="str">
            <v>2025-12-17</v>
          </cell>
          <cell r="W736">
            <v>172.64</v>
          </cell>
        </row>
        <row r="737">
          <cell r="U737" t="str">
            <v>滨江店</v>
          </cell>
          <cell r="V737" t="str">
            <v>2025-12-17</v>
          </cell>
          <cell r="W737">
            <v>44.14</v>
          </cell>
        </row>
        <row r="738">
          <cell r="U738" t="str">
            <v>文灶店</v>
          </cell>
          <cell r="V738" t="str">
            <v>2025-12-17</v>
          </cell>
          <cell r="W738">
            <v>37.54</v>
          </cell>
        </row>
        <row r="739">
          <cell r="U739" t="str">
            <v>文灶店</v>
          </cell>
          <cell r="V739" t="str">
            <v>2025-12-17</v>
          </cell>
          <cell r="W739">
            <v>0</v>
          </cell>
        </row>
        <row r="740">
          <cell r="U740" t="str">
            <v>东海店</v>
          </cell>
          <cell r="V740" t="str">
            <v>2025-12-17</v>
          </cell>
          <cell r="W740">
            <v>22.15</v>
          </cell>
        </row>
        <row r="741">
          <cell r="U741" t="str">
            <v>东海店</v>
          </cell>
          <cell r="V741" t="str">
            <v>2025-12-17</v>
          </cell>
          <cell r="W741">
            <v>0</v>
          </cell>
        </row>
        <row r="742">
          <cell r="U742" t="str">
            <v>启点店</v>
          </cell>
          <cell r="V742" t="str">
            <v>2025-12-18</v>
          </cell>
          <cell r="W742">
            <v>68.54</v>
          </cell>
        </row>
        <row r="743">
          <cell r="U743" t="str">
            <v>高新店</v>
          </cell>
          <cell r="V743" t="str">
            <v>2025-12-18</v>
          </cell>
          <cell r="W743">
            <v>74.56</v>
          </cell>
        </row>
        <row r="744">
          <cell r="U744" t="str">
            <v>金牛店</v>
          </cell>
          <cell r="V744" t="str">
            <v>2025-12-18</v>
          </cell>
          <cell r="W744">
            <v>22.73</v>
          </cell>
        </row>
        <row r="745">
          <cell r="U745" t="str">
            <v>成华店</v>
          </cell>
          <cell r="V745" t="str">
            <v>2025-12-18</v>
          </cell>
          <cell r="W745">
            <v>40.1</v>
          </cell>
        </row>
        <row r="746">
          <cell r="U746" t="str">
            <v>西山店</v>
          </cell>
          <cell r="V746" t="str">
            <v>2025-12-18</v>
          </cell>
          <cell r="W746">
            <v>3.52</v>
          </cell>
        </row>
        <row r="747">
          <cell r="U747" t="str">
            <v>百捷店</v>
          </cell>
          <cell r="V747" t="str">
            <v>2025-12-18</v>
          </cell>
          <cell r="W747">
            <v>4.65</v>
          </cell>
        </row>
        <row r="748">
          <cell r="U748" t="str">
            <v>沙坪坝店</v>
          </cell>
          <cell r="V748" t="str">
            <v>2025-12-18</v>
          </cell>
          <cell r="W748">
            <v>50.16</v>
          </cell>
        </row>
        <row r="749">
          <cell r="U749" t="str">
            <v>五路口店</v>
          </cell>
          <cell r="V749" t="str">
            <v>2025-12-18</v>
          </cell>
          <cell r="W749">
            <v>29.92</v>
          </cell>
        </row>
        <row r="750">
          <cell r="U750" t="str">
            <v>济南店</v>
          </cell>
          <cell r="V750" t="str">
            <v>2025-12-18</v>
          </cell>
          <cell r="W750">
            <v>72.51</v>
          </cell>
        </row>
        <row r="751">
          <cell r="U751" t="str">
            <v>青羊店</v>
          </cell>
          <cell r="V751" t="str">
            <v>2025-12-18</v>
          </cell>
          <cell r="W751">
            <v>2.07</v>
          </cell>
        </row>
        <row r="752">
          <cell r="U752" t="str">
            <v>观音桥店</v>
          </cell>
          <cell r="V752" t="str">
            <v>2025-12-18</v>
          </cell>
          <cell r="W752">
            <v>6.42</v>
          </cell>
        </row>
        <row r="753">
          <cell r="U753" t="str">
            <v>观音桥店</v>
          </cell>
          <cell r="V753" t="str">
            <v>2025-12-18</v>
          </cell>
          <cell r="W753">
            <v>0.06</v>
          </cell>
        </row>
        <row r="754">
          <cell r="U754" t="str">
            <v>西湖店</v>
          </cell>
          <cell r="V754" t="str">
            <v>2025-12-18</v>
          </cell>
          <cell r="W754">
            <v>65.21</v>
          </cell>
        </row>
        <row r="755">
          <cell r="U755" t="str">
            <v>诚毅店</v>
          </cell>
          <cell r="V755" t="str">
            <v>2025-12-18</v>
          </cell>
          <cell r="W755">
            <v>121.9</v>
          </cell>
        </row>
        <row r="756">
          <cell r="U756" t="str">
            <v>湖里店</v>
          </cell>
          <cell r="V756" t="str">
            <v>2025-12-18</v>
          </cell>
          <cell r="W756">
            <v>87.08</v>
          </cell>
        </row>
        <row r="757">
          <cell r="U757" t="str">
            <v>东新店</v>
          </cell>
          <cell r="V757" t="str">
            <v>2025-12-18</v>
          </cell>
          <cell r="W757">
            <v>0</v>
          </cell>
        </row>
        <row r="758">
          <cell r="U758" t="str">
            <v>东新店</v>
          </cell>
          <cell r="V758" t="str">
            <v>2025-12-18</v>
          </cell>
          <cell r="W758">
            <v>110.56</v>
          </cell>
        </row>
        <row r="759">
          <cell r="U759" t="str">
            <v>大坪店</v>
          </cell>
          <cell r="V759" t="str">
            <v>2025-12-18</v>
          </cell>
          <cell r="W759">
            <v>74.77</v>
          </cell>
        </row>
        <row r="760">
          <cell r="U760" t="str">
            <v>凤城二路店</v>
          </cell>
          <cell r="V760" t="str">
            <v>2025-12-18</v>
          </cell>
          <cell r="W760">
            <v>6.16</v>
          </cell>
        </row>
        <row r="761">
          <cell r="U761" t="str">
            <v>洛江店</v>
          </cell>
          <cell r="V761" t="str">
            <v>2025-12-18</v>
          </cell>
          <cell r="W761">
            <v>1.74</v>
          </cell>
        </row>
        <row r="762">
          <cell r="U762" t="str">
            <v>官渡店</v>
          </cell>
          <cell r="V762" t="str">
            <v>2025-12-18</v>
          </cell>
          <cell r="W762">
            <v>42.83</v>
          </cell>
        </row>
        <row r="763">
          <cell r="U763" t="str">
            <v>武侯店</v>
          </cell>
          <cell r="V763" t="str">
            <v>2025-12-18</v>
          </cell>
          <cell r="W763">
            <v>21.08</v>
          </cell>
        </row>
        <row r="764">
          <cell r="U764" t="str">
            <v>黄雁村店</v>
          </cell>
          <cell r="V764" t="str">
            <v>2025-12-18</v>
          </cell>
          <cell r="W764">
            <v>39.78</v>
          </cell>
        </row>
        <row r="765">
          <cell r="U765" t="str">
            <v>五华店</v>
          </cell>
          <cell r="V765" t="str">
            <v>2025-12-18</v>
          </cell>
          <cell r="W765">
            <v>0.17</v>
          </cell>
        </row>
        <row r="766">
          <cell r="U766" t="str">
            <v>长沙店</v>
          </cell>
          <cell r="V766" t="str">
            <v>2025-12-18</v>
          </cell>
          <cell r="W766">
            <v>5.76</v>
          </cell>
        </row>
        <row r="767">
          <cell r="U767" t="str">
            <v>鼓楼店</v>
          </cell>
          <cell r="V767" t="str">
            <v>2025-12-18</v>
          </cell>
          <cell r="W767">
            <v>6.56</v>
          </cell>
        </row>
        <row r="768">
          <cell r="U768" t="str">
            <v>鼓楼店</v>
          </cell>
          <cell r="V768" t="str">
            <v>2025-12-18</v>
          </cell>
          <cell r="W768">
            <v>0</v>
          </cell>
        </row>
        <row r="769">
          <cell r="U769" t="str">
            <v>文昌店</v>
          </cell>
          <cell r="V769" t="str">
            <v>2025-12-18</v>
          </cell>
          <cell r="W769">
            <v>2.79</v>
          </cell>
        </row>
        <row r="770">
          <cell r="U770" t="str">
            <v>百丈店</v>
          </cell>
          <cell r="V770" t="str">
            <v>2025-12-18</v>
          </cell>
          <cell r="W770">
            <v>3</v>
          </cell>
        </row>
        <row r="771">
          <cell r="U771" t="str">
            <v>观桥店</v>
          </cell>
          <cell r="V771" t="str">
            <v>2025-12-18</v>
          </cell>
          <cell r="W771">
            <v>30.2</v>
          </cell>
        </row>
        <row r="772">
          <cell r="U772" t="str">
            <v>余杭店</v>
          </cell>
          <cell r="V772" t="str">
            <v>2025-12-18</v>
          </cell>
          <cell r="W772">
            <v>204.86</v>
          </cell>
        </row>
        <row r="773">
          <cell r="U773" t="str">
            <v>首山店</v>
          </cell>
          <cell r="V773" t="str">
            <v>2025-12-18</v>
          </cell>
          <cell r="W773">
            <v>1.21</v>
          </cell>
        </row>
        <row r="774">
          <cell r="U774" t="str">
            <v>首南店</v>
          </cell>
          <cell r="V774" t="str">
            <v>2025-12-18</v>
          </cell>
          <cell r="W774">
            <v>136.38</v>
          </cell>
        </row>
        <row r="775">
          <cell r="U775" t="str">
            <v>滨江店</v>
          </cell>
          <cell r="V775" t="str">
            <v>2025-12-18</v>
          </cell>
          <cell r="W775">
            <v>39.67</v>
          </cell>
        </row>
        <row r="776">
          <cell r="U776" t="str">
            <v>文灶店</v>
          </cell>
          <cell r="V776" t="str">
            <v>2025-12-18</v>
          </cell>
          <cell r="W776">
            <v>0</v>
          </cell>
        </row>
        <row r="777">
          <cell r="U777" t="str">
            <v>文灶店</v>
          </cell>
          <cell r="V777" t="str">
            <v>2025-12-18</v>
          </cell>
          <cell r="W777">
            <v>0</v>
          </cell>
        </row>
        <row r="778">
          <cell r="U778" t="str">
            <v>东海店</v>
          </cell>
          <cell r="V778" t="str">
            <v>2025-12-18</v>
          </cell>
          <cell r="W778">
            <v>4.08</v>
          </cell>
        </row>
        <row r="779">
          <cell r="U779" t="str">
            <v>东海店</v>
          </cell>
          <cell r="V779" t="str">
            <v>2025-12-18</v>
          </cell>
          <cell r="W779">
            <v>0</v>
          </cell>
        </row>
        <row r="780">
          <cell r="U780" t="str">
            <v>启点店</v>
          </cell>
          <cell r="V780" t="str">
            <v>2025-12-19</v>
          </cell>
          <cell r="W780">
            <v>46.5</v>
          </cell>
        </row>
        <row r="781">
          <cell r="U781" t="str">
            <v>高新店</v>
          </cell>
          <cell r="V781" t="str">
            <v>2025-12-19</v>
          </cell>
          <cell r="W781">
            <v>69.41</v>
          </cell>
        </row>
        <row r="782">
          <cell r="U782" t="str">
            <v>金牛店</v>
          </cell>
          <cell r="V782" t="str">
            <v>2025-12-19</v>
          </cell>
          <cell r="W782">
            <v>27.11</v>
          </cell>
        </row>
        <row r="783">
          <cell r="U783" t="str">
            <v>成华店</v>
          </cell>
          <cell r="V783" t="str">
            <v>2025-12-19</v>
          </cell>
          <cell r="W783">
            <v>54.24</v>
          </cell>
        </row>
        <row r="784">
          <cell r="U784" t="str">
            <v>西山店</v>
          </cell>
          <cell r="V784" t="str">
            <v>2025-12-19</v>
          </cell>
          <cell r="W784">
            <v>0.07</v>
          </cell>
        </row>
        <row r="785">
          <cell r="U785" t="str">
            <v>百捷店</v>
          </cell>
          <cell r="V785" t="str">
            <v>2025-12-19</v>
          </cell>
          <cell r="W785">
            <v>5.34</v>
          </cell>
        </row>
        <row r="786">
          <cell r="U786" t="str">
            <v>沙坪坝店</v>
          </cell>
          <cell r="V786" t="str">
            <v>2025-12-19</v>
          </cell>
          <cell r="W786">
            <v>39.53</v>
          </cell>
        </row>
        <row r="787">
          <cell r="U787" t="str">
            <v>五路口店</v>
          </cell>
          <cell r="V787" t="str">
            <v>2025-12-19</v>
          </cell>
          <cell r="W787">
            <v>54.02</v>
          </cell>
        </row>
        <row r="788">
          <cell r="U788" t="str">
            <v>济南店</v>
          </cell>
          <cell r="V788" t="str">
            <v>2025-12-19</v>
          </cell>
          <cell r="W788">
            <v>98.1</v>
          </cell>
        </row>
        <row r="789">
          <cell r="U789" t="str">
            <v>青羊店</v>
          </cell>
          <cell r="V789" t="str">
            <v>2025-12-19</v>
          </cell>
          <cell r="W789">
            <v>3.89</v>
          </cell>
        </row>
        <row r="790">
          <cell r="U790" t="str">
            <v>观音桥店</v>
          </cell>
          <cell r="V790" t="str">
            <v>2025-12-19</v>
          </cell>
          <cell r="W790">
            <v>7.8</v>
          </cell>
        </row>
        <row r="791">
          <cell r="U791" t="str">
            <v>西湖店</v>
          </cell>
          <cell r="V791" t="str">
            <v>2025-12-19</v>
          </cell>
          <cell r="W791">
            <v>82.39</v>
          </cell>
        </row>
        <row r="792">
          <cell r="U792" t="str">
            <v>诚毅店</v>
          </cell>
          <cell r="V792" t="str">
            <v>2025-12-19</v>
          </cell>
          <cell r="W792">
            <v>83.13</v>
          </cell>
        </row>
        <row r="793">
          <cell r="U793" t="str">
            <v>湖里店</v>
          </cell>
          <cell r="V793" t="str">
            <v>2025-12-19</v>
          </cell>
          <cell r="W793">
            <v>115.32</v>
          </cell>
        </row>
        <row r="794">
          <cell r="U794" t="str">
            <v>东新店</v>
          </cell>
          <cell r="V794" t="str">
            <v>2025-12-19</v>
          </cell>
          <cell r="W794">
            <v>115.11</v>
          </cell>
        </row>
        <row r="795">
          <cell r="U795" t="str">
            <v>大坪店</v>
          </cell>
          <cell r="V795" t="str">
            <v>2025-12-19</v>
          </cell>
          <cell r="W795">
            <v>82.72</v>
          </cell>
        </row>
        <row r="796">
          <cell r="U796" t="str">
            <v>凤城二路店</v>
          </cell>
          <cell r="V796" t="str">
            <v>2025-12-19</v>
          </cell>
          <cell r="W796">
            <v>26.32</v>
          </cell>
        </row>
        <row r="797">
          <cell r="U797" t="str">
            <v>洛江店</v>
          </cell>
          <cell r="V797" t="str">
            <v>2025-12-19</v>
          </cell>
          <cell r="W797">
            <v>3.2</v>
          </cell>
        </row>
        <row r="798">
          <cell r="U798" t="str">
            <v>官渡店</v>
          </cell>
          <cell r="V798" t="str">
            <v>2025-12-19</v>
          </cell>
          <cell r="W798">
            <v>58.27</v>
          </cell>
        </row>
        <row r="799">
          <cell r="U799" t="str">
            <v>武侯店</v>
          </cell>
          <cell r="V799" t="str">
            <v>2025-12-19</v>
          </cell>
          <cell r="W799">
            <v>21.2</v>
          </cell>
        </row>
        <row r="800">
          <cell r="U800" t="str">
            <v>黄雁村店</v>
          </cell>
          <cell r="V800" t="str">
            <v>2025-12-19</v>
          </cell>
          <cell r="W800">
            <v>56.23</v>
          </cell>
        </row>
        <row r="801">
          <cell r="U801" t="str">
            <v>五华店</v>
          </cell>
          <cell r="V801" t="str">
            <v>2025-12-19</v>
          </cell>
          <cell r="W801">
            <v>0</v>
          </cell>
        </row>
        <row r="802">
          <cell r="U802" t="str">
            <v>长沙店</v>
          </cell>
          <cell r="V802" t="str">
            <v>2025-12-19</v>
          </cell>
          <cell r="W802">
            <v>6.99</v>
          </cell>
        </row>
        <row r="803">
          <cell r="U803" t="str">
            <v>鼓楼店</v>
          </cell>
          <cell r="V803" t="str">
            <v>2025-12-19</v>
          </cell>
          <cell r="W803">
            <v>56.48</v>
          </cell>
        </row>
        <row r="804">
          <cell r="U804" t="str">
            <v>文昌店</v>
          </cell>
          <cell r="V804" t="str">
            <v>2025-12-19</v>
          </cell>
          <cell r="W804">
            <v>2.63</v>
          </cell>
        </row>
        <row r="805">
          <cell r="U805" t="str">
            <v>百丈店</v>
          </cell>
          <cell r="V805" t="str">
            <v>2025-12-19</v>
          </cell>
          <cell r="W805">
            <v>0.06</v>
          </cell>
        </row>
        <row r="806">
          <cell r="U806" t="str">
            <v>观桥店</v>
          </cell>
          <cell r="V806" t="str">
            <v>2025-12-19</v>
          </cell>
          <cell r="W806">
            <v>30.44</v>
          </cell>
        </row>
        <row r="807">
          <cell r="U807" t="str">
            <v>余杭店</v>
          </cell>
          <cell r="V807" t="str">
            <v>2025-12-19</v>
          </cell>
          <cell r="W807">
            <v>117.75</v>
          </cell>
        </row>
        <row r="808">
          <cell r="U808" t="str">
            <v>首山店</v>
          </cell>
          <cell r="V808" t="str">
            <v>2025-12-19</v>
          </cell>
          <cell r="W808">
            <v>7.35</v>
          </cell>
        </row>
        <row r="809">
          <cell r="U809" t="str">
            <v>首南店</v>
          </cell>
          <cell r="V809" t="str">
            <v>2025-12-19</v>
          </cell>
          <cell r="W809">
            <v>168.07</v>
          </cell>
        </row>
        <row r="810">
          <cell r="U810" t="str">
            <v>滨江店</v>
          </cell>
          <cell r="V810" t="str">
            <v>2025-12-19</v>
          </cell>
          <cell r="W810">
            <v>111.29</v>
          </cell>
        </row>
        <row r="811">
          <cell r="U811" t="str">
            <v>文灶店</v>
          </cell>
          <cell r="V811" t="str">
            <v>2025-12-19</v>
          </cell>
          <cell r="W811">
            <v>26.79</v>
          </cell>
        </row>
        <row r="812">
          <cell r="U812" t="str">
            <v>文灶店</v>
          </cell>
          <cell r="V812" t="str">
            <v>2025-12-19</v>
          </cell>
          <cell r="W812">
            <v>0</v>
          </cell>
        </row>
        <row r="813">
          <cell r="U813" t="str">
            <v>东海店</v>
          </cell>
          <cell r="V813" t="str">
            <v>2025-12-19</v>
          </cell>
          <cell r="W813">
            <v>17.44</v>
          </cell>
        </row>
        <row r="814">
          <cell r="U814" t="str">
            <v>东海店</v>
          </cell>
          <cell r="V814" t="str">
            <v>2025-12-19</v>
          </cell>
          <cell r="W814">
            <v>0.6</v>
          </cell>
        </row>
        <row r="815">
          <cell r="U815" t="str">
            <v>启点店</v>
          </cell>
          <cell r="V815" t="str">
            <v>2025-12-20</v>
          </cell>
          <cell r="W815">
            <v>74.93</v>
          </cell>
        </row>
        <row r="816">
          <cell r="U816" t="str">
            <v>高新店</v>
          </cell>
          <cell r="V816" t="str">
            <v>2025-12-20</v>
          </cell>
          <cell r="W816">
            <v>54.46</v>
          </cell>
        </row>
        <row r="817">
          <cell r="U817" t="str">
            <v>金牛店</v>
          </cell>
          <cell r="V817" t="str">
            <v>2025-12-20</v>
          </cell>
          <cell r="W817">
            <v>86.17</v>
          </cell>
        </row>
        <row r="818">
          <cell r="U818" t="str">
            <v>成华店</v>
          </cell>
          <cell r="V818" t="str">
            <v>2025-12-20</v>
          </cell>
          <cell r="W818">
            <v>45.59</v>
          </cell>
        </row>
        <row r="819">
          <cell r="U819" t="str">
            <v>西山店</v>
          </cell>
          <cell r="V819" t="str">
            <v>2025-12-20</v>
          </cell>
          <cell r="W819">
            <v>0</v>
          </cell>
        </row>
        <row r="820">
          <cell r="U820" t="str">
            <v>百捷店</v>
          </cell>
          <cell r="V820" t="str">
            <v>2025-12-20</v>
          </cell>
          <cell r="W820">
            <v>8.67</v>
          </cell>
        </row>
        <row r="821">
          <cell r="U821" t="str">
            <v>沙坪坝店</v>
          </cell>
          <cell r="V821" t="str">
            <v>2025-12-20</v>
          </cell>
          <cell r="W821">
            <v>68.43</v>
          </cell>
        </row>
        <row r="822">
          <cell r="U822" t="str">
            <v>五路口店</v>
          </cell>
          <cell r="V822" t="str">
            <v>2025-12-20</v>
          </cell>
          <cell r="W822">
            <v>51.21</v>
          </cell>
        </row>
        <row r="823">
          <cell r="U823" t="str">
            <v>济南店</v>
          </cell>
          <cell r="V823" t="str">
            <v>2025-12-20</v>
          </cell>
          <cell r="W823">
            <v>107.79</v>
          </cell>
        </row>
        <row r="824">
          <cell r="U824" t="str">
            <v>青羊店</v>
          </cell>
          <cell r="V824" t="str">
            <v>2025-12-20</v>
          </cell>
          <cell r="W824">
            <v>3.69</v>
          </cell>
        </row>
        <row r="825">
          <cell r="U825" t="str">
            <v>观音桥店</v>
          </cell>
          <cell r="V825" t="str">
            <v>2025-12-20</v>
          </cell>
          <cell r="W825">
            <v>33.12</v>
          </cell>
        </row>
        <row r="826">
          <cell r="U826" t="str">
            <v>西湖店</v>
          </cell>
          <cell r="V826" t="str">
            <v>2025-12-20</v>
          </cell>
          <cell r="W826">
            <v>94.81</v>
          </cell>
        </row>
        <row r="827">
          <cell r="U827" t="str">
            <v>诚毅店</v>
          </cell>
          <cell r="V827" t="str">
            <v>2025-12-20</v>
          </cell>
          <cell r="W827">
            <v>81.94</v>
          </cell>
        </row>
        <row r="828">
          <cell r="U828" t="str">
            <v>湖里店</v>
          </cell>
          <cell r="V828" t="str">
            <v>2025-12-20</v>
          </cell>
          <cell r="W828">
            <v>131.57</v>
          </cell>
        </row>
        <row r="829">
          <cell r="U829" t="str">
            <v>东新店</v>
          </cell>
          <cell r="V829" t="str">
            <v>2025-12-20</v>
          </cell>
          <cell r="W829">
            <v>141.74</v>
          </cell>
        </row>
        <row r="830">
          <cell r="U830" t="str">
            <v>大坪店</v>
          </cell>
          <cell r="V830" t="str">
            <v>2025-12-20</v>
          </cell>
          <cell r="W830">
            <v>47.27</v>
          </cell>
        </row>
        <row r="831">
          <cell r="U831" t="str">
            <v>凤城二路店</v>
          </cell>
          <cell r="V831" t="str">
            <v>2025-12-20</v>
          </cell>
          <cell r="W831">
            <v>82.39</v>
          </cell>
        </row>
        <row r="832">
          <cell r="U832" t="str">
            <v>洛江店</v>
          </cell>
          <cell r="V832" t="str">
            <v>2025-12-20</v>
          </cell>
          <cell r="W832">
            <v>33.21</v>
          </cell>
        </row>
        <row r="833">
          <cell r="U833" t="str">
            <v>官渡店</v>
          </cell>
          <cell r="V833" t="str">
            <v>2025-12-20</v>
          </cell>
          <cell r="W833">
            <v>69.58</v>
          </cell>
        </row>
        <row r="834">
          <cell r="U834" t="str">
            <v>武侯店</v>
          </cell>
          <cell r="V834" t="str">
            <v>2025-12-20</v>
          </cell>
          <cell r="W834">
            <v>47.77</v>
          </cell>
        </row>
        <row r="835">
          <cell r="U835" t="str">
            <v>黄雁村店</v>
          </cell>
          <cell r="V835" t="str">
            <v>2025-12-20</v>
          </cell>
          <cell r="W835">
            <v>74.99</v>
          </cell>
        </row>
        <row r="836">
          <cell r="U836" t="str">
            <v>五华店</v>
          </cell>
          <cell r="V836" t="str">
            <v>2025-12-20</v>
          </cell>
          <cell r="W836">
            <v>0</v>
          </cell>
        </row>
        <row r="837">
          <cell r="U837" t="str">
            <v>长沙店</v>
          </cell>
          <cell r="V837" t="str">
            <v>2025-12-20</v>
          </cell>
          <cell r="W837">
            <v>34.05</v>
          </cell>
        </row>
        <row r="838">
          <cell r="U838" t="str">
            <v>鼓楼店</v>
          </cell>
          <cell r="V838" t="str">
            <v>2025-12-20</v>
          </cell>
          <cell r="W838">
            <v>91.68</v>
          </cell>
        </row>
        <row r="839">
          <cell r="U839" t="str">
            <v>文昌店</v>
          </cell>
          <cell r="V839" t="str">
            <v>2025-12-20</v>
          </cell>
          <cell r="W839">
            <v>32.61</v>
          </cell>
        </row>
        <row r="840">
          <cell r="U840" t="str">
            <v>百丈店</v>
          </cell>
          <cell r="V840" t="str">
            <v>2025-12-20</v>
          </cell>
          <cell r="W840">
            <v>3.22</v>
          </cell>
        </row>
        <row r="841">
          <cell r="U841" t="str">
            <v>观桥店</v>
          </cell>
          <cell r="V841" t="str">
            <v>2025-12-20</v>
          </cell>
          <cell r="W841">
            <v>37.26</v>
          </cell>
        </row>
        <row r="842">
          <cell r="U842" t="str">
            <v>余杭店</v>
          </cell>
          <cell r="V842" t="str">
            <v>2025-12-20</v>
          </cell>
          <cell r="W842">
            <v>143.05</v>
          </cell>
        </row>
        <row r="843">
          <cell r="U843" t="str">
            <v>首山店</v>
          </cell>
          <cell r="V843" t="str">
            <v>2025-12-20</v>
          </cell>
          <cell r="W843">
            <v>107.13</v>
          </cell>
        </row>
        <row r="844">
          <cell r="U844" t="str">
            <v>首南店</v>
          </cell>
          <cell r="V844" t="str">
            <v>2025-12-20</v>
          </cell>
          <cell r="W844">
            <v>150.87</v>
          </cell>
        </row>
        <row r="845">
          <cell r="U845" t="str">
            <v>滨江店</v>
          </cell>
          <cell r="V845" t="str">
            <v>2025-12-20</v>
          </cell>
          <cell r="W845">
            <v>122.08</v>
          </cell>
        </row>
        <row r="846">
          <cell r="U846" t="str">
            <v>文灶店</v>
          </cell>
          <cell r="V846" t="str">
            <v>2025-12-20</v>
          </cell>
          <cell r="W846">
            <v>37.37</v>
          </cell>
        </row>
        <row r="847">
          <cell r="U847" t="str">
            <v>文灶店</v>
          </cell>
          <cell r="V847" t="str">
            <v>2025-12-20</v>
          </cell>
          <cell r="W847">
            <v>0</v>
          </cell>
        </row>
        <row r="848">
          <cell r="U848" t="str">
            <v>东海店</v>
          </cell>
          <cell r="V848" t="str">
            <v>2025-12-20</v>
          </cell>
          <cell r="W848">
            <v>19.57</v>
          </cell>
        </row>
        <row r="849">
          <cell r="U849" t="str">
            <v>东海店</v>
          </cell>
          <cell r="V849" t="str">
            <v>2025-12-20</v>
          </cell>
          <cell r="W849">
            <v>0</v>
          </cell>
        </row>
        <row r="850">
          <cell r="U850" t="str">
            <v>启点店</v>
          </cell>
          <cell r="V850" t="str">
            <v>2025-12-21</v>
          </cell>
          <cell r="W850">
            <v>57.42</v>
          </cell>
        </row>
        <row r="851">
          <cell r="U851" t="str">
            <v>高新店</v>
          </cell>
          <cell r="V851" t="str">
            <v>2025-12-21</v>
          </cell>
          <cell r="W851">
            <v>84.17</v>
          </cell>
        </row>
        <row r="852">
          <cell r="U852" t="str">
            <v>金牛店</v>
          </cell>
          <cell r="V852" t="str">
            <v>2025-12-21</v>
          </cell>
          <cell r="W852">
            <v>15.49</v>
          </cell>
        </row>
        <row r="853">
          <cell r="U853" t="str">
            <v>成华店</v>
          </cell>
          <cell r="V853" t="str">
            <v>2025-12-21</v>
          </cell>
          <cell r="W853">
            <v>76.66</v>
          </cell>
        </row>
        <row r="854">
          <cell r="U854" t="str">
            <v>西山店</v>
          </cell>
          <cell r="V854" t="str">
            <v>2025-12-21</v>
          </cell>
          <cell r="W854">
            <v>0.07</v>
          </cell>
        </row>
        <row r="855">
          <cell r="U855" t="str">
            <v>百捷店</v>
          </cell>
          <cell r="V855" t="str">
            <v>2025-12-21</v>
          </cell>
          <cell r="W855">
            <v>5.46</v>
          </cell>
        </row>
        <row r="856">
          <cell r="U856" t="str">
            <v>沙坪坝店</v>
          </cell>
          <cell r="V856" t="str">
            <v>2025-12-21</v>
          </cell>
          <cell r="W856">
            <v>49.55</v>
          </cell>
        </row>
        <row r="857">
          <cell r="U857" t="str">
            <v>五路口店</v>
          </cell>
          <cell r="V857" t="str">
            <v>2025-12-21</v>
          </cell>
          <cell r="W857">
            <v>31.18</v>
          </cell>
        </row>
        <row r="858">
          <cell r="U858" t="str">
            <v>济南店</v>
          </cell>
          <cell r="V858" t="str">
            <v>2025-12-21</v>
          </cell>
          <cell r="W858">
            <v>71.96</v>
          </cell>
        </row>
        <row r="859">
          <cell r="U859" t="str">
            <v>青羊店</v>
          </cell>
          <cell r="V859" t="str">
            <v>2025-12-21</v>
          </cell>
          <cell r="W859">
            <v>1.52</v>
          </cell>
        </row>
        <row r="860">
          <cell r="U860" t="str">
            <v>观音桥店</v>
          </cell>
          <cell r="V860" t="str">
            <v>2025-12-21</v>
          </cell>
          <cell r="W860">
            <v>79.57</v>
          </cell>
        </row>
        <row r="861">
          <cell r="U861" t="str">
            <v>西湖店</v>
          </cell>
          <cell r="V861" t="str">
            <v>2025-12-21</v>
          </cell>
          <cell r="W861">
            <v>56.14</v>
          </cell>
        </row>
        <row r="862">
          <cell r="U862" t="str">
            <v>诚毅店</v>
          </cell>
          <cell r="V862" t="str">
            <v>2025-12-21</v>
          </cell>
          <cell r="W862">
            <v>50.6</v>
          </cell>
        </row>
        <row r="863">
          <cell r="U863" t="str">
            <v>湖里店</v>
          </cell>
          <cell r="V863" t="str">
            <v>2025-12-21</v>
          </cell>
          <cell r="W863">
            <v>125.86</v>
          </cell>
        </row>
        <row r="864">
          <cell r="U864" t="str">
            <v>东新店</v>
          </cell>
          <cell r="V864" t="str">
            <v>2025-12-21</v>
          </cell>
          <cell r="W864">
            <v>80.15</v>
          </cell>
        </row>
        <row r="865">
          <cell r="U865" t="str">
            <v>大坪店</v>
          </cell>
          <cell r="V865" t="str">
            <v>2025-12-21</v>
          </cell>
          <cell r="W865">
            <v>65.51</v>
          </cell>
        </row>
        <row r="866">
          <cell r="U866" t="str">
            <v>凤城二路店</v>
          </cell>
          <cell r="V866" t="str">
            <v>2025-12-21</v>
          </cell>
          <cell r="W866">
            <v>42.61</v>
          </cell>
        </row>
        <row r="867">
          <cell r="U867" t="str">
            <v>洛江店</v>
          </cell>
          <cell r="V867" t="str">
            <v>2025-12-21</v>
          </cell>
          <cell r="W867">
            <v>0</v>
          </cell>
        </row>
        <row r="868">
          <cell r="U868" t="str">
            <v>官渡店</v>
          </cell>
          <cell r="V868" t="str">
            <v>2025-12-21</v>
          </cell>
          <cell r="W868">
            <v>38.82</v>
          </cell>
        </row>
        <row r="869">
          <cell r="U869" t="str">
            <v>武侯店</v>
          </cell>
          <cell r="V869" t="str">
            <v>2025-12-21</v>
          </cell>
          <cell r="W869">
            <v>27.71</v>
          </cell>
        </row>
        <row r="870">
          <cell r="U870" t="str">
            <v>黄雁村店</v>
          </cell>
          <cell r="V870" t="str">
            <v>2025-12-21</v>
          </cell>
          <cell r="W870">
            <v>99.74</v>
          </cell>
        </row>
        <row r="871">
          <cell r="U871" t="str">
            <v>五华店</v>
          </cell>
          <cell r="V871" t="str">
            <v>2025-12-21</v>
          </cell>
          <cell r="W871">
            <v>45.14</v>
          </cell>
        </row>
        <row r="872">
          <cell r="U872" t="str">
            <v>长沙店</v>
          </cell>
          <cell r="V872" t="str">
            <v>2025-12-21</v>
          </cell>
          <cell r="W872">
            <v>82.64</v>
          </cell>
        </row>
        <row r="873">
          <cell r="U873" t="str">
            <v>鼓楼店</v>
          </cell>
          <cell r="V873" t="str">
            <v>2025-12-21</v>
          </cell>
          <cell r="W873">
            <v>109.98</v>
          </cell>
        </row>
        <row r="874">
          <cell r="U874" t="str">
            <v>文昌店</v>
          </cell>
          <cell r="V874" t="str">
            <v>2025-12-21</v>
          </cell>
          <cell r="W874">
            <v>39.9</v>
          </cell>
        </row>
        <row r="875">
          <cell r="U875" t="str">
            <v>百丈店</v>
          </cell>
          <cell r="V875" t="str">
            <v>2025-12-21</v>
          </cell>
          <cell r="W875">
            <v>31.66</v>
          </cell>
        </row>
        <row r="876">
          <cell r="U876" t="str">
            <v>观桥店</v>
          </cell>
          <cell r="V876" t="str">
            <v>2025-12-21</v>
          </cell>
          <cell r="W876">
            <v>4.1</v>
          </cell>
        </row>
        <row r="877">
          <cell r="U877" t="str">
            <v>余杭店</v>
          </cell>
          <cell r="V877" t="str">
            <v>2025-12-21</v>
          </cell>
          <cell r="W877">
            <v>135.41</v>
          </cell>
        </row>
        <row r="878">
          <cell r="U878" t="str">
            <v>首山店</v>
          </cell>
          <cell r="V878" t="str">
            <v>2025-12-21</v>
          </cell>
          <cell r="W878">
            <v>86.67</v>
          </cell>
        </row>
        <row r="879">
          <cell r="U879" t="str">
            <v>首南店</v>
          </cell>
          <cell r="V879" t="str">
            <v>2025-12-21</v>
          </cell>
          <cell r="W879">
            <v>146.79</v>
          </cell>
        </row>
        <row r="880">
          <cell r="U880" t="str">
            <v>滨江店</v>
          </cell>
          <cell r="V880" t="str">
            <v>2025-12-21</v>
          </cell>
          <cell r="W880">
            <v>82.52</v>
          </cell>
        </row>
        <row r="881">
          <cell r="U881" t="str">
            <v>文灶店</v>
          </cell>
          <cell r="V881" t="str">
            <v>2025-12-21</v>
          </cell>
          <cell r="W881">
            <v>28.16</v>
          </cell>
        </row>
        <row r="882">
          <cell r="U882" t="str">
            <v>文灶店</v>
          </cell>
          <cell r="V882" t="str">
            <v>2025-12-21</v>
          </cell>
          <cell r="W882">
            <v>0</v>
          </cell>
        </row>
        <row r="883">
          <cell r="U883" t="str">
            <v>东海店</v>
          </cell>
          <cell r="V883" t="str">
            <v>2025-12-21</v>
          </cell>
          <cell r="W883">
            <v>52.4</v>
          </cell>
        </row>
        <row r="884">
          <cell r="U884" t="str">
            <v>东海店</v>
          </cell>
          <cell r="V884" t="str">
            <v>2025-12-21</v>
          </cell>
          <cell r="W884">
            <v>0</v>
          </cell>
        </row>
        <row r="885">
          <cell r="U885" t="str">
            <v>启点店</v>
          </cell>
          <cell r="V885" t="str">
            <v>2025-12-22</v>
          </cell>
          <cell r="W885">
            <v>70.51</v>
          </cell>
        </row>
        <row r="886">
          <cell r="U886" t="str">
            <v>高新店</v>
          </cell>
          <cell r="V886" t="str">
            <v>2025-12-22</v>
          </cell>
          <cell r="W886">
            <v>78.06</v>
          </cell>
        </row>
        <row r="887">
          <cell r="U887" t="str">
            <v>金牛店</v>
          </cell>
          <cell r="V887" t="str">
            <v>2025-12-22</v>
          </cell>
          <cell r="W887">
            <v>31.02</v>
          </cell>
        </row>
        <row r="888">
          <cell r="U888" t="str">
            <v>成华店</v>
          </cell>
          <cell r="V888" t="str">
            <v>2025-12-22</v>
          </cell>
          <cell r="W888">
            <v>43.35</v>
          </cell>
        </row>
        <row r="889">
          <cell r="U889" t="str">
            <v>西山店</v>
          </cell>
          <cell r="V889" t="str">
            <v>2025-12-22</v>
          </cell>
          <cell r="W889">
            <v>0.54</v>
          </cell>
        </row>
        <row r="890">
          <cell r="U890" t="str">
            <v>百捷店</v>
          </cell>
          <cell r="V890" t="str">
            <v>2025-12-22</v>
          </cell>
          <cell r="W890">
            <v>41.7</v>
          </cell>
        </row>
        <row r="891">
          <cell r="U891" t="str">
            <v>沙坪坝店</v>
          </cell>
          <cell r="V891" t="str">
            <v>2025-12-22</v>
          </cell>
          <cell r="W891">
            <v>54.73</v>
          </cell>
        </row>
        <row r="892">
          <cell r="U892" t="str">
            <v>五路口店</v>
          </cell>
          <cell r="V892" t="str">
            <v>2025-12-22</v>
          </cell>
          <cell r="W892">
            <v>24.99</v>
          </cell>
        </row>
        <row r="893">
          <cell r="U893" t="str">
            <v>济南店</v>
          </cell>
          <cell r="V893" t="str">
            <v>2025-12-22</v>
          </cell>
          <cell r="W893">
            <v>82.2</v>
          </cell>
        </row>
        <row r="894">
          <cell r="U894" t="str">
            <v>青羊店</v>
          </cell>
          <cell r="V894" t="str">
            <v>2025-12-22</v>
          </cell>
          <cell r="W894">
            <v>3.03</v>
          </cell>
        </row>
        <row r="895">
          <cell r="U895" t="str">
            <v>观音桥店</v>
          </cell>
          <cell r="V895" t="str">
            <v>2025-12-22</v>
          </cell>
          <cell r="W895">
            <v>76.57</v>
          </cell>
        </row>
        <row r="896">
          <cell r="U896" t="str">
            <v>西湖店</v>
          </cell>
          <cell r="V896" t="str">
            <v>2025-12-22</v>
          </cell>
          <cell r="W896">
            <v>114.84</v>
          </cell>
        </row>
        <row r="897">
          <cell r="U897" t="str">
            <v>诚毅店</v>
          </cell>
          <cell r="V897" t="str">
            <v>2025-12-22</v>
          </cell>
          <cell r="W897">
            <v>49.22</v>
          </cell>
        </row>
        <row r="898">
          <cell r="U898" t="str">
            <v>湖里店</v>
          </cell>
          <cell r="V898" t="str">
            <v>2025-12-22</v>
          </cell>
          <cell r="W898">
            <v>117.13</v>
          </cell>
        </row>
        <row r="899">
          <cell r="U899" t="str">
            <v>东新店</v>
          </cell>
          <cell r="V899" t="str">
            <v>2025-12-22</v>
          </cell>
          <cell r="W899">
            <v>59.7</v>
          </cell>
        </row>
        <row r="900">
          <cell r="U900" t="str">
            <v>大坪店</v>
          </cell>
          <cell r="V900" t="str">
            <v>2025-12-22</v>
          </cell>
          <cell r="W900">
            <v>49.31</v>
          </cell>
        </row>
        <row r="901">
          <cell r="U901" t="str">
            <v>凤城二路店</v>
          </cell>
          <cell r="V901" t="str">
            <v>2025-12-22</v>
          </cell>
          <cell r="W901">
            <v>79.57</v>
          </cell>
        </row>
        <row r="902">
          <cell r="U902" t="str">
            <v>洛江店</v>
          </cell>
          <cell r="V902" t="str">
            <v>2025-12-22</v>
          </cell>
          <cell r="W902">
            <v>57</v>
          </cell>
        </row>
        <row r="903">
          <cell r="U903" t="str">
            <v>官渡店</v>
          </cell>
          <cell r="V903" t="str">
            <v>2025-12-22</v>
          </cell>
          <cell r="W903">
            <v>16.34</v>
          </cell>
        </row>
        <row r="904">
          <cell r="U904" t="str">
            <v>武侯店</v>
          </cell>
          <cell r="V904" t="str">
            <v>2025-12-22</v>
          </cell>
          <cell r="W904">
            <v>58.32</v>
          </cell>
        </row>
        <row r="905">
          <cell r="U905" t="str">
            <v>黄雁村店</v>
          </cell>
          <cell r="V905" t="str">
            <v>2025-12-22</v>
          </cell>
          <cell r="W905">
            <v>19.9</v>
          </cell>
        </row>
        <row r="906">
          <cell r="U906" t="str">
            <v>五华店</v>
          </cell>
          <cell r="V906" t="str">
            <v>2025-12-22</v>
          </cell>
          <cell r="W906">
            <v>27.6</v>
          </cell>
        </row>
        <row r="907">
          <cell r="U907" t="str">
            <v>长沙店</v>
          </cell>
          <cell r="V907" t="str">
            <v>2025-12-22</v>
          </cell>
          <cell r="W907">
            <v>101.47</v>
          </cell>
        </row>
        <row r="908">
          <cell r="U908" t="str">
            <v>鼓楼店</v>
          </cell>
          <cell r="V908" t="str">
            <v>2025-12-22</v>
          </cell>
          <cell r="W908">
            <v>48.28</v>
          </cell>
        </row>
        <row r="909">
          <cell r="U909" t="str">
            <v>文昌店</v>
          </cell>
          <cell r="V909" t="str">
            <v>2025-12-22</v>
          </cell>
          <cell r="W909">
            <v>28.73</v>
          </cell>
        </row>
        <row r="910">
          <cell r="U910" t="str">
            <v>百丈店</v>
          </cell>
          <cell r="V910" t="str">
            <v>2025-12-22</v>
          </cell>
          <cell r="W910">
            <v>11.83</v>
          </cell>
        </row>
        <row r="911">
          <cell r="U911" t="str">
            <v>观桥店</v>
          </cell>
          <cell r="V911" t="str">
            <v>2025-12-22</v>
          </cell>
          <cell r="W911">
            <v>3.11</v>
          </cell>
        </row>
        <row r="912">
          <cell r="U912" t="str">
            <v>余杭店</v>
          </cell>
          <cell r="V912" t="str">
            <v>2025-12-22</v>
          </cell>
          <cell r="W912">
            <v>145.99</v>
          </cell>
        </row>
        <row r="913">
          <cell r="U913" t="str">
            <v>首山店</v>
          </cell>
          <cell r="V913" t="str">
            <v>2025-12-22</v>
          </cell>
          <cell r="W913">
            <v>126.83</v>
          </cell>
        </row>
        <row r="914">
          <cell r="U914" t="str">
            <v>首南店</v>
          </cell>
          <cell r="V914" t="str">
            <v>2025-12-22</v>
          </cell>
          <cell r="W914">
            <v>199.6</v>
          </cell>
        </row>
        <row r="915">
          <cell r="U915" t="str">
            <v>滨江店</v>
          </cell>
          <cell r="V915" t="str">
            <v>2025-12-22</v>
          </cell>
          <cell r="W915">
            <v>27.57</v>
          </cell>
        </row>
        <row r="916">
          <cell r="U916" t="str">
            <v>文灶店</v>
          </cell>
          <cell r="V916" t="str">
            <v>2025-12-22</v>
          </cell>
          <cell r="W916">
            <v>14.08</v>
          </cell>
        </row>
        <row r="917">
          <cell r="U917" t="str">
            <v>文灶店</v>
          </cell>
          <cell r="V917" t="str">
            <v>2025-12-22</v>
          </cell>
          <cell r="W917">
            <v>1.99</v>
          </cell>
        </row>
        <row r="918">
          <cell r="U918" t="str">
            <v>东海店</v>
          </cell>
          <cell r="V918" t="str">
            <v>2025-12-22</v>
          </cell>
          <cell r="W918">
            <v>56.81</v>
          </cell>
        </row>
        <row r="919">
          <cell r="U919" t="str">
            <v>东海店</v>
          </cell>
          <cell r="V919" t="str">
            <v>2025-12-22</v>
          </cell>
          <cell r="W919">
            <v>3.38</v>
          </cell>
        </row>
        <row r="920">
          <cell r="U920" t="str">
            <v>启点店</v>
          </cell>
          <cell r="V920" t="str">
            <v>2025-12-23</v>
          </cell>
          <cell r="W920">
            <v>42.12</v>
          </cell>
        </row>
        <row r="921">
          <cell r="U921" t="str">
            <v>高新店</v>
          </cell>
          <cell r="V921" t="str">
            <v>2025-12-23</v>
          </cell>
          <cell r="W921">
            <v>69.68</v>
          </cell>
        </row>
        <row r="922">
          <cell r="U922" t="str">
            <v>金牛店</v>
          </cell>
          <cell r="V922" t="str">
            <v>2025-12-23</v>
          </cell>
          <cell r="W922">
            <v>24.73</v>
          </cell>
        </row>
        <row r="923">
          <cell r="U923" t="str">
            <v>成华店</v>
          </cell>
          <cell r="V923" t="str">
            <v>2025-12-23</v>
          </cell>
          <cell r="W923">
            <v>51.47</v>
          </cell>
        </row>
        <row r="924">
          <cell r="U924" t="str">
            <v>西山店</v>
          </cell>
          <cell r="V924" t="str">
            <v>2025-12-23</v>
          </cell>
          <cell r="W924">
            <v>2.69</v>
          </cell>
        </row>
        <row r="925">
          <cell r="U925" t="str">
            <v>百捷店</v>
          </cell>
          <cell r="V925" t="str">
            <v>2025-12-23</v>
          </cell>
          <cell r="W925">
            <v>57.3</v>
          </cell>
        </row>
        <row r="926">
          <cell r="U926" t="str">
            <v>沙坪坝店</v>
          </cell>
          <cell r="V926" t="str">
            <v>2025-12-23</v>
          </cell>
          <cell r="W926">
            <v>40.11</v>
          </cell>
        </row>
        <row r="927">
          <cell r="U927" t="str">
            <v>五路口店</v>
          </cell>
          <cell r="V927" t="str">
            <v>2025-12-23</v>
          </cell>
          <cell r="W927">
            <v>39.24</v>
          </cell>
        </row>
        <row r="928">
          <cell r="U928" t="str">
            <v>济南店</v>
          </cell>
          <cell r="V928" t="str">
            <v>2025-12-23</v>
          </cell>
          <cell r="W928">
            <v>106.44</v>
          </cell>
        </row>
        <row r="929">
          <cell r="U929" t="str">
            <v>青羊店</v>
          </cell>
          <cell r="V929" t="str">
            <v>2025-12-23</v>
          </cell>
          <cell r="W929">
            <v>19.18</v>
          </cell>
        </row>
        <row r="930">
          <cell r="U930" t="str">
            <v>观音桥店</v>
          </cell>
          <cell r="V930" t="str">
            <v>2025-12-23</v>
          </cell>
          <cell r="W930">
            <v>58.14</v>
          </cell>
        </row>
        <row r="931">
          <cell r="U931" t="str">
            <v>西湖店</v>
          </cell>
          <cell r="V931" t="str">
            <v>2025-12-23</v>
          </cell>
          <cell r="W931">
            <v>107.2</v>
          </cell>
        </row>
        <row r="932">
          <cell r="U932" t="str">
            <v>诚毅店</v>
          </cell>
          <cell r="V932" t="str">
            <v>2025-12-23</v>
          </cell>
          <cell r="W932">
            <v>58.9</v>
          </cell>
        </row>
        <row r="933">
          <cell r="U933" t="str">
            <v>湖里店</v>
          </cell>
          <cell r="V933" t="str">
            <v>2025-12-23</v>
          </cell>
          <cell r="W933">
            <v>173.72</v>
          </cell>
        </row>
        <row r="934">
          <cell r="U934" t="str">
            <v>东新店</v>
          </cell>
          <cell r="V934" t="str">
            <v>2025-12-23</v>
          </cell>
          <cell r="W934">
            <v>106.31</v>
          </cell>
        </row>
        <row r="935">
          <cell r="U935" t="str">
            <v>大坪店</v>
          </cell>
          <cell r="V935" t="str">
            <v>2025-12-23</v>
          </cell>
          <cell r="W935">
            <v>91.04</v>
          </cell>
        </row>
        <row r="936">
          <cell r="U936" t="str">
            <v>凤城二路店</v>
          </cell>
          <cell r="V936" t="str">
            <v>2025-12-23</v>
          </cell>
          <cell r="W936">
            <v>59.31</v>
          </cell>
        </row>
        <row r="937">
          <cell r="U937" t="str">
            <v>洛江店</v>
          </cell>
          <cell r="V937" t="str">
            <v>2025-12-23</v>
          </cell>
          <cell r="W937">
            <v>41.59</v>
          </cell>
        </row>
        <row r="938">
          <cell r="U938" t="str">
            <v>官渡店</v>
          </cell>
          <cell r="V938" t="str">
            <v>2025-12-23</v>
          </cell>
          <cell r="W938">
            <v>3.45</v>
          </cell>
        </row>
        <row r="939">
          <cell r="U939" t="str">
            <v>武侯店</v>
          </cell>
          <cell r="V939" t="str">
            <v>2025-12-23</v>
          </cell>
          <cell r="W939">
            <v>27.67</v>
          </cell>
        </row>
        <row r="940">
          <cell r="U940" t="str">
            <v>黄雁村店</v>
          </cell>
          <cell r="V940" t="str">
            <v>2025-12-23</v>
          </cell>
          <cell r="W940">
            <v>8.11</v>
          </cell>
        </row>
        <row r="941">
          <cell r="U941" t="str">
            <v>五华店</v>
          </cell>
          <cell r="V941" t="str">
            <v>2025-12-23</v>
          </cell>
          <cell r="W941">
            <v>36.23</v>
          </cell>
        </row>
        <row r="942">
          <cell r="U942" t="str">
            <v>长沙店</v>
          </cell>
          <cell r="V942" t="str">
            <v>2025-12-23</v>
          </cell>
          <cell r="W942">
            <v>74.79</v>
          </cell>
        </row>
        <row r="943">
          <cell r="U943" t="str">
            <v>鼓楼店</v>
          </cell>
          <cell r="V943" t="str">
            <v>2025-12-23</v>
          </cell>
          <cell r="W943">
            <v>108.52</v>
          </cell>
        </row>
        <row r="944">
          <cell r="U944" t="str">
            <v>文昌店</v>
          </cell>
          <cell r="V944" t="str">
            <v>2025-12-23</v>
          </cell>
          <cell r="W944">
            <v>14.84</v>
          </cell>
        </row>
        <row r="945">
          <cell r="U945" t="str">
            <v>百丈店</v>
          </cell>
          <cell r="V945" t="str">
            <v>2025-12-23</v>
          </cell>
          <cell r="W945">
            <v>87.9</v>
          </cell>
        </row>
        <row r="946">
          <cell r="U946" t="str">
            <v>观桥店</v>
          </cell>
          <cell r="V946" t="str">
            <v>2025-12-23</v>
          </cell>
          <cell r="W946">
            <v>3.59</v>
          </cell>
        </row>
        <row r="947">
          <cell r="U947" t="str">
            <v>余杭店</v>
          </cell>
          <cell r="V947" t="str">
            <v>2025-12-23</v>
          </cell>
          <cell r="W947">
            <v>116.08</v>
          </cell>
        </row>
        <row r="948">
          <cell r="U948" t="str">
            <v>首山店</v>
          </cell>
          <cell r="V948" t="str">
            <v>2025-12-23</v>
          </cell>
          <cell r="W948">
            <v>63.12</v>
          </cell>
        </row>
        <row r="949">
          <cell r="U949" t="str">
            <v>首南店</v>
          </cell>
          <cell r="V949" t="str">
            <v>2025-12-23</v>
          </cell>
          <cell r="W949">
            <v>98.42</v>
          </cell>
        </row>
        <row r="950">
          <cell r="U950" t="str">
            <v>滨江店</v>
          </cell>
          <cell r="V950" t="str">
            <v>2025-12-23</v>
          </cell>
          <cell r="W950">
            <v>63.42</v>
          </cell>
        </row>
        <row r="951">
          <cell r="U951" t="str">
            <v>文灶店</v>
          </cell>
          <cell r="V951" t="str">
            <v>2025-12-23</v>
          </cell>
          <cell r="W951">
            <v>15.83</v>
          </cell>
        </row>
        <row r="952">
          <cell r="U952" t="str">
            <v>文灶店</v>
          </cell>
          <cell r="V952" t="str">
            <v>2025-12-23</v>
          </cell>
          <cell r="W952">
            <v>1.52</v>
          </cell>
        </row>
        <row r="953">
          <cell r="U953" t="str">
            <v>东海店</v>
          </cell>
          <cell r="V953" t="str">
            <v>2025-12-23</v>
          </cell>
          <cell r="W953">
            <v>28.48</v>
          </cell>
        </row>
        <row r="954">
          <cell r="U954" t="str">
            <v>东海店</v>
          </cell>
          <cell r="V954" t="str">
            <v>2025-12-23</v>
          </cell>
          <cell r="W954">
            <v>0</v>
          </cell>
        </row>
        <row r="955">
          <cell r="U955" t="str">
            <v>启点店</v>
          </cell>
          <cell r="V955" t="str">
            <v>2025-12-24</v>
          </cell>
          <cell r="W955">
            <v>48.3</v>
          </cell>
        </row>
        <row r="956">
          <cell r="U956" t="str">
            <v>高新店</v>
          </cell>
          <cell r="V956" t="str">
            <v>2025-12-24</v>
          </cell>
          <cell r="W956">
            <v>50.11</v>
          </cell>
        </row>
        <row r="957">
          <cell r="U957" t="str">
            <v>金牛店</v>
          </cell>
          <cell r="V957" t="str">
            <v>2025-12-24</v>
          </cell>
          <cell r="W957">
            <v>25.48</v>
          </cell>
        </row>
        <row r="958">
          <cell r="U958" t="str">
            <v>成华店</v>
          </cell>
          <cell r="V958" t="str">
            <v>2025-12-24</v>
          </cell>
          <cell r="W958">
            <v>50.58</v>
          </cell>
        </row>
        <row r="959">
          <cell r="U959" t="str">
            <v>西山店</v>
          </cell>
          <cell r="V959" t="str">
            <v>2025-12-24</v>
          </cell>
          <cell r="W959">
            <v>2.45</v>
          </cell>
        </row>
        <row r="960">
          <cell r="U960" t="str">
            <v>百捷店</v>
          </cell>
          <cell r="V960" t="str">
            <v>2025-12-24</v>
          </cell>
          <cell r="W960">
            <v>45.07</v>
          </cell>
        </row>
        <row r="961">
          <cell r="U961" t="str">
            <v>沙坪坝店</v>
          </cell>
          <cell r="V961" t="str">
            <v>2025-12-24</v>
          </cell>
          <cell r="W961">
            <v>30.73</v>
          </cell>
        </row>
        <row r="962">
          <cell r="U962" t="str">
            <v>五路口店</v>
          </cell>
          <cell r="V962" t="str">
            <v>2025-12-24</v>
          </cell>
          <cell r="W962">
            <v>24.86</v>
          </cell>
        </row>
        <row r="963">
          <cell r="U963" t="str">
            <v>济南店</v>
          </cell>
          <cell r="V963" t="str">
            <v>2025-12-24</v>
          </cell>
          <cell r="W963">
            <v>104.5</v>
          </cell>
        </row>
        <row r="964">
          <cell r="U964" t="str">
            <v>青羊店</v>
          </cell>
          <cell r="V964" t="str">
            <v>2025-12-24</v>
          </cell>
          <cell r="W964">
            <v>60.92</v>
          </cell>
        </row>
        <row r="965">
          <cell r="U965" t="str">
            <v>观音桥店</v>
          </cell>
          <cell r="V965" t="str">
            <v>2025-12-24</v>
          </cell>
          <cell r="W965">
            <v>74.51</v>
          </cell>
        </row>
        <row r="966">
          <cell r="U966" t="str">
            <v>西湖店</v>
          </cell>
          <cell r="V966" t="str">
            <v>2025-12-24</v>
          </cell>
          <cell r="W966">
            <v>111.08</v>
          </cell>
        </row>
        <row r="967">
          <cell r="U967" t="str">
            <v>诚毅店</v>
          </cell>
          <cell r="V967" t="str">
            <v>2025-12-24</v>
          </cell>
          <cell r="W967">
            <v>46.4</v>
          </cell>
        </row>
        <row r="968">
          <cell r="U968" t="str">
            <v>湖里店</v>
          </cell>
          <cell r="V968" t="str">
            <v>2025-12-24</v>
          </cell>
          <cell r="W968">
            <v>136.14</v>
          </cell>
        </row>
        <row r="969">
          <cell r="U969" t="str">
            <v>东新店</v>
          </cell>
          <cell r="V969" t="str">
            <v>2025-12-24</v>
          </cell>
          <cell r="W969">
            <v>80.24</v>
          </cell>
        </row>
        <row r="970">
          <cell r="U970" t="str">
            <v>大坪店</v>
          </cell>
          <cell r="V970" t="str">
            <v>2025-12-24</v>
          </cell>
          <cell r="W970">
            <v>94.38</v>
          </cell>
        </row>
        <row r="971">
          <cell r="U971" t="str">
            <v>凤城二路店</v>
          </cell>
          <cell r="V971" t="str">
            <v>2025-12-24</v>
          </cell>
          <cell r="W971">
            <v>65.06</v>
          </cell>
        </row>
        <row r="972">
          <cell r="U972" t="str">
            <v>洛江店</v>
          </cell>
          <cell r="V972" t="str">
            <v>2025-12-24</v>
          </cell>
          <cell r="W972">
            <v>54.71</v>
          </cell>
        </row>
        <row r="973">
          <cell r="U973" t="str">
            <v>官渡店</v>
          </cell>
          <cell r="V973" t="str">
            <v>2025-12-24</v>
          </cell>
          <cell r="W973">
            <v>7.51</v>
          </cell>
        </row>
        <row r="974">
          <cell r="U974" t="str">
            <v>武侯店</v>
          </cell>
          <cell r="V974" t="str">
            <v>2025-12-24</v>
          </cell>
          <cell r="W974">
            <v>23.14</v>
          </cell>
        </row>
        <row r="975">
          <cell r="U975" t="str">
            <v>黄雁村店</v>
          </cell>
          <cell r="V975" t="str">
            <v>2025-12-24</v>
          </cell>
          <cell r="W975">
            <v>7.74</v>
          </cell>
        </row>
        <row r="976">
          <cell r="U976" t="str">
            <v>五华店</v>
          </cell>
          <cell r="V976" t="str">
            <v>2025-12-24</v>
          </cell>
          <cell r="W976">
            <v>41.34</v>
          </cell>
        </row>
        <row r="977">
          <cell r="U977" t="str">
            <v>长沙店</v>
          </cell>
          <cell r="V977" t="str">
            <v>2025-12-24</v>
          </cell>
          <cell r="W977">
            <v>71.67</v>
          </cell>
        </row>
        <row r="978">
          <cell r="U978" t="str">
            <v>鼓楼店</v>
          </cell>
          <cell r="V978" t="str">
            <v>2025-12-24</v>
          </cell>
          <cell r="W978">
            <v>65.56</v>
          </cell>
        </row>
        <row r="979">
          <cell r="U979" t="str">
            <v>文昌店</v>
          </cell>
          <cell r="V979" t="str">
            <v>2025-12-24</v>
          </cell>
          <cell r="W979">
            <v>23.45</v>
          </cell>
        </row>
        <row r="980">
          <cell r="U980" t="str">
            <v>百丈店</v>
          </cell>
          <cell r="V980" t="str">
            <v>2025-12-24</v>
          </cell>
          <cell r="W980">
            <v>65.96</v>
          </cell>
        </row>
        <row r="981">
          <cell r="U981" t="str">
            <v>观桥店</v>
          </cell>
          <cell r="V981" t="str">
            <v>2025-12-24</v>
          </cell>
          <cell r="W981">
            <v>1.42</v>
          </cell>
        </row>
        <row r="982">
          <cell r="U982" t="str">
            <v>余杭店</v>
          </cell>
          <cell r="V982" t="str">
            <v>2025-12-24</v>
          </cell>
          <cell r="W982">
            <v>125.23</v>
          </cell>
        </row>
        <row r="983">
          <cell r="U983" t="str">
            <v>首山店</v>
          </cell>
          <cell r="V983" t="str">
            <v>2025-12-24</v>
          </cell>
          <cell r="W983">
            <v>59.27</v>
          </cell>
        </row>
        <row r="984">
          <cell r="U984" t="str">
            <v>首南店</v>
          </cell>
          <cell r="V984" t="str">
            <v>2025-12-24</v>
          </cell>
          <cell r="W984">
            <v>92.44</v>
          </cell>
        </row>
        <row r="985">
          <cell r="U985" t="str">
            <v>滨江店</v>
          </cell>
          <cell r="V985" t="str">
            <v>2025-12-24</v>
          </cell>
          <cell r="W985">
            <v>114.49</v>
          </cell>
        </row>
        <row r="986">
          <cell r="U986" t="str">
            <v>文灶店</v>
          </cell>
          <cell r="V986" t="str">
            <v>2025-12-24</v>
          </cell>
          <cell r="W986">
            <v>18.94</v>
          </cell>
        </row>
        <row r="987">
          <cell r="U987" t="str">
            <v>文灶店</v>
          </cell>
          <cell r="V987" t="str">
            <v>2025-12-24</v>
          </cell>
          <cell r="W987">
            <v>0</v>
          </cell>
        </row>
        <row r="988">
          <cell r="U988" t="str">
            <v>东海店</v>
          </cell>
          <cell r="V988" t="str">
            <v>2025-12-24</v>
          </cell>
          <cell r="W988">
            <v>40.37</v>
          </cell>
        </row>
        <row r="989">
          <cell r="U989" t="str">
            <v>东海店</v>
          </cell>
          <cell r="V989" t="str">
            <v>2025-12-24</v>
          </cell>
          <cell r="W989">
            <v>3.96</v>
          </cell>
        </row>
        <row r="990">
          <cell r="U990" t="str">
            <v>启点店</v>
          </cell>
          <cell r="V990" t="str">
            <v>2025-12-25</v>
          </cell>
          <cell r="W990">
            <v>35.99</v>
          </cell>
        </row>
        <row r="991">
          <cell r="U991" t="str">
            <v>高新店</v>
          </cell>
          <cell r="V991" t="str">
            <v>2025-12-25</v>
          </cell>
          <cell r="W991">
            <v>71.65</v>
          </cell>
        </row>
        <row r="992">
          <cell r="U992" t="str">
            <v>金牛店</v>
          </cell>
          <cell r="V992" t="str">
            <v>2025-12-25</v>
          </cell>
          <cell r="W992">
            <v>22.41</v>
          </cell>
        </row>
        <row r="993">
          <cell r="U993" t="str">
            <v>成华店</v>
          </cell>
          <cell r="V993" t="str">
            <v>2025-12-25</v>
          </cell>
          <cell r="W993">
            <v>46.89</v>
          </cell>
        </row>
        <row r="994">
          <cell r="U994" t="str">
            <v>西山店</v>
          </cell>
          <cell r="V994" t="str">
            <v>2025-12-25</v>
          </cell>
          <cell r="W994">
            <v>0.52</v>
          </cell>
        </row>
        <row r="995">
          <cell r="U995" t="str">
            <v>百捷店</v>
          </cell>
          <cell r="V995" t="str">
            <v>2025-12-25</v>
          </cell>
          <cell r="W995">
            <v>54.96</v>
          </cell>
        </row>
        <row r="996">
          <cell r="U996" t="str">
            <v>沙坪坝店</v>
          </cell>
          <cell r="V996" t="str">
            <v>2025-12-25</v>
          </cell>
          <cell r="W996">
            <v>55.67</v>
          </cell>
        </row>
        <row r="997">
          <cell r="U997" t="str">
            <v>五路口店</v>
          </cell>
          <cell r="V997" t="str">
            <v>2025-12-25</v>
          </cell>
          <cell r="W997">
            <v>37.42</v>
          </cell>
        </row>
        <row r="998">
          <cell r="U998" t="str">
            <v>济南店</v>
          </cell>
          <cell r="V998" t="str">
            <v>2025-12-25</v>
          </cell>
          <cell r="W998">
            <v>106.47</v>
          </cell>
        </row>
        <row r="999">
          <cell r="U999" t="str">
            <v>青羊店</v>
          </cell>
          <cell r="V999" t="str">
            <v>2025-12-25</v>
          </cell>
          <cell r="W999">
            <v>21.48</v>
          </cell>
        </row>
        <row r="1000">
          <cell r="U1000" t="str">
            <v>观音桥店</v>
          </cell>
          <cell r="V1000" t="str">
            <v>2025-12-25</v>
          </cell>
          <cell r="W1000">
            <v>73.88</v>
          </cell>
        </row>
        <row r="1001">
          <cell r="U1001" t="str">
            <v>西湖店</v>
          </cell>
          <cell r="V1001" t="str">
            <v>2025-12-25</v>
          </cell>
          <cell r="W1001">
            <v>48</v>
          </cell>
        </row>
        <row r="1002">
          <cell r="U1002" t="str">
            <v>诚毅店</v>
          </cell>
          <cell r="V1002" t="str">
            <v>2025-12-25</v>
          </cell>
          <cell r="W1002">
            <v>94.24</v>
          </cell>
        </row>
        <row r="1003">
          <cell r="U1003" t="str">
            <v>湖里店</v>
          </cell>
          <cell r="V1003" t="str">
            <v>2025-12-25</v>
          </cell>
          <cell r="W1003">
            <v>135.97</v>
          </cell>
        </row>
        <row r="1004">
          <cell r="U1004" t="str">
            <v>东新店</v>
          </cell>
          <cell r="V1004" t="str">
            <v>2025-12-25</v>
          </cell>
          <cell r="W1004">
            <v>68.17</v>
          </cell>
        </row>
        <row r="1005">
          <cell r="U1005" t="str">
            <v>大坪店</v>
          </cell>
          <cell r="V1005" t="str">
            <v>2025-12-25</v>
          </cell>
          <cell r="W1005">
            <v>68.26</v>
          </cell>
        </row>
        <row r="1006">
          <cell r="U1006" t="str">
            <v>凤城二路店</v>
          </cell>
          <cell r="V1006" t="str">
            <v>2025-12-25</v>
          </cell>
          <cell r="W1006">
            <v>73.59</v>
          </cell>
        </row>
        <row r="1007">
          <cell r="U1007" t="str">
            <v>洛江店</v>
          </cell>
          <cell r="V1007" t="str">
            <v>2025-12-25</v>
          </cell>
          <cell r="W1007">
            <v>29.91</v>
          </cell>
        </row>
        <row r="1008">
          <cell r="U1008" t="str">
            <v>官渡店</v>
          </cell>
          <cell r="V1008" t="str">
            <v>2025-12-25</v>
          </cell>
          <cell r="W1008">
            <v>3.71</v>
          </cell>
        </row>
        <row r="1009">
          <cell r="U1009" t="str">
            <v>武侯店</v>
          </cell>
          <cell r="V1009" t="str">
            <v>2025-12-25</v>
          </cell>
          <cell r="W1009">
            <v>28.87</v>
          </cell>
        </row>
        <row r="1010">
          <cell r="U1010" t="str">
            <v>黄雁村店</v>
          </cell>
          <cell r="V1010" t="str">
            <v>2025-12-25</v>
          </cell>
          <cell r="W1010">
            <v>4.93</v>
          </cell>
        </row>
        <row r="1011">
          <cell r="U1011" t="str">
            <v>五华店</v>
          </cell>
          <cell r="V1011" t="str">
            <v>2025-12-25</v>
          </cell>
          <cell r="W1011">
            <v>36.98</v>
          </cell>
        </row>
        <row r="1012">
          <cell r="U1012" t="str">
            <v>长沙店</v>
          </cell>
          <cell r="V1012" t="str">
            <v>2025-12-25</v>
          </cell>
          <cell r="W1012">
            <v>46.25</v>
          </cell>
        </row>
        <row r="1013">
          <cell r="U1013" t="str">
            <v>鼓楼店</v>
          </cell>
          <cell r="V1013" t="str">
            <v>2025-12-25</v>
          </cell>
          <cell r="W1013">
            <v>65.33</v>
          </cell>
        </row>
        <row r="1014">
          <cell r="U1014" t="str">
            <v>文昌店</v>
          </cell>
          <cell r="V1014" t="str">
            <v>2025-12-25</v>
          </cell>
          <cell r="W1014">
            <v>34.17</v>
          </cell>
        </row>
        <row r="1015">
          <cell r="U1015" t="str">
            <v>百丈店</v>
          </cell>
          <cell r="V1015" t="str">
            <v>2025-12-25</v>
          </cell>
          <cell r="W1015">
            <v>62.81</v>
          </cell>
        </row>
        <row r="1016">
          <cell r="U1016" t="str">
            <v>观桥店</v>
          </cell>
          <cell r="V1016" t="str">
            <v>2025-12-25</v>
          </cell>
          <cell r="W1016">
            <v>3.86</v>
          </cell>
        </row>
        <row r="1017">
          <cell r="U1017" t="str">
            <v>余杭店</v>
          </cell>
          <cell r="V1017" t="str">
            <v>2025-12-25</v>
          </cell>
          <cell r="W1017">
            <v>88.84</v>
          </cell>
        </row>
        <row r="1018">
          <cell r="U1018" t="str">
            <v>首山店</v>
          </cell>
          <cell r="V1018" t="str">
            <v>2025-12-25</v>
          </cell>
          <cell r="W1018">
            <v>97.6</v>
          </cell>
        </row>
        <row r="1019">
          <cell r="U1019" t="str">
            <v>首南店</v>
          </cell>
          <cell r="V1019" t="str">
            <v>2025-12-25</v>
          </cell>
          <cell r="W1019">
            <v>97.56</v>
          </cell>
        </row>
        <row r="1020">
          <cell r="U1020" t="str">
            <v>滨江店</v>
          </cell>
          <cell r="V1020" t="str">
            <v>2025-12-25</v>
          </cell>
          <cell r="W1020">
            <v>74.6</v>
          </cell>
        </row>
        <row r="1021">
          <cell r="U1021" t="str">
            <v>文灶店</v>
          </cell>
          <cell r="V1021" t="str">
            <v>2025-12-25</v>
          </cell>
          <cell r="W1021">
            <v>24.97</v>
          </cell>
        </row>
        <row r="1022">
          <cell r="U1022" t="str">
            <v>文灶店</v>
          </cell>
          <cell r="V1022" t="str">
            <v>2025-12-25</v>
          </cell>
          <cell r="W1022">
            <v>1.42</v>
          </cell>
        </row>
        <row r="1023">
          <cell r="U1023" t="str">
            <v>东海店</v>
          </cell>
          <cell r="V1023" t="str">
            <v>2025-12-25</v>
          </cell>
          <cell r="W1023">
            <v>7.13</v>
          </cell>
        </row>
        <row r="1024">
          <cell r="U1024" t="str">
            <v>东海店</v>
          </cell>
          <cell r="V1024" t="str">
            <v>2025-12-25</v>
          </cell>
          <cell r="W1024">
            <v>0</v>
          </cell>
        </row>
        <row r="1025">
          <cell r="U1025" t="str">
            <v>启点店</v>
          </cell>
          <cell r="V1025" t="str">
            <v>2025-12-26</v>
          </cell>
          <cell r="W1025">
            <v>64.23</v>
          </cell>
        </row>
        <row r="1026">
          <cell r="U1026" t="str">
            <v>高新店</v>
          </cell>
          <cell r="V1026" t="str">
            <v>2025-12-26</v>
          </cell>
          <cell r="W1026">
            <v>75.41</v>
          </cell>
        </row>
        <row r="1027">
          <cell r="U1027" t="str">
            <v>金牛店</v>
          </cell>
          <cell r="V1027" t="str">
            <v>2025-12-26</v>
          </cell>
          <cell r="W1027">
            <v>21.97</v>
          </cell>
        </row>
        <row r="1028">
          <cell r="U1028" t="str">
            <v>成华店</v>
          </cell>
          <cell r="V1028" t="str">
            <v>2025-12-26</v>
          </cell>
          <cell r="W1028">
            <v>61.05</v>
          </cell>
        </row>
        <row r="1029">
          <cell r="U1029" t="str">
            <v>西山店</v>
          </cell>
          <cell r="V1029" t="str">
            <v>2025-12-26</v>
          </cell>
          <cell r="W1029">
            <v>3.48</v>
          </cell>
        </row>
        <row r="1030">
          <cell r="U1030" t="str">
            <v>百捷店</v>
          </cell>
          <cell r="V1030" t="str">
            <v>2025-12-26</v>
          </cell>
          <cell r="W1030">
            <v>48.35</v>
          </cell>
        </row>
        <row r="1031">
          <cell r="U1031" t="str">
            <v>沙坪坝店</v>
          </cell>
          <cell r="V1031" t="str">
            <v>2025-12-26</v>
          </cell>
          <cell r="W1031">
            <v>27.81</v>
          </cell>
        </row>
        <row r="1032">
          <cell r="U1032" t="str">
            <v>五路口店</v>
          </cell>
          <cell r="V1032" t="str">
            <v>2025-12-26</v>
          </cell>
          <cell r="W1032">
            <v>34.18</v>
          </cell>
        </row>
        <row r="1033">
          <cell r="U1033" t="str">
            <v>济南店</v>
          </cell>
          <cell r="V1033" t="str">
            <v>2025-12-26</v>
          </cell>
          <cell r="W1033">
            <v>93.78</v>
          </cell>
        </row>
        <row r="1034">
          <cell r="U1034" t="str">
            <v>青羊店</v>
          </cell>
          <cell r="V1034" t="str">
            <v>2025-12-26</v>
          </cell>
          <cell r="W1034">
            <v>43.11</v>
          </cell>
        </row>
        <row r="1035">
          <cell r="U1035" t="str">
            <v>观音桥店</v>
          </cell>
          <cell r="V1035" t="str">
            <v>2025-12-26</v>
          </cell>
          <cell r="W1035">
            <v>88.72</v>
          </cell>
        </row>
        <row r="1036">
          <cell r="U1036" t="str">
            <v>西湖店</v>
          </cell>
          <cell r="V1036" t="str">
            <v>2025-12-26</v>
          </cell>
          <cell r="W1036">
            <v>121.31</v>
          </cell>
        </row>
        <row r="1037">
          <cell r="U1037" t="str">
            <v>诚毅店</v>
          </cell>
          <cell r="V1037" t="str">
            <v>2025-12-26</v>
          </cell>
          <cell r="W1037">
            <v>100.03</v>
          </cell>
        </row>
        <row r="1038">
          <cell r="U1038" t="str">
            <v>湖里店</v>
          </cell>
          <cell r="V1038" t="str">
            <v>2025-12-26</v>
          </cell>
          <cell r="W1038">
            <v>162.21</v>
          </cell>
        </row>
        <row r="1039">
          <cell r="U1039" t="str">
            <v>东新店</v>
          </cell>
          <cell r="V1039" t="str">
            <v>2025-12-26</v>
          </cell>
          <cell r="W1039">
            <v>101.98</v>
          </cell>
        </row>
        <row r="1040">
          <cell r="U1040" t="str">
            <v>大坪店</v>
          </cell>
          <cell r="V1040" t="str">
            <v>2025-12-26</v>
          </cell>
          <cell r="W1040">
            <v>65.11</v>
          </cell>
        </row>
        <row r="1041">
          <cell r="U1041" t="str">
            <v>凤城二路店</v>
          </cell>
          <cell r="V1041" t="str">
            <v>2025-12-26</v>
          </cell>
          <cell r="W1041">
            <v>88.9</v>
          </cell>
        </row>
        <row r="1042">
          <cell r="U1042" t="str">
            <v>洛江店</v>
          </cell>
          <cell r="V1042" t="str">
            <v>2025-12-26</v>
          </cell>
          <cell r="W1042">
            <v>49.35</v>
          </cell>
        </row>
        <row r="1043">
          <cell r="U1043" t="str">
            <v>官渡店</v>
          </cell>
          <cell r="V1043" t="str">
            <v>2025-12-26</v>
          </cell>
          <cell r="W1043">
            <v>3.58</v>
          </cell>
        </row>
        <row r="1044">
          <cell r="U1044" t="str">
            <v>武侯店</v>
          </cell>
          <cell r="V1044" t="str">
            <v>2025-12-26</v>
          </cell>
          <cell r="W1044">
            <v>41.8</v>
          </cell>
        </row>
        <row r="1045">
          <cell r="U1045" t="str">
            <v>黄雁村店</v>
          </cell>
          <cell r="V1045" t="str">
            <v>2025-12-26</v>
          </cell>
          <cell r="W1045">
            <v>14.26</v>
          </cell>
        </row>
        <row r="1046">
          <cell r="U1046" t="str">
            <v>五华店</v>
          </cell>
          <cell r="V1046" t="str">
            <v>2025-12-26</v>
          </cell>
          <cell r="W1046">
            <v>36.48</v>
          </cell>
        </row>
        <row r="1047">
          <cell r="U1047" t="str">
            <v>长沙店</v>
          </cell>
          <cell r="V1047" t="str">
            <v>2025-12-26</v>
          </cell>
          <cell r="W1047">
            <v>72.16</v>
          </cell>
        </row>
        <row r="1048">
          <cell r="U1048" t="str">
            <v>鼓楼店</v>
          </cell>
          <cell r="V1048" t="str">
            <v>2025-12-26</v>
          </cell>
          <cell r="W1048">
            <v>81.19</v>
          </cell>
        </row>
        <row r="1049">
          <cell r="U1049" t="str">
            <v>文昌店</v>
          </cell>
          <cell r="V1049" t="str">
            <v>2025-12-26</v>
          </cell>
          <cell r="W1049">
            <v>27.53</v>
          </cell>
        </row>
        <row r="1050">
          <cell r="U1050" t="str">
            <v>百丈店</v>
          </cell>
          <cell r="V1050" t="str">
            <v>2025-12-26</v>
          </cell>
          <cell r="W1050">
            <v>86.12</v>
          </cell>
        </row>
        <row r="1051">
          <cell r="U1051" t="str">
            <v>观桥店</v>
          </cell>
          <cell r="V1051" t="str">
            <v>2025-12-26</v>
          </cell>
          <cell r="W1051">
            <v>5.75</v>
          </cell>
        </row>
        <row r="1052">
          <cell r="U1052" t="str">
            <v>余杭店</v>
          </cell>
          <cell r="V1052" t="str">
            <v>2025-12-26</v>
          </cell>
          <cell r="W1052">
            <v>103.61</v>
          </cell>
        </row>
        <row r="1053">
          <cell r="U1053" t="str">
            <v>首山店</v>
          </cell>
          <cell r="V1053" t="str">
            <v>2025-12-26</v>
          </cell>
          <cell r="W1053">
            <v>98.4</v>
          </cell>
        </row>
        <row r="1054">
          <cell r="U1054" t="str">
            <v>首南店</v>
          </cell>
          <cell r="V1054" t="str">
            <v>2025-12-26</v>
          </cell>
          <cell r="W1054">
            <v>105.32</v>
          </cell>
        </row>
        <row r="1055">
          <cell r="U1055" t="str">
            <v>滨江店</v>
          </cell>
          <cell r="V1055" t="str">
            <v>2025-12-26</v>
          </cell>
          <cell r="W1055">
            <v>132.26</v>
          </cell>
        </row>
        <row r="1056">
          <cell r="U1056" t="str">
            <v>文灶店</v>
          </cell>
          <cell r="V1056" t="str">
            <v>2025-12-26</v>
          </cell>
          <cell r="W1056">
            <v>34.7</v>
          </cell>
        </row>
        <row r="1057">
          <cell r="U1057" t="str">
            <v>文灶店</v>
          </cell>
          <cell r="V1057" t="str">
            <v>2025-12-26</v>
          </cell>
          <cell r="W1057">
            <v>1.84</v>
          </cell>
        </row>
        <row r="1058">
          <cell r="U1058" t="str">
            <v>东海店</v>
          </cell>
          <cell r="V1058" t="str">
            <v>2025-12-26</v>
          </cell>
          <cell r="W1058">
            <v>55.01</v>
          </cell>
        </row>
        <row r="1059">
          <cell r="U1059" t="str">
            <v>东海店</v>
          </cell>
          <cell r="V1059" t="str">
            <v>2025-12-26</v>
          </cell>
          <cell r="W1059">
            <v>0.88</v>
          </cell>
        </row>
        <row r="1060">
          <cell r="U1060" t="str">
            <v>启点店</v>
          </cell>
          <cell r="V1060" t="str">
            <v>2025-12-27</v>
          </cell>
          <cell r="W1060">
            <v>63.15</v>
          </cell>
        </row>
        <row r="1061">
          <cell r="U1061" t="str">
            <v>高新店</v>
          </cell>
          <cell r="V1061" t="str">
            <v>2025-12-27</v>
          </cell>
          <cell r="W1061">
            <v>50.81</v>
          </cell>
        </row>
        <row r="1062">
          <cell r="U1062" t="str">
            <v>金牛店</v>
          </cell>
          <cell r="V1062" t="str">
            <v>2025-12-27</v>
          </cell>
          <cell r="W1062">
            <v>38.63</v>
          </cell>
        </row>
        <row r="1063">
          <cell r="U1063" t="str">
            <v>成华店</v>
          </cell>
          <cell r="V1063" t="str">
            <v>2025-12-27</v>
          </cell>
          <cell r="W1063">
            <v>60.14</v>
          </cell>
        </row>
        <row r="1064">
          <cell r="U1064" t="str">
            <v>西山店</v>
          </cell>
          <cell r="V1064" t="str">
            <v>2025-12-27</v>
          </cell>
          <cell r="W1064">
            <v>2.22</v>
          </cell>
        </row>
        <row r="1065">
          <cell r="U1065" t="str">
            <v>百捷店</v>
          </cell>
          <cell r="V1065" t="str">
            <v>2025-12-27</v>
          </cell>
          <cell r="W1065">
            <v>58.61</v>
          </cell>
        </row>
        <row r="1066">
          <cell r="U1066" t="str">
            <v>沙坪坝店</v>
          </cell>
          <cell r="V1066" t="str">
            <v>2025-12-27</v>
          </cell>
          <cell r="W1066">
            <v>61.66</v>
          </cell>
        </row>
        <row r="1067">
          <cell r="U1067" t="str">
            <v>五路口店</v>
          </cell>
          <cell r="V1067" t="str">
            <v>2025-12-27</v>
          </cell>
          <cell r="W1067">
            <v>70.39</v>
          </cell>
        </row>
        <row r="1068">
          <cell r="U1068" t="str">
            <v>济南店</v>
          </cell>
          <cell r="V1068" t="str">
            <v>2025-12-27</v>
          </cell>
          <cell r="W1068">
            <v>76.04</v>
          </cell>
        </row>
        <row r="1069">
          <cell r="U1069" t="str">
            <v>青羊店</v>
          </cell>
          <cell r="V1069" t="str">
            <v>2025-12-27</v>
          </cell>
          <cell r="W1069">
            <v>44.93</v>
          </cell>
        </row>
        <row r="1070">
          <cell r="U1070" t="str">
            <v>观音桥店</v>
          </cell>
          <cell r="V1070" t="str">
            <v>2025-12-27</v>
          </cell>
          <cell r="W1070">
            <v>67.7</v>
          </cell>
        </row>
        <row r="1071">
          <cell r="U1071" t="str">
            <v>西湖店</v>
          </cell>
          <cell r="V1071" t="str">
            <v>2025-12-27</v>
          </cell>
          <cell r="W1071">
            <v>60.57</v>
          </cell>
        </row>
        <row r="1072">
          <cell r="U1072" t="str">
            <v>诚毅店</v>
          </cell>
          <cell r="V1072" t="str">
            <v>2025-12-27</v>
          </cell>
          <cell r="W1072">
            <v>62.96</v>
          </cell>
        </row>
        <row r="1073">
          <cell r="U1073" t="str">
            <v>湖里店</v>
          </cell>
          <cell r="V1073" t="str">
            <v>2025-12-27</v>
          </cell>
          <cell r="W1073">
            <v>125.08</v>
          </cell>
        </row>
        <row r="1074">
          <cell r="U1074" t="str">
            <v>东新店</v>
          </cell>
          <cell r="V1074" t="str">
            <v>2025-12-27</v>
          </cell>
          <cell r="W1074">
            <v>118.65</v>
          </cell>
        </row>
        <row r="1075">
          <cell r="U1075" t="str">
            <v>大坪店</v>
          </cell>
          <cell r="V1075" t="str">
            <v>2025-12-27</v>
          </cell>
          <cell r="W1075">
            <v>92.27</v>
          </cell>
        </row>
        <row r="1076">
          <cell r="U1076" t="str">
            <v>凤城二路店</v>
          </cell>
          <cell r="V1076" t="str">
            <v>2025-12-27</v>
          </cell>
          <cell r="W1076">
            <v>81.34</v>
          </cell>
        </row>
        <row r="1077">
          <cell r="U1077" t="str">
            <v>洛江店</v>
          </cell>
          <cell r="V1077" t="str">
            <v>2025-12-27</v>
          </cell>
          <cell r="W1077">
            <v>42.4</v>
          </cell>
        </row>
        <row r="1078">
          <cell r="U1078" t="str">
            <v>官渡店</v>
          </cell>
          <cell r="V1078" t="str">
            <v>2025-12-27</v>
          </cell>
          <cell r="W1078">
            <v>4.9</v>
          </cell>
        </row>
        <row r="1079">
          <cell r="U1079" t="str">
            <v>武侯店</v>
          </cell>
          <cell r="V1079" t="str">
            <v>2025-12-27</v>
          </cell>
          <cell r="W1079">
            <v>55.92</v>
          </cell>
        </row>
        <row r="1080">
          <cell r="U1080" t="str">
            <v>黄雁村店</v>
          </cell>
          <cell r="V1080" t="str">
            <v>2025-12-27</v>
          </cell>
          <cell r="W1080">
            <v>96.18</v>
          </cell>
        </row>
        <row r="1081">
          <cell r="U1081" t="str">
            <v>五华店</v>
          </cell>
          <cell r="V1081" t="str">
            <v>2025-12-27</v>
          </cell>
          <cell r="W1081">
            <v>37.67</v>
          </cell>
        </row>
        <row r="1082">
          <cell r="U1082" t="str">
            <v>长沙店</v>
          </cell>
          <cell r="V1082" t="str">
            <v>2025-12-27</v>
          </cell>
          <cell r="W1082">
            <v>62.71</v>
          </cell>
        </row>
        <row r="1083">
          <cell r="U1083" t="str">
            <v>鼓楼店</v>
          </cell>
          <cell r="V1083" t="str">
            <v>2025-12-27</v>
          </cell>
          <cell r="W1083">
            <v>83.88</v>
          </cell>
        </row>
        <row r="1084">
          <cell r="U1084" t="str">
            <v>文昌店</v>
          </cell>
          <cell r="V1084" t="str">
            <v>2025-12-27</v>
          </cell>
          <cell r="W1084">
            <v>37.62</v>
          </cell>
        </row>
        <row r="1085">
          <cell r="U1085" t="str">
            <v>百丈店</v>
          </cell>
          <cell r="V1085" t="str">
            <v>2025-12-27</v>
          </cell>
          <cell r="W1085">
            <v>65.61</v>
          </cell>
        </row>
        <row r="1086">
          <cell r="U1086" t="str">
            <v>观桥店</v>
          </cell>
          <cell r="V1086" t="str">
            <v>2025-12-27</v>
          </cell>
          <cell r="W1086">
            <v>11.74</v>
          </cell>
        </row>
        <row r="1087">
          <cell r="U1087" t="str">
            <v>余杭店</v>
          </cell>
          <cell r="V1087" t="str">
            <v>2025-12-27</v>
          </cell>
          <cell r="W1087">
            <v>98.1</v>
          </cell>
        </row>
        <row r="1088">
          <cell r="U1088" t="str">
            <v>首山店</v>
          </cell>
          <cell r="V1088" t="str">
            <v>2025-12-27</v>
          </cell>
          <cell r="W1088">
            <v>82.44</v>
          </cell>
        </row>
        <row r="1089">
          <cell r="U1089" t="str">
            <v>首南店</v>
          </cell>
          <cell r="V1089" t="str">
            <v>2025-12-27</v>
          </cell>
          <cell r="W1089">
            <v>83.94</v>
          </cell>
        </row>
        <row r="1090">
          <cell r="U1090" t="str">
            <v>滨江店</v>
          </cell>
          <cell r="V1090" t="str">
            <v>2025-12-27</v>
          </cell>
          <cell r="W1090">
            <v>92.26</v>
          </cell>
        </row>
        <row r="1091">
          <cell r="U1091" t="str">
            <v>文灶店</v>
          </cell>
          <cell r="V1091" t="str">
            <v>2025-12-27</v>
          </cell>
          <cell r="W1091">
            <v>17.32</v>
          </cell>
        </row>
        <row r="1092">
          <cell r="U1092" t="str">
            <v>文灶店</v>
          </cell>
          <cell r="V1092" t="str">
            <v>2025-12-27</v>
          </cell>
          <cell r="W1092">
            <v>3.97</v>
          </cell>
        </row>
        <row r="1093">
          <cell r="U1093" t="str">
            <v>东海店</v>
          </cell>
          <cell r="V1093" t="str">
            <v>2025-12-27</v>
          </cell>
          <cell r="W1093">
            <v>24.06</v>
          </cell>
        </row>
        <row r="1094">
          <cell r="U1094" t="str">
            <v>东海店</v>
          </cell>
          <cell r="V1094" t="str">
            <v>2025-12-27</v>
          </cell>
          <cell r="W1094">
            <v>1.69</v>
          </cell>
        </row>
        <row r="1095">
          <cell r="U1095" t="str">
            <v>启点店</v>
          </cell>
          <cell r="V1095" t="str">
            <v>2025-12-28</v>
          </cell>
          <cell r="W1095">
            <v>56.52</v>
          </cell>
        </row>
        <row r="1096">
          <cell r="U1096" t="str">
            <v>高新店</v>
          </cell>
          <cell r="V1096" t="str">
            <v>2025-12-28</v>
          </cell>
          <cell r="W1096">
            <v>31.76</v>
          </cell>
        </row>
        <row r="1097">
          <cell r="U1097" t="str">
            <v>金牛店</v>
          </cell>
          <cell r="V1097" t="str">
            <v>2025-12-28</v>
          </cell>
          <cell r="W1097">
            <v>58.03</v>
          </cell>
        </row>
        <row r="1098">
          <cell r="U1098" t="str">
            <v>成华店</v>
          </cell>
          <cell r="V1098" t="str">
            <v>2025-12-28</v>
          </cell>
          <cell r="W1098">
            <v>73.64</v>
          </cell>
        </row>
        <row r="1099">
          <cell r="U1099" t="str">
            <v>西山店</v>
          </cell>
          <cell r="V1099" t="str">
            <v>2025-12-28</v>
          </cell>
          <cell r="W1099">
            <v>5.33</v>
          </cell>
        </row>
        <row r="1100">
          <cell r="U1100" t="str">
            <v>百捷店</v>
          </cell>
          <cell r="V1100" t="str">
            <v>2025-12-28</v>
          </cell>
          <cell r="W1100">
            <v>21.79</v>
          </cell>
        </row>
        <row r="1101">
          <cell r="U1101" t="str">
            <v>沙坪坝店</v>
          </cell>
          <cell r="V1101" t="str">
            <v>2025-12-28</v>
          </cell>
          <cell r="W1101">
            <v>46.06</v>
          </cell>
        </row>
        <row r="1102">
          <cell r="U1102" t="str">
            <v>五路口店</v>
          </cell>
          <cell r="V1102" t="str">
            <v>2025-12-28</v>
          </cell>
          <cell r="W1102">
            <v>26.03</v>
          </cell>
        </row>
        <row r="1103">
          <cell r="U1103" t="str">
            <v>济南店</v>
          </cell>
          <cell r="V1103" t="str">
            <v>2025-12-28</v>
          </cell>
          <cell r="W1103">
            <v>104.23</v>
          </cell>
        </row>
        <row r="1104">
          <cell r="U1104" t="str">
            <v>青羊店</v>
          </cell>
          <cell r="V1104" t="str">
            <v>2025-12-28</v>
          </cell>
          <cell r="W1104">
            <v>34.92</v>
          </cell>
        </row>
        <row r="1105">
          <cell r="U1105" t="str">
            <v>观音桥店</v>
          </cell>
          <cell r="V1105" t="str">
            <v>2025-12-28</v>
          </cell>
          <cell r="W1105">
            <v>65.29</v>
          </cell>
        </row>
        <row r="1106">
          <cell r="U1106" t="str">
            <v>西湖店</v>
          </cell>
          <cell r="V1106" t="str">
            <v>2025-12-28</v>
          </cell>
          <cell r="W1106">
            <v>76.63</v>
          </cell>
        </row>
        <row r="1107">
          <cell r="U1107" t="str">
            <v>诚毅店</v>
          </cell>
          <cell r="V1107" t="str">
            <v>2025-12-28</v>
          </cell>
          <cell r="W1107">
            <v>79.86</v>
          </cell>
        </row>
        <row r="1108">
          <cell r="U1108" t="str">
            <v>湖里店</v>
          </cell>
          <cell r="V1108" t="str">
            <v>2025-12-28</v>
          </cell>
          <cell r="W1108">
            <v>133.4</v>
          </cell>
        </row>
        <row r="1109">
          <cell r="U1109" t="str">
            <v>东新店</v>
          </cell>
          <cell r="V1109" t="str">
            <v>2025-12-28</v>
          </cell>
          <cell r="W1109">
            <v>69.76</v>
          </cell>
        </row>
        <row r="1110">
          <cell r="U1110" t="str">
            <v>大坪店</v>
          </cell>
          <cell r="V1110" t="str">
            <v>2025-12-28</v>
          </cell>
          <cell r="W1110">
            <v>83.72</v>
          </cell>
        </row>
        <row r="1111">
          <cell r="U1111" t="str">
            <v>凤城二路店</v>
          </cell>
          <cell r="V1111" t="str">
            <v>2025-12-28</v>
          </cell>
          <cell r="W1111">
            <v>76.78</v>
          </cell>
        </row>
        <row r="1112">
          <cell r="U1112" t="str">
            <v>洛江店</v>
          </cell>
          <cell r="V1112" t="str">
            <v>2025-12-28</v>
          </cell>
          <cell r="W1112">
            <v>0</v>
          </cell>
        </row>
        <row r="1113">
          <cell r="U1113" t="str">
            <v>官渡店</v>
          </cell>
          <cell r="V1113" t="str">
            <v>2025-12-28</v>
          </cell>
          <cell r="W1113">
            <v>2.79</v>
          </cell>
        </row>
        <row r="1114">
          <cell r="U1114" t="str">
            <v>武侯店</v>
          </cell>
          <cell r="V1114" t="str">
            <v>2025-12-28</v>
          </cell>
          <cell r="W1114">
            <v>63.46</v>
          </cell>
        </row>
        <row r="1115">
          <cell r="U1115" t="str">
            <v>黄雁村店</v>
          </cell>
          <cell r="V1115" t="str">
            <v>2025-12-28</v>
          </cell>
          <cell r="W1115">
            <v>91.73</v>
          </cell>
        </row>
        <row r="1116">
          <cell r="U1116" t="str">
            <v>五华店</v>
          </cell>
          <cell r="V1116" t="str">
            <v>2025-12-28</v>
          </cell>
          <cell r="W1116">
            <v>34.41</v>
          </cell>
        </row>
        <row r="1117">
          <cell r="U1117" t="str">
            <v>长沙店</v>
          </cell>
          <cell r="V1117" t="str">
            <v>2025-12-28</v>
          </cell>
          <cell r="W1117">
            <v>53.37</v>
          </cell>
        </row>
        <row r="1118">
          <cell r="U1118" t="str">
            <v>鼓楼店</v>
          </cell>
          <cell r="V1118" t="str">
            <v>2025-12-28</v>
          </cell>
          <cell r="W1118">
            <v>76.8</v>
          </cell>
        </row>
        <row r="1119">
          <cell r="U1119" t="str">
            <v>文昌店</v>
          </cell>
          <cell r="V1119" t="str">
            <v>2025-12-28</v>
          </cell>
          <cell r="W1119">
            <v>24.73</v>
          </cell>
        </row>
        <row r="1120">
          <cell r="U1120" t="str">
            <v>百丈店</v>
          </cell>
          <cell r="V1120" t="str">
            <v>2025-12-28</v>
          </cell>
          <cell r="W1120">
            <v>79.71</v>
          </cell>
        </row>
        <row r="1121">
          <cell r="U1121" t="str">
            <v>观桥店</v>
          </cell>
          <cell r="V1121" t="str">
            <v>2025-12-28</v>
          </cell>
          <cell r="W1121">
            <v>42.76</v>
          </cell>
        </row>
        <row r="1122">
          <cell r="U1122" t="str">
            <v>余杭店</v>
          </cell>
          <cell r="V1122" t="str">
            <v>2025-12-28</v>
          </cell>
          <cell r="W1122">
            <v>110.48</v>
          </cell>
        </row>
        <row r="1123">
          <cell r="U1123" t="str">
            <v>首山店</v>
          </cell>
          <cell r="V1123" t="str">
            <v>2025-12-28</v>
          </cell>
          <cell r="W1123">
            <v>73.17</v>
          </cell>
        </row>
        <row r="1124">
          <cell r="U1124" t="str">
            <v>首南店</v>
          </cell>
          <cell r="V1124" t="str">
            <v>2025-12-28</v>
          </cell>
          <cell r="W1124">
            <v>114.16</v>
          </cell>
        </row>
        <row r="1125">
          <cell r="U1125" t="str">
            <v>滨江店</v>
          </cell>
          <cell r="V1125" t="str">
            <v>2025-12-28</v>
          </cell>
          <cell r="W1125">
            <v>119.9</v>
          </cell>
        </row>
        <row r="1126">
          <cell r="U1126" t="str">
            <v>文灶店</v>
          </cell>
          <cell r="V1126" t="str">
            <v>2025-12-28</v>
          </cell>
          <cell r="W1126">
            <v>16.74</v>
          </cell>
        </row>
        <row r="1127">
          <cell r="U1127" t="str">
            <v>文灶店</v>
          </cell>
          <cell r="V1127" t="str">
            <v>2025-12-28</v>
          </cell>
          <cell r="W1127">
            <v>0</v>
          </cell>
        </row>
        <row r="1128">
          <cell r="U1128" t="str">
            <v>东海店</v>
          </cell>
          <cell r="V1128" t="str">
            <v>2025-12-28</v>
          </cell>
          <cell r="W1128">
            <v>30.69</v>
          </cell>
        </row>
        <row r="1129">
          <cell r="U1129" t="str">
            <v>东海店</v>
          </cell>
          <cell r="V1129" t="str">
            <v>2025-12-28</v>
          </cell>
          <cell r="W1129">
            <v>1.52</v>
          </cell>
        </row>
        <row r="1130">
          <cell r="U1130" t="str">
            <v>文灶店</v>
          </cell>
          <cell r="V1130" t="str">
            <v>2025-12-29</v>
          </cell>
          <cell r="W1130">
            <v>15.37</v>
          </cell>
        </row>
        <row r="1131">
          <cell r="U1131" t="str">
            <v>文灶店</v>
          </cell>
          <cell r="V1131" t="str">
            <v>2025-12-29</v>
          </cell>
          <cell r="W1131">
            <v>0</v>
          </cell>
        </row>
        <row r="1132">
          <cell r="U1132" t="str">
            <v>东海店</v>
          </cell>
          <cell r="V1132" t="str">
            <v>2025-12-29</v>
          </cell>
          <cell r="W1132">
            <v>25.47</v>
          </cell>
        </row>
        <row r="1133">
          <cell r="U1133" t="str">
            <v>东海店</v>
          </cell>
          <cell r="V1133" t="str">
            <v>2025-12-29</v>
          </cell>
          <cell r="W1133">
            <v>1.04</v>
          </cell>
        </row>
        <row r="1134">
          <cell r="U1134" t="str">
            <v>启点店</v>
          </cell>
          <cell r="V1134" t="str">
            <v>2025-12-29</v>
          </cell>
          <cell r="W1134">
            <v>66.97</v>
          </cell>
        </row>
        <row r="1135">
          <cell r="U1135" t="str">
            <v>高新店</v>
          </cell>
          <cell r="V1135" t="str">
            <v>2025-12-29</v>
          </cell>
          <cell r="W1135">
            <v>65.2</v>
          </cell>
        </row>
        <row r="1136">
          <cell r="U1136" t="str">
            <v>金牛店</v>
          </cell>
          <cell r="V1136" t="str">
            <v>2025-12-29</v>
          </cell>
          <cell r="W1136">
            <v>72.23</v>
          </cell>
        </row>
        <row r="1137">
          <cell r="U1137" t="str">
            <v>成华店</v>
          </cell>
          <cell r="V1137" t="str">
            <v>2025-12-29</v>
          </cell>
          <cell r="W1137">
            <v>65.09</v>
          </cell>
        </row>
        <row r="1138">
          <cell r="U1138" t="str">
            <v>西山店</v>
          </cell>
          <cell r="V1138" t="str">
            <v>2025-12-29</v>
          </cell>
          <cell r="W1138">
            <v>28.59</v>
          </cell>
        </row>
        <row r="1139">
          <cell r="U1139" t="str">
            <v>百捷店</v>
          </cell>
          <cell r="V1139" t="str">
            <v>2025-12-29</v>
          </cell>
          <cell r="W1139">
            <v>64.15</v>
          </cell>
        </row>
        <row r="1140">
          <cell r="U1140" t="str">
            <v>沙坪坝店</v>
          </cell>
          <cell r="V1140" t="str">
            <v>2025-12-29</v>
          </cell>
          <cell r="W1140">
            <v>49.02</v>
          </cell>
        </row>
        <row r="1141">
          <cell r="U1141" t="str">
            <v>五路口店</v>
          </cell>
          <cell r="V1141" t="str">
            <v>2025-12-29</v>
          </cell>
          <cell r="W1141">
            <v>39.54</v>
          </cell>
        </row>
        <row r="1142">
          <cell r="U1142" t="str">
            <v>济南店</v>
          </cell>
          <cell r="V1142" t="str">
            <v>2025-12-29</v>
          </cell>
          <cell r="W1142">
            <v>122.9</v>
          </cell>
        </row>
        <row r="1143">
          <cell r="U1143" t="str">
            <v>青羊店</v>
          </cell>
          <cell r="V1143" t="str">
            <v>2025-12-29</v>
          </cell>
          <cell r="W1143">
            <v>65.96</v>
          </cell>
        </row>
        <row r="1144">
          <cell r="U1144" t="str">
            <v>观音桥店</v>
          </cell>
          <cell r="V1144" t="str">
            <v>2025-12-29</v>
          </cell>
          <cell r="W1144">
            <v>91.35</v>
          </cell>
        </row>
        <row r="1145">
          <cell r="U1145" t="str">
            <v>西湖店</v>
          </cell>
          <cell r="V1145" t="str">
            <v>2025-12-29</v>
          </cell>
          <cell r="W1145">
            <v>69.13</v>
          </cell>
        </row>
        <row r="1146">
          <cell r="U1146" t="str">
            <v>诚毅店</v>
          </cell>
          <cell r="V1146" t="str">
            <v>2025-12-29</v>
          </cell>
          <cell r="W1146">
            <v>114.42</v>
          </cell>
        </row>
        <row r="1147">
          <cell r="U1147" t="str">
            <v>湖里店</v>
          </cell>
          <cell r="V1147" t="str">
            <v>2025-12-29</v>
          </cell>
          <cell r="W1147">
            <v>143.39</v>
          </cell>
        </row>
        <row r="1148">
          <cell r="U1148" t="str">
            <v>东新店</v>
          </cell>
          <cell r="V1148" t="str">
            <v>2025-12-29</v>
          </cell>
          <cell r="W1148">
            <v>116.29</v>
          </cell>
        </row>
        <row r="1149">
          <cell r="U1149" t="str">
            <v>大坪店</v>
          </cell>
          <cell r="V1149" t="str">
            <v>2025-12-29</v>
          </cell>
          <cell r="W1149">
            <v>94.86</v>
          </cell>
        </row>
        <row r="1150">
          <cell r="U1150" t="str">
            <v>凤城二路店</v>
          </cell>
          <cell r="V1150" t="str">
            <v>2025-12-29</v>
          </cell>
          <cell r="W1150">
            <v>147.29</v>
          </cell>
        </row>
        <row r="1151">
          <cell r="U1151" t="str">
            <v>洛江店</v>
          </cell>
          <cell r="V1151" t="str">
            <v>2025-12-29</v>
          </cell>
          <cell r="W1151">
            <v>62.09</v>
          </cell>
        </row>
        <row r="1152">
          <cell r="U1152" t="str">
            <v>官渡店</v>
          </cell>
          <cell r="V1152" t="str">
            <v>2025-12-29</v>
          </cell>
          <cell r="W1152">
            <v>28.55</v>
          </cell>
        </row>
        <row r="1153">
          <cell r="U1153" t="str">
            <v>武侯店</v>
          </cell>
          <cell r="V1153" t="str">
            <v>2025-12-29</v>
          </cell>
          <cell r="W1153">
            <v>42.8</v>
          </cell>
        </row>
        <row r="1154">
          <cell r="U1154" t="str">
            <v>黄雁村店</v>
          </cell>
          <cell r="V1154" t="str">
            <v>2025-12-29</v>
          </cell>
          <cell r="W1154">
            <v>101</v>
          </cell>
        </row>
        <row r="1155">
          <cell r="U1155" t="str">
            <v>五华店</v>
          </cell>
          <cell r="V1155" t="str">
            <v>2025-12-29</v>
          </cell>
          <cell r="W1155">
            <v>45</v>
          </cell>
        </row>
        <row r="1156">
          <cell r="U1156" t="str">
            <v>长沙店</v>
          </cell>
          <cell r="V1156" t="str">
            <v>2025-12-29</v>
          </cell>
          <cell r="W1156">
            <v>45.64</v>
          </cell>
        </row>
        <row r="1157">
          <cell r="U1157" t="str">
            <v>鼓楼店</v>
          </cell>
          <cell r="V1157" t="str">
            <v>2025-12-29</v>
          </cell>
          <cell r="W1157">
            <v>126.38</v>
          </cell>
        </row>
        <row r="1158">
          <cell r="U1158" t="str">
            <v>文昌店</v>
          </cell>
          <cell r="V1158" t="str">
            <v>2025-12-29</v>
          </cell>
          <cell r="W1158">
            <v>36.12</v>
          </cell>
        </row>
        <row r="1159">
          <cell r="U1159" t="str">
            <v>百丈店</v>
          </cell>
          <cell r="V1159" t="str">
            <v>2025-12-29</v>
          </cell>
          <cell r="W1159">
            <v>53.95</v>
          </cell>
        </row>
        <row r="1160">
          <cell r="U1160" t="str">
            <v>观桥店</v>
          </cell>
          <cell r="V1160" t="str">
            <v>2025-12-29</v>
          </cell>
          <cell r="W1160">
            <v>47.82</v>
          </cell>
        </row>
        <row r="1161">
          <cell r="U1161" t="str">
            <v>余杭店</v>
          </cell>
          <cell r="V1161" t="str">
            <v>2025-12-29</v>
          </cell>
          <cell r="W1161">
            <v>145.7</v>
          </cell>
        </row>
        <row r="1162">
          <cell r="U1162" t="str">
            <v>首山店</v>
          </cell>
          <cell r="V1162" t="str">
            <v>2025-12-29</v>
          </cell>
          <cell r="W1162">
            <v>84.47</v>
          </cell>
        </row>
        <row r="1163">
          <cell r="U1163" t="str">
            <v>首南店</v>
          </cell>
          <cell r="V1163" t="str">
            <v>2025-12-29</v>
          </cell>
          <cell r="W1163">
            <v>60.36</v>
          </cell>
        </row>
        <row r="1164">
          <cell r="U1164" t="str">
            <v>滨江店</v>
          </cell>
          <cell r="V1164" t="str">
            <v>2025-12-29</v>
          </cell>
          <cell r="W1164">
            <v>145.61</v>
          </cell>
        </row>
        <row r="1165">
          <cell r="U1165" t="str">
            <v>启点店</v>
          </cell>
          <cell r="V1165" t="str">
            <v>2025-12-30</v>
          </cell>
          <cell r="W1165">
            <v>63.22</v>
          </cell>
        </row>
        <row r="1166">
          <cell r="U1166" t="str">
            <v>高新店</v>
          </cell>
          <cell r="V1166" t="str">
            <v>2025-12-30</v>
          </cell>
          <cell r="W1166">
            <v>81.75</v>
          </cell>
        </row>
        <row r="1167">
          <cell r="U1167" t="str">
            <v>金牛店</v>
          </cell>
          <cell r="V1167" t="str">
            <v>2025-12-30</v>
          </cell>
          <cell r="W1167">
            <v>87.75</v>
          </cell>
        </row>
        <row r="1168">
          <cell r="U1168" t="str">
            <v>成华店</v>
          </cell>
          <cell r="V1168" t="str">
            <v>2025-12-30</v>
          </cell>
          <cell r="W1168">
            <v>105.8</v>
          </cell>
        </row>
        <row r="1169">
          <cell r="U1169" t="str">
            <v>西山店</v>
          </cell>
          <cell r="V1169" t="str">
            <v>2025-12-30</v>
          </cell>
          <cell r="W1169">
            <v>39.98</v>
          </cell>
        </row>
        <row r="1170">
          <cell r="U1170" t="str">
            <v>百捷店</v>
          </cell>
          <cell r="V1170" t="str">
            <v>2025-12-30</v>
          </cell>
          <cell r="W1170">
            <v>67.88</v>
          </cell>
        </row>
        <row r="1171">
          <cell r="U1171" t="str">
            <v>沙坪坝店</v>
          </cell>
          <cell r="V1171" t="str">
            <v>2025-12-30</v>
          </cell>
          <cell r="W1171">
            <v>92.54</v>
          </cell>
        </row>
        <row r="1172">
          <cell r="U1172" t="str">
            <v>五路口店</v>
          </cell>
          <cell r="V1172" t="str">
            <v>2025-12-30</v>
          </cell>
          <cell r="W1172">
            <v>46.97</v>
          </cell>
        </row>
        <row r="1173">
          <cell r="U1173" t="str">
            <v>济南店</v>
          </cell>
          <cell r="V1173" t="str">
            <v>2025-12-30</v>
          </cell>
          <cell r="W1173">
            <v>108.72</v>
          </cell>
        </row>
        <row r="1174">
          <cell r="U1174" t="str">
            <v>青羊店</v>
          </cell>
          <cell r="V1174" t="str">
            <v>2025-12-30</v>
          </cell>
          <cell r="W1174">
            <v>101.35</v>
          </cell>
        </row>
        <row r="1175">
          <cell r="U1175" t="str">
            <v>观音桥店</v>
          </cell>
          <cell r="V1175" t="str">
            <v>2025-12-30</v>
          </cell>
          <cell r="W1175">
            <v>119.42</v>
          </cell>
        </row>
        <row r="1176">
          <cell r="U1176" t="str">
            <v>西湖店</v>
          </cell>
          <cell r="V1176" t="str">
            <v>2025-12-30</v>
          </cell>
          <cell r="W1176">
            <v>111.3</v>
          </cell>
        </row>
        <row r="1177">
          <cell r="U1177" t="str">
            <v>诚毅店</v>
          </cell>
          <cell r="V1177" t="str">
            <v>2025-12-30</v>
          </cell>
          <cell r="W1177">
            <v>111.78</v>
          </cell>
        </row>
        <row r="1178">
          <cell r="U1178" t="str">
            <v>湖里店</v>
          </cell>
          <cell r="V1178" t="str">
            <v>2025-12-30</v>
          </cell>
          <cell r="W1178">
            <v>142.99</v>
          </cell>
        </row>
        <row r="1179">
          <cell r="U1179" t="str">
            <v>东新店</v>
          </cell>
          <cell r="V1179" t="str">
            <v>2025-12-30</v>
          </cell>
          <cell r="W1179">
            <v>159.16</v>
          </cell>
        </row>
        <row r="1180">
          <cell r="U1180" t="str">
            <v>大坪店</v>
          </cell>
          <cell r="V1180" t="str">
            <v>2025-12-30</v>
          </cell>
          <cell r="W1180">
            <v>139.05</v>
          </cell>
        </row>
        <row r="1181">
          <cell r="U1181" t="str">
            <v>凤城二路店</v>
          </cell>
          <cell r="V1181" t="str">
            <v>2025-12-30</v>
          </cell>
          <cell r="W1181">
            <v>106.82</v>
          </cell>
        </row>
        <row r="1182">
          <cell r="U1182" t="str">
            <v>洛江店</v>
          </cell>
          <cell r="V1182" t="str">
            <v>2025-12-30</v>
          </cell>
          <cell r="W1182">
            <v>53.89</v>
          </cell>
        </row>
        <row r="1183">
          <cell r="U1183" t="str">
            <v>官渡店</v>
          </cell>
          <cell r="V1183" t="str">
            <v>2025-12-30</v>
          </cell>
          <cell r="W1183">
            <v>48.28</v>
          </cell>
        </row>
        <row r="1184">
          <cell r="U1184" t="str">
            <v>武侯店</v>
          </cell>
          <cell r="V1184" t="str">
            <v>2025-12-30</v>
          </cell>
          <cell r="W1184">
            <v>85.06</v>
          </cell>
        </row>
        <row r="1185">
          <cell r="U1185" t="str">
            <v>黄雁村店</v>
          </cell>
          <cell r="V1185" t="str">
            <v>2025-12-30</v>
          </cell>
          <cell r="W1185">
            <v>100.1</v>
          </cell>
        </row>
        <row r="1186">
          <cell r="U1186" t="str">
            <v>五华店</v>
          </cell>
          <cell r="V1186" t="str">
            <v>2025-12-30</v>
          </cell>
          <cell r="W1186">
            <v>34.24</v>
          </cell>
        </row>
        <row r="1187">
          <cell r="U1187" t="str">
            <v>长沙店</v>
          </cell>
          <cell r="V1187" t="str">
            <v>2025-12-30</v>
          </cell>
          <cell r="W1187">
            <v>88.11</v>
          </cell>
        </row>
        <row r="1188">
          <cell r="U1188" t="str">
            <v>鼓楼店</v>
          </cell>
          <cell r="V1188" t="str">
            <v>2025-12-30</v>
          </cell>
          <cell r="W1188">
            <v>101.57</v>
          </cell>
        </row>
        <row r="1189">
          <cell r="U1189" t="str">
            <v>文昌店</v>
          </cell>
          <cell r="V1189" t="str">
            <v>2025-12-30</v>
          </cell>
          <cell r="W1189">
            <v>31.83</v>
          </cell>
        </row>
        <row r="1190">
          <cell r="U1190" t="str">
            <v>百丈店</v>
          </cell>
          <cell r="V1190" t="str">
            <v>2025-12-30</v>
          </cell>
          <cell r="W1190">
            <v>64.47</v>
          </cell>
        </row>
        <row r="1191">
          <cell r="U1191" t="str">
            <v>观桥店</v>
          </cell>
          <cell r="V1191" t="str">
            <v>2025-12-30</v>
          </cell>
          <cell r="W1191">
            <v>46.69</v>
          </cell>
        </row>
        <row r="1192">
          <cell r="U1192" t="str">
            <v>余杭店</v>
          </cell>
          <cell r="V1192" t="str">
            <v>2025-12-30</v>
          </cell>
          <cell r="W1192">
            <v>103.39</v>
          </cell>
        </row>
        <row r="1193">
          <cell r="U1193" t="str">
            <v>首山店</v>
          </cell>
          <cell r="V1193" t="str">
            <v>2025-12-30</v>
          </cell>
          <cell r="W1193">
            <v>87.91</v>
          </cell>
        </row>
        <row r="1194">
          <cell r="U1194" t="str">
            <v>首南店</v>
          </cell>
          <cell r="V1194" t="str">
            <v>2025-12-30</v>
          </cell>
          <cell r="W1194">
            <v>89.71</v>
          </cell>
        </row>
        <row r="1195">
          <cell r="U1195" t="str">
            <v>滨江店</v>
          </cell>
          <cell r="V1195" t="str">
            <v>2025-12-30</v>
          </cell>
          <cell r="W1195">
            <v>154.72</v>
          </cell>
        </row>
        <row r="1196">
          <cell r="U1196" t="str">
            <v>文灶店</v>
          </cell>
          <cell r="V1196" t="str">
            <v>2025-12-30</v>
          </cell>
          <cell r="W1196">
            <v>14.67</v>
          </cell>
        </row>
        <row r="1197">
          <cell r="U1197" t="str">
            <v>文灶店</v>
          </cell>
          <cell r="V1197" t="str">
            <v>2025-12-30</v>
          </cell>
          <cell r="W1197">
            <v>0</v>
          </cell>
        </row>
        <row r="1198">
          <cell r="U1198" t="str">
            <v>东海店</v>
          </cell>
          <cell r="V1198" t="str">
            <v>2025-12-30</v>
          </cell>
          <cell r="W1198">
            <v>27.31</v>
          </cell>
        </row>
        <row r="1199">
          <cell r="U1199" t="str">
            <v>东海店</v>
          </cell>
          <cell r="V1199" t="str">
            <v>2025-12-30</v>
          </cell>
          <cell r="W1199">
            <v>7.08</v>
          </cell>
        </row>
        <row r="1200">
          <cell r="U1200" t="str">
            <v>启点店</v>
          </cell>
          <cell r="V1200" t="str">
            <v>2025-12-31</v>
          </cell>
          <cell r="W1200">
            <v>60.47</v>
          </cell>
        </row>
        <row r="1201">
          <cell r="U1201" t="str">
            <v>高新店</v>
          </cell>
          <cell r="V1201" t="str">
            <v>2025-12-31</v>
          </cell>
          <cell r="W1201">
            <v>51.99</v>
          </cell>
        </row>
        <row r="1202">
          <cell r="U1202" t="str">
            <v>金牛店</v>
          </cell>
          <cell r="V1202" t="str">
            <v>2025-12-31</v>
          </cell>
          <cell r="W1202">
            <v>61.72</v>
          </cell>
        </row>
        <row r="1203">
          <cell r="U1203" t="str">
            <v>成华店</v>
          </cell>
          <cell r="V1203" t="str">
            <v>2025-12-31</v>
          </cell>
          <cell r="W1203">
            <v>40.2</v>
          </cell>
        </row>
        <row r="1204">
          <cell r="U1204" t="str">
            <v>西山店</v>
          </cell>
          <cell r="V1204" t="str">
            <v>2025-12-31</v>
          </cell>
          <cell r="W1204">
            <v>17.06</v>
          </cell>
        </row>
        <row r="1205">
          <cell r="U1205" t="str">
            <v>百捷店</v>
          </cell>
          <cell r="V1205" t="str">
            <v>2025-12-31</v>
          </cell>
          <cell r="W1205">
            <v>68.02</v>
          </cell>
        </row>
        <row r="1206">
          <cell r="U1206" t="str">
            <v>沙坪坝店</v>
          </cell>
          <cell r="V1206" t="str">
            <v>2025-12-31</v>
          </cell>
          <cell r="W1206">
            <v>83.86</v>
          </cell>
        </row>
        <row r="1207">
          <cell r="U1207" t="str">
            <v>五路口店</v>
          </cell>
          <cell r="V1207" t="str">
            <v>2025-12-31</v>
          </cell>
          <cell r="W1207">
            <v>69.35</v>
          </cell>
        </row>
        <row r="1208">
          <cell r="U1208" t="str">
            <v>济南店</v>
          </cell>
          <cell r="V1208" t="str">
            <v>2025-12-31</v>
          </cell>
          <cell r="W1208">
            <v>68.88</v>
          </cell>
        </row>
        <row r="1209">
          <cell r="U1209" t="str">
            <v>青羊店</v>
          </cell>
          <cell r="V1209" t="str">
            <v>2025-12-31</v>
          </cell>
          <cell r="W1209">
            <v>57.16</v>
          </cell>
        </row>
        <row r="1210">
          <cell r="U1210" t="str">
            <v>观音桥店</v>
          </cell>
          <cell r="V1210" t="str">
            <v>2025-12-31</v>
          </cell>
          <cell r="W1210">
            <v>77.26</v>
          </cell>
        </row>
        <row r="1211">
          <cell r="U1211" t="str">
            <v>西湖店</v>
          </cell>
          <cell r="V1211" t="str">
            <v>2025-12-31</v>
          </cell>
          <cell r="W1211">
            <v>98.58</v>
          </cell>
        </row>
        <row r="1212">
          <cell r="U1212" t="str">
            <v>诚毅店</v>
          </cell>
          <cell r="V1212" t="str">
            <v>2025-12-31</v>
          </cell>
          <cell r="W1212">
            <v>53.74</v>
          </cell>
        </row>
        <row r="1213">
          <cell r="U1213" t="str">
            <v>湖里店</v>
          </cell>
          <cell r="V1213" t="str">
            <v>2025-12-31</v>
          </cell>
          <cell r="W1213">
            <v>97.3</v>
          </cell>
        </row>
        <row r="1214">
          <cell r="U1214" t="str">
            <v>东新店</v>
          </cell>
          <cell r="V1214" t="str">
            <v>2025-12-31</v>
          </cell>
          <cell r="W1214">
            <v>62.06</v>
          </cell>
        </row>
        <row r="1215">
          <cell r="U1215" t="str">
            <v>大坪店</v>
          </cell>
          <cell r="V1215" t="str">
            <v>2025-12-31</v>
          </cell>
          <cell r="W1215">
            <v>82.76</v>
          </cell>
        </row>
        <row r="1216">
          <cell r="U1216" t="str">
            <v>凤城二路店</v>
          </cell>
          <cell r="V1216" t="str">
            <v>2025-12-31</v>
          </cell>
          <cell r="W1216">
            <v>68.42</v>
          </cell>
        </row>
        <row r="1217">
          <cell r="U1217" t="str">
            <v>洛江店</v>
          </cell>
          <cell r="V1217" t="str">
            <v>2025-12-31</v>
          </cell>
          <cell r="W1217">
            <v>32.5</v>
          </cell>
        </row>
        <row r="1218">
          <cell r="U1218" t="str">
            <v>官渡店</v>
          </cell>
          <cell r="V1218" t="str">
            <v>2025-12-31</v>
          </cell>
          <cell r="W1218">
            <v>41.44</v>
          </cell>
        </row>
        <row r="1219">
          <cell r="U1219" t="str">
            <v>武侯店</v>
          </cell>
          <cell r="V1219" t="str">
            <v>2025-12-31</v>
          </cell>
          <cell r="W1219">
            <v>50.39</v>
          </cell>
        </row>
        <row r="1220">
          <cell r="U1220" t="str">
            <v>黄雁村店</v>
          </cell>
          <cell r="V1220" t="str">
            <v>2025-12-31</v>
          </cell>
          <cell r="W1220">
            <v>69.68</v>
          </cell>
        </row>
        <row r="1221">
          <cell r="U1221" t="str">
            <v>五华店</v>
          </cell>
          <cell r="V1221" t="str">
            <v>2025-12-31</v>
          </cell>
          <cell r="W1221">
            <v>33.95</v>
          </cell>
        </row>
        <row r="1222">
          <cell r="U1222" t="str">
            <v>长沙店</v>
          </cell>
          <cell r="V1222" t="str">
            <v>2025-12-31</v>
          </cell>
          <cell r="W1222">
            <v>76.52</v>
          </cell>
        </row>
        <row r="1223">
          <cell r="U1223" t="str">
            <v>鼓楼店</v>
          </cell>
          <cell r="V1223" t="str">
            <v>2025-12-31</v>
          </cell>
          <cell r="W1223">
            <v>104.95</v>
          </cell>
        </row>
        <row r="1224">
          <cell r="U1224" t="str">
            <v>文昌店</v>
          </cell>
          <cell r="V1224" t="str">
            <v>2025-12-31</v>
          </cell>
          <cell r="W1224">
            <v>13.24</v>
          </cell>
        </row>
        <row r="1225">
          <cell r="U1225" t="str">
            <v>百丈店</v>
          </cell>
          <cell r="V1225" t="str">
            <v>2025-12-31</v>
          </cell>
          <cell r="W1225">
            <v>50.25</v>
          </cell>
        </row>
        <row r="1226">
          <cell r="U1226" t="str">
            <v>观桥店</v>
          </cell>
          <cell r="V1226" t="str">
            <v>2025-12-31</v>
          </cell>
          <cell r="W1226">
            <v>50.65</v>
          </cell>
        </row>
        <row r="1227">
          <cell r="U1227" t="str">
            <v>余杭店</v>
          </cell>
          <cell r="V1227" t="str">
            <v>2025-12-31</v>
          </cell>
          <cell r="W1227">
            <v>88.54</v>
          </cell>
        </row>
        <row r="1228">
          <cell r="U1228" t="str">
            <v>首山店</v>
          </cell>
          <cell r="V1228" t="str">
            <v>2025-12-31</v>
          </cell>
          <cell r="W1228">
            <v>189.34</v>
          </cell>
        </row>
        <row r="1229">
          <cell r="U1229" t="str">
            <v>首南店</v>
          </cell>
          <cell r="V1229" t="str">
            <v>2025-12-31</v>
          </cell>
          <cell r="W1229">
            <v>82.11</v>
          </cell>
        </row>
        <row r="1230">
          <cell r="U1230" t="str">
            <v>滨江店</v>
          </cell>
          <cell r="V1230" t="str">
            <v>2025-12-31</v>
          </cell>
          <cell r="W1230">
            <v>125.79</v>
          </cell>
        </row>
        <row r="1231">
          <cell r="U1231" t="str">
            <v>文灶店</v>
          </cell>
          <cell r="V1231" t="str">
            <v>2025-12-31</v>
          </cell>
          <cell r="W1231">
            <v>23.33</v>
          </cell>
        </row>
        <row r="1232">
          <cell r="U1232" t="str">
            <v>文灶店</v>
          </cell>
          <cell r="V1232" t="str">
            <v>2025-12-31</v>
          </cell>
          <cell r="W1232">
            <v>16.11</v>
          </cell>
        </row>
        <row r="1233">
          <cell r="U1233" t="str">
            <v>东海店</v>
          </cell>
          <cell r="V1233" t="str">
            <v>2025-12-31</v>
          </cell>
          <cell r="W1233">
            <v>46.74</v>
          </cell>
        </row>
        <row r="1234">
          <cell r="U1234" t="str">
            <v>东海店</v>
          </cell>
          <cell r="V1234" t="str">
            <v>2025-12-31</v>
          </cell>
          <cell r="W1234">
            <v>6.73</v>
          </cell>
        </row>
        <row r="1235">
          <cell r="U1235" t="str">
            <v>启点店</v>
          </cell>
          <cell r="V1235" t="str">
            <v>2026-1-01</v>
          </cell>
          <cell r="W1235">
            <v>58.36</v>
          </cell>
        </row>
        <row r="1236">
          <cell r="U1236" t="str">
            <v>高新店</v>
          </cell>
          <cell r="V1236" t="str">
            <v>2026-1-01</v>
          </cell>
          <cell r="W1236">
            <v>8.02</v>
          </cell>
        </row>
        <row r="1237">
          <cell r="U1237" t="str">
            <v>金牛店</v>
          </cell>
          <cell r="V1237" t="str">
            <v>2026-1-01</v>
          </cell>
          <cell r="W1237">
            <v>0</v>
          </cell>
        </row>
        <row r="1238">
          <cell r="U1238" t="str">
            <v>成华店</v>
          </cell>
          <cell r="V1238" t="str">
            <v>2026-1-01</v>
          </cell>
          <cell r="W1238">
            <v>0</v>
          </cell>
        </row>
        <row r="1239">
          <cell r="U1239" t="str">
            <v>西山店</v>
          </cell>
          <cell r="V1239" t="str">
            <v>2026-1-01</v>
          </cell>
          <cell r="W1239">
            <v>3.65</v>
          </cell>
        </row>
        <row r="1240">
          <cell r="U1240" t="str">
            <v>百捷店</v>
          </cell>
          <cell r="V1240" t="str">
            <v>2026-1-01</v>
          </cell>
          <cell r="W1240">
            <v>7.68</v>
          </cell>
        </row>
        <row r="1241">
          <cell r="U1241" t="str">
            <v>沙坪坝店</v>
          </cell>
          <cell r="V1241" t="str">
            <v>2026-1-01</v>
          </cell>
          <cell r="W1241">
            <v>7.77</v>
          </cell>
        </row>
        <row r="1242">
          <cell r="U1242" t="str">
            <v>五路口店</v>
          </cell>
          <cell r="V1242" t="str">
            <v>2026-1-01</v>
          </cell>
          <cell r="W1242">
            <v>89.24</v>
          </cell>
        </row>
        <row r="1243">
          <cell r="U1243" t="str">
            <v>济南店</v>
          </cell>
          <cell r="V1243" t="str">
            <v>2026-1-01</v>
          </cell>
          <cell r="W1243">
            <v>111.58</v>
          </cell>
        </row>
        <row r="1244">
          <cell r="U1244" t="str">
            <v>青羊店</v>
          </cell>
          <cell r="V1244" t="str">
            <v>2026-1-01</v>
          </cell>
          <cell r="W1244">
            <v>3.2</v>
          </cell>
        </row>
        <row r="1245">
          <cell r="U1245" t="str">
            <v>观音桥店</v>
          </cell>
          <cell r="V1245" t="str">
            <v>2026-1-01</v>
          </cell>
          <cell r="W1245">
            <v>7.84</v>
          </cell>
        </row>
        <row r="1246">
          <cell r="U1246" t="str">
            <v>西湖店</v>
          </cell>
          <cell r="V1246" t="str">
            <v>2026-1-01</v>
          </cell>
          <cell r="W1246">
            <v>75.83</v>
          </cell>
        </row>
        <row r="1247">
          <cell r="U1247" t="str">
            <v>诚毅店</v>
          </cell>
          <cell r="V1247" t="str">
            <v>2026-1-01</v>
          </cell>
          <cell r="W1247">
            <v>83.2</v>
          </cell>
        </row>
        <row r="1248">
          <cell r="U1248" t="str">
            <v>湖里店</v>
          </cell>
          <cell r="V1248" t="str">
            <v>2026-1-01</v>
          </cell>
          <cell r="W1248">
            <v>0</v>
          </cell>
        </row>
        <row r="1249">
          <cell r="U1249" t="str">
            <v>东新店</v>
          </cell>
          <cell r="V1249" t="str">
            <v>2026-1-01</v>
          </cell>
          <cell r="W1249">
            <v>61.98</v>
          </cell>
        </row>
        <row r="1250">
          <cell r="U1250" t="str">
            <v>大坪店</v>
          </cell>
          <cell r="V1250" t="str">
            <v>2026-1-01</v>
          </cell>
          <cell r="W1250">
            <v>8.91</v>
          </cell>
        </row>
        <row r="1251">
          <cell r="U1251" t="str">
            <v>凤城二路店</v>
          </cell>
          <cell r="V1251" t="str">
            <v>2026-1-01</v>
          </cell>
          <cell r="W1251">
            <v>83.13</v>
          </cell>
        </row>
        <row r="1252">
          <cell r="U1252" t="str">
            <v>洛江店</v>
          </cell>
          <cell r="V1252" t="str">
            <v>2026-1-01</v>
          </cell>
          <cell r="W1252">
            <v>0</v>
          </cell>
        </row>
        <row r="1253">
          <cell r="U1253" t="str">
            <v>官渡店</v>
          </cell>
          <cell r="V1253" t="str">
            <v>2026-1-01</v>
          </cell>
          <cell r="W1253">
            <v>5.26</v>
          </cell>
        </row>
        <row r="1254">
          <cell r="U1254" t="str">
            <v>武侯店</v>
          </cell>
          <cell r="V1254" t="str">
            <v>2026-1-01</v>
          </cell>
          <cell r="W1254">
            <v>0</v>
          </cell>
        </row>
        <row r="1255">
          <cell r="U1255" t="str">
            <v>黄雁村店</v>
          </cell>
          <cell r="V1255" t="str">
            <v>2026-1-01</v>
          </cell>
          <cell r="W1255">
            <v>85.81</v>
          </cell>
        </row>
        <row r="1256">
          <cell r="U1256" t="str">
            <v>五华店</v>
          </cell>
          <cell r="V1256" t="str">
            <v>2026-1-01</v>
          </cell>
          <cell r="W1256">
            <v>4.11</v>
          </cell>
        </row>
        <row r="1257">
          <cell r="U1257" t="str">
            <v>长沙店</v>
          </cell>
          <cell r="V1257" t="str">
            <v>2026-1-01</v>
          </cell>
          <cell r="W1257">
            <v>40.81</v>
          </cell>
        </row>
        <row r="1258">
          <cell r="U1258" t="str">
            <v>鼓楼店</v>
          </cell>
          <cell r="V1258" t="str">
            <v>2026-1-01</v>
          </cell>
          <cell r="W1258">
            <v>17.93</v>
          </cell>
        </row>
        <row r="1259">
          <cell r="U1259" t="str">
            <v>文昌店</v>
          </cell>
          <cell r="V1259" t="str">
            <v>2026-1-01</v>
          </cell>
          <cell r="W1259">
            <v>25.42</v>
          </cell>
        </row>
        <row r="1260">
          <cell r="U1260" t="str">
            <v>百丈店</v>
          </cell>
          <cell r="V1260" t="str">
            <v>2026-1-01</v>
          </cell>
          <cell r="W1260">
            <v>73.44</v>
          </cell>
        </row>
        <row r="1261">
          <cell r="U1261" t="str">
            <v>观桥店</v>
          </cell>
          <cell r="V1261" t="str">
            <v>2026-1-01</v>
          </cell>
          <cell r="W1261">
            <v>9.27</v>
          </cell>
        </row>
        <row r="1262">
          <cell r="U1262" t="str">
            <v>余杭店</v>
          </cell>
          <cell r="V1262" t="str">
            <v>2026-1-01</v>
          </cell>
          <cell r="W1262">
            <v>101.98</v>
          </cell>
        </row>
        <row r="1263">
          <cell r="U1263" t="str">
            <v>首山店</v>
          </cell>
          <cell r="V1263" t="str">
            <v>2026-1-01</v>
          </cell>
          <cell r="W1263">
            <v>75.89</v>
          </cell>
        </row>
        <row r="1264">
          <cell r="U1264" t="str">
            <v>首南店</v>
          </cell>
          <cell r="V1264" t="str">
            <v>2026-1-01</v>
          </cell>
          <cell r="W1264">
            <v>89.72</v>
          </cell>
        </row>
        <row r="1265">
          <cell r="U1265" t="str">
            <v>滨江店</v>
          </cell>
          <cell r="V1265" t="str">
            <v>2026-1-01</v>
          </cell>
          <cell r="W1265">
            <v>109.22</v>
          </cell>
        </row>
        <row r="1266">
          <cell r="U1266" t="str">
            <v>东海店</v>
          </cell>
          <cell r="V1266" t="str">
            <v>2026-1-01</v>
          </cell>
          <cell r="W1266">
            <v>29.16</v>
          </cell>
        </row>
        <row r="1267">
          <cell r="U1267" t="str">
            <v>东海店</v>
          </cell>
          <cell r="V1267" t="str">
            <v>2026-1-01</v>
          </cell>
          <cell r="W1267">
            <v>0</v>
          </cell>
        </row>
        <row r="1268">
          <cell r="U1268" t="str">
            <v>启点店</v>
          </cell>
          <cell r="V1268" t="str">
            <v>2026-1-02</v>
          </cell>
          <cell r="W1268">
            <v>78.58</v>
          </cell>
        </row>
        <row r="1269">
          <cell r="U1269" t="str">
            <v>高新店</v>
          </cell>
          <cell r="V1269" t="str">
            <v>2026-1-02</v>
          </cell>
          <cell r="W1269">
            <v>45.8</v>
          </cell>
        </row>
        <row r="1270">
          <cell r="U1270" t="str">
            <v>金牛店</v>
          </cell>
          <cell r="V1270" t="str">
            <v>2026-1-02</v>
          </cell>
          <cell r="W1270">
            <v>23.66</v>
          </cell>
        </row>
        <row r="1271">
          <cell r="U1271" t="str">
            <v>成华店</v>
          </cell>
          <cell r="V1271" t="str">
            <v>2026-1-02</v>
          </cell>
          <cell r="W1271">
            <v>30.74</v>
          </cell>
        </row>
        <row r="1272">
          <cell r="U1272" t="str">
            <v>西山店</v>
          </cell>
          <cell r="V1272" t="str">
            <v>2026-1-02</v>
          </cell>
          <cell r="W1272">
            <v>9.66</v>
          </cell>
        </row>
        <row r="1273">
          <cell r="U1273" t="str">
            <v>百捷店</v>
          </cell>
          <cell r="V1273" t="str">
            <v>2026-1-02</v>
          </cell>
          <cell r="W1273">
            <v>40.59</v>
          </cell>
        </row>
        <row r="1274">
          <cell r="U1274" t="str">
            <v>沙坪坝店</v>
          </cell>
          <cell r="V1274" t="str">
            <v>2026-1-02</v>
          </cell>
          <cell r="W1274">
            <v>22.71</v>
          </cell>
        </row>
        <row r="1275">
          <cell r="U1275" t="str">
            <v>五路口店</v>
          </cell>
          <cell r="V1275" t="str">
            <v>2026-1-02</v>
          </cell>
          <cell r="W1275">
            <v>71.55</v>
          </cell>
        </row>
        <row r="1276">
          <cell r="U1276" t="str">
            <v>济南店</v>
          </cell>
          <cell r="V1276" t="str">
            <v>2026-1-02</v>
          </cell>
          <cell r="W1276">
            <v>121.7</v>
          </cell>
        </row>
        <row r="1277">
          <cell r="U1277" t="str">
            <v>青羊店</v>
          </cell>
          <cell r="V1277" t="str">
            <v>2026-1-02</v>
          </cell>
          <cell r="W1277">
            <v>36.06</v>
          </cell>
        </row>
        <row r="1278">
          <cell r="U1278" t="str">
            <v>观音桥店</v>
          </cell>
          <cell r="V1278" t="str">
            <v>2026-1-02</v>
          </cell>
          <cell r="W1278">
            <v>64.66</v>
          </cell>
        </row>
        <row r="1279">
          <cell r="U1279" t="str">
            <v>西湖店</v>
          </cell>
          <cell r="V1279" t="str">
            <v>2026-1-02</v>
          </cell>
          <cell r="W1279">
            <v>127.73</v>
          </cell>
        </row>
        <row r="1280">
          <cell r="U1280" t="str">
            <v>诚毅店</v>
          </cell>
          <cell r="V1280" t="str">
            <v>2026-1-02</v>
          </cell>
          <cell r="W1280">
            <v>66.19</v>
          </cell>
        </row>
        <row r="1281">
          <cell r="U1281" t="str">
            <v>湖里店</v>
          </cell>
          <cell r="V1281" t="str">
            <v>2026-1-02</v>
          </cell>
          <cell r="W1281">
            <v>53.94</v>
          </cell>
        </row>
        <row r="1282">
          <cell r="U1282" t="str">
            <v>东新店</v>
          </cell>
          <cell r="V1282" t="str">
            <v>2026-1-02</v>
          </cell>
          <cell r="W1282">
            <v>89.97</v>
          </cell>
        </row>
        <row r="1283">
          <cell r="U1283" t="str">
            <v>大坪店</v>
          </cell>
          <cell r="V1283" t="str">
            <v>2026-1-02</v>
          </cell>
          <cell r="W1283">
            <v>74.51</v>
          </cell>
        </row>
        <row r="1284">
          <cell r="U1284" t="str">
            <v>凤城二路店</v>
          </cell>
          <cell r="V1284" t="str">
            <v>2026-1-02</v>
          </cell>
          <cell r="W1284">
            <v>115.29</v>
          </cell>
        </row>
        <row r="1285">
          <cell r="U1285" t="str">
            <v>洛江店</v>
          </cell>
          <cell r="V1285" t="str">
            <v>2026-1-02</v>
          </cell>
          <cell r="W1285">
            <v>0</v>
          </cell>
        </row>
        <row r="1286">
          <cell r="U1286" t="str">
            <v>官渡店</v>
          </cell>
          <cell r="V1286" t="str">
            <v>2026-1-02</v>
          </cell>
          <cell r="W1286">
            <v>28.06</v>
          </cell>
        </row>
        <row r="1287">
          <cell r="U1287" t="str">
            <v>武侯店</v>
          </cell>
          <cell r="V1287" t="str">
            <v>2026-1-02</v>
          </cell>
          <cell r="W1287">
            <v>2.26</v>
          </cell>
        </row>
        <row r="1288">
          <cell r="U1288" t="str">
            <v>黄雁村店</v>
          </cell>
          <cell r="V1288" t="str">
            <v>2026-1-02</v>
          </cell>
          <cell r="W1288">
            <v>124.05</v>
          </cell>
        </row>
        <row r="1289">
          <cell r="U1289" t="str">
            <v>五华店</v>
          </cell>
          <cell r="V1289" t="str">
            <v>2026-1-02</v>
          </cell>
          <cell r="W1289">
            <v>39.45</v>
          </cell>
        </row>
        <row r="1290">
          <cell r="U1290" t="str">
            <v>长沙店</v>
          </cell>
          <cell r="V1290" t="str">
            <v>2026-1-02</v>
          </cell>
          <cell r="W1290">
            <v>85.1</v>
          </cell>
        </row>
        <row r="1291">
          <cell r="U1291" t="str">
            <v>鼓楼店</v>
          </cell>
          <cell r="V1291" t="str">
            <v>2026-1-02</v>
          </cell>
          <cell r="W1291">
            <v>57.75</v>
          </cell>
        </row>
        <row r="1292">
          <cell r="U1292" t="str">
            <v>文昌店</v>
          </cell>
          <cell r="V1292" t="str">
            <v>2026-1-02</v>
          </cell>
          <cell r="W1292">
            <v>13.66</v>
          </cell>
        </row>
        <row r="1293">
          <cell r="U1293" t="str">
            <v>百丈店</v>
          </cell>
          <cell r="V1293" t="str">
            <v>2026-1-02</v>
          </cell>
          <cell r="W1293">
            <v>59.96</v>
          </cell>
        </row>
        <row r="1294">
          <cell r="U1294" t="str">
            <v>观桥店</v>
          </cell>
          <cell r="V1294" t="str">
            <v>2026-1-02</v>
          </cell>
          <cell r="W1294">
            <v>21.81</v>
          </cell>
        </row>
        <row r="1295">
          <cell r="U1295" t="str">
            <v>余杭店</v>
          </cell>
          <cell r="V1295" t="str">
            <v>2026-1-02</v>
          </cell>
          <cell r="W1295">
            <v>114.35</v>
          </cell>
        </row>
        <row r="1296">
          <cell r="U1296" t="str">
            <v>首山店</v>
          </cell>
          <cell r="V1296" t="str">
            <v>2026-1-02</v>
          </cell>
          <cell r="W1296">
            <v>61.53</v>
          </cell>
        </row>
        <row r="1297">
          <cell r="U1297" t="str">
            <v>首南店</v>
          </cell>
          <cell r="V1297" t="str">
            <v>2026-1-02</v>
          </cell>
          <cell r="W1297">
            <v>83.17</v>
          </cell>
        </row>
        <row r="1298">
          <cell r="U1298" t="str">
            <v>滨江店</v>
          </cell>
          <cell r="V1298" t="str">
            <v>2026-1-02</v>
          </cell>
          <cell r="W1298">
            <v>140.23</v>
          </cell>
        </row>
        <row r="1299">
          <cell r="U1299" t="str">
            <v>文灶店</v>
          </cell>
          <cell r="V1299" t="str">
            <v>2026-1-02</v>
          </cell>
          <cell r="W1299">
            <v>0</v>
          </cell>
        </row>
        <row r="1300">
          <cell r="U1300" t="str">
            <v>东海店</v>
          </cell>
          <cell r="V1300" t="str">
            <v>2026-1-02</v>
          </cell>
          <cell r="W1300">
            <v>42.6</v>
          </cell>
        </row>
        <row r="1301">
          <cell r="U1301" t="str">
            <v>东海店</v>
          </cell>
          <cell r="V1301" t="str">
            <v>2026-1-02</v>
          </cell>
          <cell r="W1301">
            <v>3.27</v>
          </cell>
        </row>
        <row r="1302">
          <cell r="U1302" t="str">
            <v>启点店</v>
          </cell>
          <cell r="V1302" t="str">
            <v>2026-1-03</v>
          </cell>
          <cell r="W1302">
            <v>60.46</v>
          </cell>
        </row>
        <row r="1303">
          <cell r="U1303" t="str">
            <v>高新店</v>
          </cell>
          <cell r="V1303" t="str">
            <v>2026-1-03</v>
          </cell>
          <cell r="W1303">
            <v>43.99</v>
          </cell>
        </row>
        <row r="1304">
          <cell r="U1304" t="str">
            <v>金牛店</v>
          </cell>
          <cell r="V1304" t="str">
            <v>2026-1-03</v>
          </cell>
          <cell r="W1304">
            <v>30.93</v>
          </cell>
        </row>
        <row r="1305">
          <cell r="U1305" t="str">
            <v>成华店</v>
          </cell>
          <cell r="V1305" t="str">
            <v>2026-1-03</v>
          </cell>
          <cell r="W1305">
            <v>24.91</v>
          </cell>
        </row>
        <row r="1306">
          <cell r="U1306" t="str">
            <v>西山店</v>
          </cell>
          <cell r="V1306" t="str">
            <v>2026-1-03</v>
          </cell>
          <cell r="W1306">
            <v>15.46</v>
          </cell>
        </row>
        <row r="1307">
          <cell r="U1307" t="str">
            <v>百捷店</v>
          </cell>
          <cell r="V1307" t="str">
            <v>2026-1-03</v>
          </cell>
          <cell r="W1307">
            <v>31.68</v>
          </cell>
        </row>
        <row r="1308">
          <cell r="U1308" t="str">
            <v>沙坪坝店</v>
          </cell>
          <cell r="V1308" t="str">
            <v>2026-1-03</v>
          </cell>
          <cell r="W1308">
            <v>27.06</v>
          </cell>
        </row>
        <row r="1309">
          <cell r="U1309" t="str">
            <v>五路口店</v>
          </cell>
          <cell r="V1309" t="str">
            <v>2026-1-03</v>
          </cell>
          <cell r="W1309">
            <v>73.83</v>
          </cell>
        </row>
        <row r="1310">
          <cell r="U1310" t="str">
            <v>济南店</v>
          </cell>
          <cell r="V1310" t="str">
            <v>2026-1-03</v>
          </cell>
          <cell r="W1310">
            <v>102.51</v>
          </cell>
        </row>
        <row r="1311">
          <cell r="U1311" t="str">
            <v>青羊店</v>
          </cell>
          <cell r="V1311" t="str">
            <v>2026-1-03</v>
          </cell>
          <cell r="W1311">
            <v>30.97</v>
          </cell>
        </row>
        <row r="1312">
          <cell r="U1312" t="str">
            <v>观音桥店</v>
          </cell>
          <cell r="V1312" t="str">
            <v>2026-1-03</v>
          </cell>
          <cell r="W1312">
            <v>66.3</v>
          </cell>
        </row>
        <row r="1313">
          <cell r="U1313" t="str">
            <v>西湖店</v>
          </cell>
          <cell r="V1313" t="str">
            <v>2026-1-03</v>
          </cell>
          <cell r="W1313">
            <v>93.04</v>
          </cell>
        </row>
        <row r="1314">
          <cell r="U1314" t="str">
            <v>诚毅店</v>
          </cell>
          <cell r="V1314" t="str">
            <v>2026-1-03</v>
          </cell>
          <cell r="W1314">
            <v>68.92</v>
          </cell>
        </row>
        <row r="1315">
          <cell r="U1315" t="str">
            <v>湖里店</v>
          </cell>
          <cell r="V1315" t="str">
            <v>2026-1-03</v>
          </cell>
          <cell r="W1315">
            <v>86.63</v>
          </cell>
        </row>
        <row r="1316">
          <cell r="U1316" t="str">
            <v>东新店</v>
          </cell>
          <cell r="V1316" t="str">
            <v>2026-1-03</v>
          </cell>
          <cell r="W1316">
            <v>86.12</v>
          </cell>
        </row>
        <row r="1317">
          <cell r="U1317" t="str">
            <v>大坪店</v>
          </cell>
          <cell r="V1317" t="str">
            <v>2026-1-03</v>
          </cell>
          <cell r="W1317">
            <v>60.3</v>
          </cell>
        </row>
        <row r="1318">
          <cell r="U1318" t="str">
            <v>凤城二路店</v>
          </cell>
          <cell r="V1318" t="str">
            <v>2026-1-03</v>
          </cell>
          <cell r="W1318">
            <v>116.09</v>
          </cell>
        </row>
        <row r="1319">
          <cell r="U1319" t="str">
            <v>洛江店</v>
          </cell>
          <cell r="V1319" t="str">
            <v>2026-1-03</v>
          </cell>
          <cell r="W1319">
            <v>38.74</v>
          </cell>
        </row>
        <row r="1320">
          <cell r="U1320" t="str">
            <v>官渡店</v>
          </cell>
          <cell r="V1320" t="str">
            <v>2026-1-03</v>
          </cell>
          <cell r="W1320">
            <v>26.69</v>
          </cell>
        </row>
        <row r="1321">
          <cell r="U1321" t="str">
            <v>武侯店</v>
          </cell>
          <cell r="V1321" t="str">
            <v>2026-1-03</v>
          </cell>
          <cell r="W1321">
            <v>2.09</v>
          </cell>
        </row>
        <row r="1322">
          <cell r="U1322" t="str">
            <v>黄雁村店</v>
          </cell>
          <cell r="V1322" t="str">
            <v>2026-1-03</v>
          </cell>
          <cell r="W1322">
            <v>99.9</v>
          </cell>
        </row>
        <row r="1323">
          <cell r="U1323" t="str">
            <v>五华店</v>
          </cell>
          <cell r="V1323" t="str">
            <v>2026-1-03</v>
          </cell>
          <cell r="W1323">
            <v>36.91</v>
          </cell>
        </row>
        <row r="1324">
          <cell r="U1324" t="str">
            <v>长沙店</v>
          </cell>
          <cell r="V1324" t="str">
            <v>2026-1-03</v>
          </cell>
          <cell r="W1324">
            <v>65.33</v>
          </cell>
        </row>
        <row r="1325">
          <cell r="U1325" t="str">
            <v>鼓楼店</v>
          </cell>
          <cell r="V1325" t="str">
            <v>2026-1-03</v>
          </cell>
          <cell r="W1325">
            <v>75.13</v>
          </cell>
        </row>
        <row r="1326">
          <cell r="U1326" t="str">
            <v>文昌店</v>
          </cell>
          <cell r="V1326" t="str">
            <v>2026-1-03</v>
          </cell>
          <cell r="W1326">
            <v>13.17</v>
          </cell>
        </row>
        <row r="1327">
          <cell r="U1327" t="str">
            <v>百丈店</v>
          </cell>
          <cell r="V1327" t="str">
            <v>2026-1-03</v>
          </cell>
          <cell r="W1327">
            <v>69.62</v>
          </cell>
        </row>
        <row r="1328">
          <cell r="U1328" t="str">
            <v>观桥店</v>
          </cell>
          <cell r="V1328" t="str">
            <v>2026-1-03</v>
          </cell>
          <cell r="W1328">
            <v>30.58</v>
          </cell>
        </row>
        <row r="1329">
          <cell r="U1329" t="str">
            <v>余杭店</v>
          </cell>
          <cell r="V1329" t="str">
            <v>2026-1-03</v>
          </cell>
          <cell r="W1329">
            <v>84.03</v>
          </cell>
        </row>
        <row r="1330">
          <cell r="U1330" t="str">
            <v>首山店</v>
          </cell>
          <cell r="V1330" t="str">
            <v>2026-1-03</v>
          </cell>
          <cell r="W1330">
            <v>63.92</v>
          </cell>
        </row>
        <row r="1331">
          <cell r="U1331" t="str">
            <v>首南店</v>
          </cell>
          <cell r="V1331" t="str">
            <v>2026-1-03</v>
          </cell>
          <cell r="W1331">
            <v>98.18</v>
          </cell>
        </row>
        <row r="1332">
          <cell r="U1332" t="str">
            <v>滨江店</v>
          </cell>
          <cell r="V1332" t="str">
            <v>2026-1-03</v>
          </cell>
          <cell r="W1332">
            <v>75.95</v>
          </cell>
        </row>
        <row r="1333">
          <cell r="U1333" t="str">
            <v>东海店</v>
          </cell>
          <cell r="V1333" t="str">
            <v>2026-1-03</v>
          </cell>
          <cell r="W1333">
            <v>48.76</v>
          </cell>
        </row>
        <row r="1334">
          <cell r="U1334" t="str">
            <v>东海店</v>
          </cell>
          <cell r="V1334" t="str">
            <v>2026-1-03</v>
          </cell>
          <cell r="W1334">
            <v>9.78</v>
          </cell>
        </row>
        <row r="1335">
          <cell r="U1335" t="str">
            <v>启点店</v>
          </cell>
          <cell r="V1335" t="str">
            <v>2026-1-04</v>
          </cell>
          <cell r="W1335">
            <v>67.37</v>
          </cell>
        </row>
        <row r="1336">
          <cell r="U1336" t="str">
            <v>高新店</v>
          </cell>
          <cell r="V1336" t="str">
            <v>2026-1-04</v>
          </cell>
          <cell r="W1336">
            <v>48.67</v>
          </cell>
        </row>
        <row r="1337">
          <cell r="U1337" t="str">
            <v>金牛店</v>
          </cell>
          <cell r="V1337" t="str">
            <v>2026-1-04</v>
          </cell>
          <cell r="W1337">
            <v>41.7</v>
          </cell>
        </row>
        <row r="1338">
          <cell r="U1338" t="str">
            <v>成华店</v>
          </cell>
          <cell r="V1338" t="str">
            <v>2026-1-04</v>
          </cell>
          <cell r="W1338">
            <v>29.26</v>
          </cell>
        </row>
        <row r="1339">
          <cell r="U1339" t="str">
            <v>西山店</v>
          </cell>
          <cell r="V1339" t="str">
            <v>2026-1-04</v>
          </cell>
          <cell r="W1339">
            <v>15.9</v>
          </cell>
        </row>
        <row r="1340">
          <cell r="U1340" t="str">
            <v>百捷店</v>
          </cell>
          <cell r="V1340" t="str">
            <v>2026-1-04</v>
          </cell>
          <cell r="W1340">
            <v>30.92</v>
          </cell>
        </row>
        <row r="1341">
          <cell r="U1341" t="str">
            <v>沙坪坝店</v>
          </cell>
          <cell r="V1341" t="str">
            <v>2026-1-04</v>
          </cell>
          <cell r="W1341">
            <v>26</v>
          </cell>
        </row>
        <row r="1342">
          <cell r="U1342" t="str">
            <v>五路口店</v>
          </cell>
          <cell r="V1342" t="str">
            <v>2026-1-04</v>
          </cell>
          <cell r="W1342">
            <v>65.67</v>
          </cell>
        </row>
        <row r="1343">
          <cell r="U1343" t="str">
            <v>济南店</v>
          </cell>
          <cell r="V1343" t="str">
            <v>2026-1-04</v>
          </cell>
          <cell r="W1343">
            <v>95.66</v>
          </cell>
        </row>
        <row r="1344">
          <cell r="U1344" t="str">
            <v>青羊店</v>
          </cell>
          <cell r="V1344" t="str">
            <v>2026-1-04</v>
          </cell>
          <cell r="W1344">
            <v>39.42</v>
          </cell>
        </row>
        <row r="1345">
          <cell r="U1345" t="str">
            <v>观音桥店</v>
          </cell>
          <cell r="V1345" t="str">
            <v>2026-1-04</v>
          </cell>
          <cell r="W1345">
            <v>93.69</v>
          </cell>
        </row>
        <row r="1346">
          <cell r="U1346" t="str">
            <v>西湖店</v>
          </cell>
          <cell r="V1346" t="str">
            <v>2026-1-04</v>
          </cell>
          <cell r="W1346">
            <v>138.69</v>
          </cell>
        </row>
        <row r="1347">
          <cell r="U1347" t="str">
            <v>诚毅店</v>
          </cell>
          <cell r="V1347" t="str">
            <v>2026-1-04</v>
          </cell>
          <cell r="W1347">
            <v>79.38</v>
          </cell>
        </row>
        <row r="1348">
          <cell r="U1348" t="str">
            <v>湖里店</v>
          </cell>
          <cell r="V1348" t="str">
            <v>2026-1-04</v>
          </cell>
          <cell r="W1348">
            <v>92.4</v>
          </cell>
        </row>
        <row r="1349">
          <cell r="U1349" t="str">
            <v>东新店</v>
          </cell>
          <cell r="V1349" t="str">
            <v>2026-1-04</v>
          </cell>
          <cell r="W1349">
            <v>66.54</v>
          </cell>
        </row>
        <row r="1350">
          <cell r="U1350" t="str">
            <v>大坪店</v>
          </cell>
          <cell r="V1350" t="str">
            <v>2026-1-04</v>
          </cell>
          <cell r="W1350">
            <v>74.3</v>
          </cell>
        </row>
        <row r="1351">
          <cell r="U1351" t="str">
            <v>凤城二路店</v>
          </cell>
          <cell r="V1351" t="str">
            <v>2026-1-04</v>
          </cell>
          <cell r="W1351">
            <v>89.33</v>
          </cell>
        </row>
        <row r="1352">
          <cell r="U1352" t="str">
            <v>洛江店</v>
          </cell>
          <cell r="V1352" t="str">
            <v>2026-1-04</v>
          </cell>
          <cell r="W1352">
            <v>29.21</v>
          </cell>
        </row>
        <row r="1353">
          <cell r="U1353" t="str">
            <v>官渡店</v>
          </cell>
          <cell r="V1353" t="str">
            <v>2026-1-04</v>
          </cell>
          <cell r="W1353">
            <v>22.11</v>
          </cell>
        </row>
        <row r="1354">
          <cell r="U1354" t="str">
            <v>武侯店</v>
          </cell>
          <cell r="V1354" t="str">
            <v>2026-1-04</v>
          </cell>
          <cell r="W1354">
            <v>3.72</v>
          </cell>
        </row>
        <row r="1355">
          <cell r="U1355" t="str">
            <v>黄雁村店</v>
          </cell>
          <cell r="V1355" t="str">
            <v>2026-1-04</v>
          </cell>
          <cell r="W1355">
            <v>89.89</v>
          </cell>
        </row>
        <row r="1356">
          <cell r="U1356" t="str">
            <v>五华店</v>
          </cell>
          <cell r="V1356" t="str">
            <v>2026-1-04</v>
          </cell>
          <cell r="W1356">
            <v>25.06</v>
          </cell>
        </row>
        <row r="1357">
          <cell r="U1357" t="str">
            <v>长沙店</v>
          </cell>
          <cell r="V1357" t="str">
            <v>2026-1-04</v>
          </cell>
          <cell r="W1357">
            <v>70.54</v>
          </cell>
        </row>
        <row r="1358">
          <cell r="U1358" t="str">
            <v>鼓楼店</v>
          </cell>
          <cell r="V1358" t="str">
            <v>2026-1-04</v>
          </cell>
          <cell r="W1358">
            <v>56.48</v>
          </cell>
        </row>
        <row r="1359">
          <cell r="U1359" t="str">
            <v>文昌店</v>
          </cell>
          <cell r="V1359" t="str">
            <v>2026-1-04</v>
          </cell>
          <cell r="W1359">
            <v>25.44</v>
          </cell>
        </row>
        <row r="1360">
          <cell r="U1360" t="str">
            <v>百丈店</v>
          </cell>
          <cell r="V1360" t="str">
            <v>2026-1-04</v>
          </cell>
          <cell r="W1360">
            <v>78.13</v>
          </cell>
        </row>
        <row r="1361">
          <cell r="U1361" t="str">
            <v>观桥店</v>
          </cell>
          <cell r="V1361" t="str">
            <v>2026-1-04</v>
          </cell>
          <cell r="W1361">
            <v>43.96</v>
          </cell>
        </row>
        <row r="1362">
          <cell r="U1362" t="str">
            <v>余杭店</v>
          </cell>
          <cell r="V1362" t="str">
            <v>2026-1-04</v>
          </cell>
          <cell r="W1362">
            <v>113.54</v>
          </cell>
        </row>
        <row r="1363">
          <cell r="U1363" t="str">
            <v>首山店</v>
          </cell>
          <cell r="V1363" t="str">
            <v>2026-1-04</v>
          </cell>
          <cell r="W1363">
            <v>45.02</v>
          </cell>
        </row>
        <row r="1364">
          <cell r="U1364" t="str">
            <v>首南店</v>
          </cell>
          <cell r="V1364" t="str">
            <v>2026-1-04</v>
          </cell>
          <cell r="W1364">
            <v>143.45</v>
          </cell>
        </row>
        <row r="1365">
          <cell r="U1365" t="str">
            <v>滨江店</v>
          </cell>
          <cell r="V1365" t="str">
            <v>2026-1-04</v>
          </cell>
          <cell r="W1365">
            <v>92.9</v>
          </cell>
        </row>
        <row r="1366">
          <cell r="U1366" t="str">
            <v>东海店</v>
          </cell>
          <cell r="V1366" t="str">
            <v>2026-1-04</v>
          </cell>
          <cell r="W1366">
            <v>32.82</v>
          </cell>
        </row>
        <row r="1367">
          <cell r="U1367" t="str">
            <v>东海店</v>
          </cell>
          <cell r="V1367" t="str">
            <v>2026-1-04</v>
          </cell>
          <cell r="W1367">
            <v>1.69</v>
          </cell>
        </row>
        <row r="1368">
          <cell r="U1368" t="str">
            <v>启点店</v>
          </cell>
          <cell r="V1368" t="str">
            <v>2026-1-05</v>
          </cell>
          <cell r="W1368">
            <v>69.53</v>
          </cell>
        </row>
        <row r="1369">
          <cell r="U1369" t="str">
            <v>高新店</v>
          </cell>
          <cell r="V1369" t="str">
            <v>2026-1-05</v>
          </cell>
          <cell r="W1369">
            <v>57.08</v>
          </cell>
        </row>
        <row r="1370">
          <cell r="U1370" t="str">
            <v>金牛店</v>
          </cell>
          <cell r="V1370" t="str">
            <v>2026-1-05</v>
          </cell>
          <cell r="W1370">
            <v>27.66</v>
          </cell>
        </row>
        <row r="1371">
          <cell r="U1371" t="str">
            <v>成华店</v>
          </cell>
          <cell r="V1371" t="str">
            <v>2026-1-05</v>
          </cell>
          <cell r="W1371">
            <v>34.71</v>
          </cell>
        </row>
        <row r="1372">
          <cell r="U1372" t="str">
            <v>西山店</v>
          </cell>
          <cell r="V1372" t="str">
            <v>2026-1-05</v>
          </cell>
          <cell r="W1372">
            <v>4.94</v>
          </cell>
        </row>
        <row r="1373">
          <cell r="U1373" t="str">
            <v>百捷店</v>
          </cell>
          <cell r="V1373" t="str">
            <v>2026-1-05</v>
          </cell>
          <cell r="W1373">
            <v>40.12</v>
          </cell>
        </row>
        <row r="1374">
          <cell r="U1374" t="str">
            <v>沙坪坝店</v>
          </cell>
          <cell r="V1374" t="str">
            <v>2026-1-05</v>
          </cell>
          <cell r="W1374">
            <v>27.24</v>
          </cell>
        </row>
        <row r="1375">
          <cell r="U1375" t="str">
            <v>五路口店</v>
          </cell>
          <cell r="V1375" t="str">
            <v>2026-1-05</v>
          </cell>
          <cell r="W1375">
            <v>69.04</v>
          </cell>
        </row>
        <row r="1376">
          <cell r="U1376" t="str">
            <v>济南店</v>
          </cell>
          <cell r="V1376" t="str">
            <v>2026-1-05</v>
          </cell>
          <cell r="W1376">
            <v>66.17</v>
          </cell>
        </row>
        <row r="1377">
          <cell r="U1377" t="str">
            <v>青羊店</v>
          </cell>
          <cell r="V1377" t="str">
            <v>2026-1-05</v>
          </cell>
          <cell r="W1377">
            <v>30.08</v>
          </cell>
        </row>
        <row r="1378">
          <cell r="U1378" t="str">
            <v>观音桥店</v>
          </cell>
          <cell r="V1378" t="str">
            <v>2026-1-05</v>
          </cell>
          <cell r="W1378">
            <v>55.34</v>
          </cell>
        </row>
        <row r="1379">
          <cell r="U1379" t="str">
            <v>西湖店</v>
          </cell>
          <cell r="V1379" t="str">
            <v>2026-1-05</v>
          </cell>
          <cell r="W1379">
            <v>84.47</v>
          </cell>
        </row>
        <row r="1380">
          <cell r="U1380" t="str">
            <v>诚毅店</v>
          </cell>
          <cell r="V1380" t="str">
            <v>2026-1-05</v>
          </cell>
          <cell r="W1380">
            <v>69.1</v>
          </cell>
        </row>
        <row r="1381">
          <cell r="U1381" t="str">
            <v>湖里店</v>
          </cell>
          <cell r="V1381" t="str">
            <v>2026-1-05</v>
          </cell>
          <cell r="W1381">
            <v>94.84</v>
          </cell>
        </row>
        <row r="1382">
          <cell r="U1382" t="str">
            <v>东新店</v>
          </cell>
          <cell r="V1382" t="str">
            <v>2026-1-05</v>
          </cell>
          <cell r="W1382">
            <v>96.04</v>
          </cell>
        </row>
        <row r="1383">
          <cell r="U1383" t="str">
            <v>大坪店</v>
          </cell>
          <cell r="V1383" t="str">
            <v>2026-1-05</v>
          </cell>
          <cell r="W1383">
            <v>52.44</v>
          </cell>
        </row>
        <row r="1384">
          <cell r="U1384" t="str">
            <v>凤城二路店</v>
          </cell>
          <cell r="V1384" t="str">
            <v>2026-1-05</v>
          </cell>
          <cell r="W1384">
            <v>77.05</v>
          </cell>
        </row>
        <row r="1385">
          <cell r="U1385" t="str">
            <v>洛江店</v>
          </cell>
          <cell r="V1385" t="str">
            <v>2026-1-05</v>
          </cell>
          <cell r="W1385">
            <v>24.33</v>
          </cell>
        </row>
        <row r="1386">
          <cell r="U1386" t="str">
            <v>官渡店</v>
          </cell>
          <cell r="V1386" t="str">
            <v>2026-1-05</v>
          </cell>
          <cell r="W1386">
            <v>18.66</v>
          </cell>
        </row>
        <row r="1387">
          <cell r="U1387" t="str">
            <v>武侯店</v>
          </cell>
          <cell r="V1387" t="str">
            <v>2026-1-05</v>
          </cell>
          <cell r="W1387">
            <v>3.37</v>
          </cell>
        </row>
        <row r="1388">
          <cell r="U1388" t="str">
            <v>黄雁村店</v>
          </cell>
          <cell r="V1388" t="str">
            <v>2026-1-05</v>
          </cell>
          <cell r="W1388">
            <v>63.88</v>
          </cell>
        </row>
        <row r="1389">
          <cell r="U1389" t="str">
            <v>五华店</v>
          </cell>
          <cell r="V1389" t="str">
            <v>2026-1-05</v>
          </cell>
          <cell r="W1389">
            <v>31.33</v>
          </cell>
        </row>
        <row r="1390">
          <cell r="U1390" t="str">
            <v>长沙店</v>
          </cell>
          <cell r="V1390" t="str">
            <v>2026-1-05</v>
          </cell>
          <cell r="W1390">
            <v>51.25</v>
          </cell>
        </row>
        <row r="1391">
          <cell r="U1391" t="str">
            <v>鼓楼店</v>
          </cell>
          <cell r="V1391" t="str">
            <v>2026-1-05</v>
          </cell>
          <cell r="W1391">
            <v>95.54</v>
          </cell>
        </row>
        <row r="1392">
          <cell r="U1392" t="str">
            <v>文昌店</v>
          </cell>
          <cell r="V1392" t="str">
            <v>2026-1-05</v>
          </cell>
          <cell r="W1392">
            <v>19.64</v>
          </cell>
        </row>
        <row r="1393">
          <cell r="U1393" t="str">
            <v>百丈店</v>
          </cell>
          <cell r="V1393" t="str">
            <v>2026-1-05</v>
          </cell>
          <cell r="W1393">
            <v>59.52</v>
          </cell>
        </row>
        <row r="1394">
          <cell r="U1394" t="str">
            <v>观桥店</v>
          </cell>
          <cell r="V1394" t="str">
            <v>2026-1-05</v>
          </cell>
          <cell r="W1394">
            <v>26.81</v>
          </cell>
        </row>
        <row r="1395">
          <cell r="U1395" t="str">
            <v>余杭店</v>
          </cell>
          <cell r="V1395" t="str">
            <v>2026-1-05</v>
          </cell>
          <cell r="W1395">
            <v>82.08</v>
          </cell>
        </row>
        <row r="1396">
          <cell r="U1396" t="str">
            <v>首山店</v>
          </cell>
          <cell r="V1396" t="str">
            <v>2026-1-05</v>
          </cell>
          <cell r="W1396">
            <v>45.03</v>
          </cell>
        </row>
        <row r="1397">
          <cell r="U1397" t="str">
            <v>首南店</v>
          </cell>
          <cell r="V1397" t="str">
            <v>2026-1-05</v>
          </cell>
          <cell r="W1397">
            <v>82.75</v>
          </cell>
        </row>
        <row r="1398">
          <cell r="U1398" t="str">
            <v>滨江店</v>
          </cell>
          <cell r="V1398" t="str">
            <v>2026-1-05</v>
          </cell>
          <cell r="W1398">
            <v>98.15</v>
          </cell>
        </row>
        <row r="1399">
          <cell r="U1399" t="str">
            <v>文灶店</v>
          </cell>
          <cell r="V1399" t="str">
            <v>2026-1-05</v>
          </cell>
          <cell r="W1399">
            <v>0</v>
          </cell>
        </row>
        <row r="1400">
          <cell r="U1400" t="str">
            <v>东海店</v>
          </cell>
          <cell r="V1400" t="str">
            <v>2026-1-05</v>
          </cell>
          <cell r="W1400">
            <v>18.45</v>
          </cell>
        </row>
        <row r="1401">
          <cell r="U1401" t="str">
            <v>东海店</v>
          </cell>
          <cell r="V1401" t="str">
            <v>2026-1-05</v>
          </cell>
          <cell r="W1401">
            <v>0.91</v>
          </cell>
        </row>
        <row r="1402">
          <cell r="U1402" t="str">
            <v>启点店</v>
          </cell>
          <cell r="V1402" t="str">
            <v>2026-1-06</v>
          </cell>
          <cell r="W1402">
            <v>65.32</v>
          </cell>
        </row>
        <row r="1403">
          <cell r="U1403" t="str">
            <v>高新店</v>
          </cell>
          <cell r="V1403" t="str">
            <v>2026-1-06</v>
          </cell>
          <cell r="W1403">
            <v>37.69</v>
          </cell>
        </row>
        <row r="1404">
          <cell r="U1404" t="str">
            <v>金牛店</v>
          </cell>
          <cell r="V1404" t="str">
            <v>2026-1-06</v>
          </cell>
          <cell r="W1404">
            <v>0</v>
          </cell>
        </row>
        <row r="1405">
          <cell r="U1405" t="str">
            <v>成华店</v>
          </cell>
          <cell r="V1405" t="str">
            <v>2026-1-06</v>
          </cell>
          <cell r="W1405">
            <v>39.24</v>
          </cell>
        </row>
        <row r="1406">
          <cell r="U1406" t="str">
            <v>西山店</v>
          </cell>
          <cell r="V1406" t="str">
            <v>2026-1-06</v>
          </cell>
          <cell r="W1406">
            <v>17.8</v>
          </cell>
        </row>
        <row r="1407">
          <cell r="U1407" t="str">
            <v>百捷店</v>
          </cell>
          <cell r="V1407" t="str">
            <v>2026-1-06</v>
          </cell>
          <cell r="W1407">
            <v>16.88</v>
          </cell>
        </row>
        <row r="1408">
          <cell r="U1408" t="str">
            <v>沙坪坝店</v>
          </cell>
          <cell r="V1408" t="str">
            <v>2026-1-06</v>
          </cell>
          <cell r="W1408">
            <v>30.63</v>
          </cell>
        </row>
        <row r="1409">
          <cell r="U1409" t="str">
            <v>五路口店</v>
          </cell>
          <cell r="V1409" t="str">
            <v>2026-1-06</v>
          </cell>
          <cell r="W1409">
            <v>52.92</v>
          </cell>
        </row>
        <row r="1410">
          <cell r="U1410" t="str">
            <v>济南店</v>
          </cell>
          <cell r="V1410" t="str">
            <v>2026-1-06</v>
          </cell>
          <cell r="W1410">
            <v>90.89</v>
          </cell>
        </row>
        <row r="1411">
          <cell r="U1411" t="str">
            <v>青羊店</v>
          </cell>
          <cell r="V1411" t="str">
            <v>2026-1-06</v>
          </cell>
          <cell r="W1411">
            <v>27.97</v>
          </cell>
        </row>
        <row r="1412">
          <cell r="U1412" t="str">
            <v>观音桥店</v>
          </cell>
          <cell r="V1412" t="str">
            <v>2026-1-06</v>
          </cell>
          <cell r="W1412">
            <v>53.77</v>
          </cell>
        </row>
        <row r="1413">
          <cell r="U1413" t="str">
            <v>西湖店</v>
          </cell>
          <cell r="V1413" t="str">
            <v>2026-1-06</v>
          </cell>
          <cell r="W1413">
            <v>109.32</v>
          </cell>
        </row>
        <row r="1414">
          <cell r="U1414" t="str">
            <v>诚毅店</v>
          </cell>
          <cell r="V1414" t="str">
            <v>2026-1-06</v>
          </cell>
          <cell r="W1414">
            <v>45.64</v>
          </cell>
        </row>
        <row r="1415">
          <cell r="U1415" t="str">
            <v>湖里店</v>
          </cell>
          <cell r="V1415" t="str">
            <v>2026-1-06</v>
          </cell>
          <cell r="W1415">
            <v>56.27</v>
          </cell>
        </row>
        <row r="1416">
          <cell r="U1416" t="str">
            <v>东新店</v>
          </cell>
          <cell r="V1416" t="str">
            <v>2026-1-06</v>
          </cell>
          <cell r="W1416">
            <v>80.58</v>
          </cell>
        </row>
        <row r="1417">
          <cell r="U1417" t="str">
            <v>大坪店</v>
          </cell>
          <cell r="V1417" t="str">
            <v>2026-1-06</v>
          </cell>
          <cell r="W1417">
            <v>53.3</v>
          </cell>
        </row>
        <row r="1418">
          <cell r="U1418" t="str">
            <v>凤城二路店</v>
          </cell>
          <cell r="V1418" t="str">
            <v>2026-1-06</v>
          </cell>
          <cell r="W1418">
            <v>88.72</v>
          </cell>
        </row>
        <row r="1419">
          <cell r="U1419" t="str">
            <v>洛江店</v>
          </cell>
          <cell r="V1419" t="str">
            <v>2026-1-06</v>
          </cell>
          <cell r="W1419">
            <v>19.67</v>
          </cell>
        </row>
        <row r="1420">
          <cell r="U1420" t="str">
            <v>官渡店</v>
          </cell>
          <cell r="V1420" t="str">
            <v>2026-1-06</v>
          </cell>
          <cell r="W1420">
            <v>31.68</v>
          </cell>
        </row>
        <row r="1421">
          <cell r="U1421" t="str">
            <v>武侯店</v>
          </cell>
          <cell r="V1421" t="str">
            <v>2026-1-06</v>
          </cell>
          <cell r="W1421">
            <v>1.98</v>
          </cell>
        </row>
        <row r="1422">
          <cell r="U1422" t="str">
            <v>黄雁村店</v>
          </cell>
          <cell r="V1422" t="str">
            <v>2026-1-06</v>
          </cell>
          <cell r="W1422">
            <v>60.14</v>
          </cell>
        </row>
        <row r="1423">
          <cell r="U1423" t="str">
            <v>五华店</v>
          </cell>
          <cell r="V1423" t="str">
            <v>2026-1-06</v>
          </cell>
          <cell r="W1423">
            <v>30.44</v>
          </cell>
        </row>
        <row r="1424">
          <cell r="U1424" t="str">
            <v>长沙店</v>
          </cell>
          <cell r="V1424" t="str">
            <v>2026-1-06</v>
          </cell>
          <cell r="W1424">
            <v>107.64</v>
          </cell>
        </row>
        <row r="1425">
          <cell r="U1425" t="str">
            <v>鼓楼店</v>
          </cell>
          <cell r="V1425" t="str">
            <v>2026-1-06</v>
          </cell>
          <cell r="W1425">
            <v>113.62</v>
          </cell>
        </row>
        <row r="1426">
          <cell r="U1426" t="str">
            <v>文昌店</v>
          </cell>
          <cell r="V1426" t="str">
            <v>2026-1-06</v>
          </cell>
          <cell r="W1426">
            <v>27.77</v>
          </cell>
        </row>
        <row r="1427">
          <cell r="U1427" t="str">
            <v>百丈店</v>
          </cell>
          <cell r="V1427" t="str">
            <v>2026-1-06</v>
          </cell>
          <cell r="W1427">
            <v>68.5</v>
          </cell>
        </row>
        <row r="1428">
          <cell r="U1428" t="str">
            <v>观桥店</v>
          </cell>
          <cell r="V1428" t="str">
            <v>2026-1-06</v>
          </cell>
          <cell r="W1428">
            <v>33.61</v>
          </cell>
        </row>
        <row r="1429">
          <cell r="U1429" t="str">
            <v>余杭店</v>
          </cell>
          <cell r="V1429" t="str">
            <v>2026-1-06</v>
          </cell>
          <cell r="W1429">
            <v>92.91</v>
          </cell>
        </row>
        <row r="1430">
          <cell r="U1430" t="str">
            <v>首山店</v>
          </cell>
          <cell r="V1430" t="str">
            <v>2026-1-06</v>
          </cell>
          <cell r="W1430">
            <v>95.35</v>
          </cell>
        </row>
        <row r="1431">
          <cell r="U1431" t="str">
            <v>首南店</v>
          </cell>
          <cell r="V1431" t="str">
            <v>2026-1-06</v>
          </cell>
          <cell r="W1431">
            <v>83.91</v>
          </cell>
        </row>
        <row r="1432">
          <cell r="U1432" t="str">
            <v>滨江店</v>
          </cell>
          <cell r="V1432" t="str">
            <v>2026-1-06</v>
          </cell>
          <cell r="W1432">
            <v>134.46</v>
          </cell>
        </row>
        <row r="1433">
          <cell r="U1433" t="str">
            <v>东海店</v>
          </cell>
          <cell r="V1433" t="str">
            <v>2026-1-06</v>
          </cell>
          <cell r="W1433">
            <v>28.25</v>
          </cell>
        </row>
        <row r="1434">
          <cell r="U1434" t="str">
            <v>东海店</v>
          </cell>
          <cell r="V1434" t="str">
            <v>2026-1-06</v>
          </cell>
          <cell r="W1434">
            <v>4.6</v>
          </cell>
        </row>
        <row r="1435">
          <cell r="U1435" t="str">
            <v>启点店</v>
          </cell>
          <cell r="V1435" t="str">
            <v>2026-1-07</v>
          </cell>
          <cell r="W1435">
            <v>65.64</v>
          </cell>
        </row>
        <row r="1436">
          <cell r="U1436" t="str">
            <v>高新店</v>
          </cell>
          <cell r="V1436" t="str">
            <v>2026-1-07</v>
          </cell>
          <cell r="W1436">
            <v>46.97</v>
          </cell>
        </row>
        <row r="1437">
          <cell r="U1437" t="str">
            <v>金牛店</v>
          </cell>
          <cell r="V1437" t="str">
            <v>2026-1-07</v>
          </cell>
          <cell r="W1437">
            <v>12.76</v>
          </cell>
        </row>
        <row r="1438">
          <cell r="U1438" t="str">
            <v>成华店</v>
          </cell>
          <cell r="V1438" t="str">
            <v>2026-1-07</v>
          </cell>
          <cell r="W1438">
            <v>47.52</v>
          </cell>
        </row>
        <row r="1439">
          <cell r="U1439" t="str">
            <v>西山店</v>
          </cell>
          <cell r="V1439" t="str">
            <v>2026-1-07</v>
          </cell>
          <cell r="W1439">
            <v>7.94</v>
          </cell>
        </row>
        <row r="1440">
          <cell r="U1440" t="str">
            <v>百捷店</v>
          </cell>
          <cell r="V1440" t="str">
            <v>2026-1-07</v>
          </cell>
          <cell r="W1440">
            <v>37.28</v>
          </cell>
        </row>
        <row r="1441">
          <cell r="U1441" t="str">
            <v>沙坪坝店</v>
          </cell>
          <cell r="V1441" t="str">
            <v>2026-1-07</v>
          </cell>
          <cell r="W1441">
            <v>33.93</v>
          </cell>
        </row>
        <row r="1442">
          <cell r="U1442" t="str">
            <v>五路口店</v>
          </cell>
          <cell r="V1442" t="str">
            <v>2026-1-07</v>
          </cell>
          <cell r="W1442">
            <v>56.18</v>
          </cell>
        </row>
        <row r="1443">
          <cell r="U1443" t="str">
            <v>济南店</v>
          </cell>
          <cell r="V1443" t="str">
            <v>2026-1-07</v>
          </cell>
          <cell r="W1443">
            <v>90.64</v>
          </cell>
        </row>
        <row r="1444">
          <cell r="U1444" t="str">
            <v>青羊店</v>
          </cell>
          <cell r="V1444" t="str">
            <v>2026-1-07</v>
          </cell>
          <cell r="W1444">
            <v>19.99</v>
          </cell>
        </row>
        <row r="1445">
          <cell r="U1445" t="str">
            <v>观音桥店</v>
          </cell>
          <cell r="V1445" t="str">
            <v>2026-1-07</v>
          </cell>
          <cell r="W1445">
            <v>66.92</v>
          </cell>
        </row>
        <row r="1446">
          <cell r="U1446" t="str">
            <v>西湖店</v>
          </cell>
          <cell r="V1446" t="str">
            <v>2026-1-07</v>
          </cell>
          <cell r="W1446">
            <v>81.93</v>
          </cell>
        </row>
        <row r="1447">
          <cell r="U1447" t="str">
            <v>诚毅店</v>
          </cell>
          <cell r="V1447" t="str">
            <v>2026-1-07</v>
          </cell>
          <cell r="W1447">
            <v>76.89</v>
          </cell>
        </row>
        <row r="1448">
          <cell r="U1448" t="str">
            <v>湖里店</v>
          </cell>
          <cell r="V1448" t="str">
            <v>2026-1-07</v>
          </cell>
          <cell r="W1448">
            <v>101.91</v>
          </cell>
        </row>
        <row r="1449">
          <cell r="U1449" t="str">
            <v>东新店</v>
          </cell>
          <cell r="V1449" t="str">
            <v>2026-1-07</v>
          </cell>
          <cell r="W1449">
            <v>78.66</v>
          </cell>
        </row>
        <row r="1450">
          <cell r="U1450" t="str">
            <v>大坪店</v>
          </cell>
          <cell r="V1450" t="str">
            <v>2026-1-07</v>
          </cell>
          <cell r="W1450">
            <v>48.08</v>
          </cell>
        </row>
        <row r="1451">
          <cell r="U1451" t="str">
            <v>凤城二路店</v>
          </cell>
          <cell r="V1451" t="str">
            <v>2026-1-07</v>
          </cell>
          <cell r="W1451">
            <v>53.44</v>
          </cell>
        </row>
        <row r="1452">
          <cell r="U1452" t="str">
            <v>洛江店</v>
          </cell>
          <cell r="V1452" t="str">
            <v>2026-1-07</v>
          </cell>
          <cell r="W1452">
            <v>30.3</v>
          </cell>
        </row>
        <row r="1453">
          <cell r="U1453" t="str">
            <v>官渡店</v>
          </cell>
          <cell r="V1453" t="str">
            <v>2026-1-07</v>
          </cell>
          <cell r="W1453">
            <v>40.98</v>
          </cell>
        </row>
        <row r="1454">
          <cell r="U1454" t="str">
            <v>武侯店</v>
          </cell>
          <cell r="V1454" t="str">
            <v>2026-1-07</v>
          </cell>
          <cell r="W1454">
            <v>0.21</v>
          </cell>
        </row>
        <row r="1455">
          <cell r="U1455" t="str">
            <v>黄雁村店</v>
          </cell>
          <cell r="V1455" t="str">
            <v>2026-1-07</v>
          </cell>
          <cell r="W1455">
            <v>34.89</v>
          </cell>
        </row>
        <row r="1456">
          <cell r="U1456" t="str">
            <v>五华店</v>
          </cell>
          <cell r="V1456" t="str">
            <v>2026-1-07</v>
          </cell>
          <cell r="W1456">
            <v>21.28</v>
          </cell>
        </row>
        <row r="1457">
          <cell r="U1457" t="str">
            <v>长沙店</v>
          </cell>
          <cell r="V1457" t="str">
            <v>2026-1-07</v>
          </cell>
          <cell r="W1457">
            <v>46.82</v>
          </cell>
        </row>
        <row r="1458">
          <cell r="U1458" t="str">
            <v>鼓楼店</v>
          </cell>
          <cell r="V1458" t="str">
            <v>2026-1-07</v>
          </cell>
          <cell r="W1458">
            <v>67.27</v>
          </cell>
        </row>
        <row r="1459">
          <cell r="U1459" t="str">
            <v>文昌店</v>
          </cell>
          <cell r="V1459" t="str">
            <v>2026-1-07</v>
          </cell>
          <cell r="W1459">
            <v>19.96</v>
          </cell>
        </row>
        <row r="1460">
          <cell r="U1460" t="str">
            <v>百丈店</v>
          </cell>
          <cell r="V1460" t="str">
            <v>2026-1-07</v>
          </cell>
          <cell r="W1460">
            <v>52</v>
          </cell>
        </row>
        <row r="1461">
          <cell r="U1461" t="str">
            <v>观桥店</v>
          </cell>
          <cell r="V1461" t="str">
            <v>2026-1-07</v>
          </cell>
          <cell r="W1461">
            <v>30.87</v>
          </cell>
        </row>
        <row r="1462">
          <cell r="U1462" t="str">
            <v>余杭店</v>
          </cell>
          <cell r="V1462" t="str">
            <v>2026-1-07</v>
          </cell>
          <cell r="W1462">
            <v>85.72</v>
          </cell>
        </row>
        <row r="1463">
          <cell r="U1463" t="str">
            <v>首山店</v>
          </cell>
          <cell r="V1463" t="str">
            <v>2026-1-07</v>
          </cell>
          <cell r="W1463">
            <v>56.31</v>
          </cell>
        </row>
        <row r="1464">
          <cell r="U1464" t="str">
            <v>首南店</v>
          </cell>
          <cell r="V1464" t="str">
            <v>2026-1-07</v>
          </cell>
          <cell r="W1464">
            <v>134.77</v>
          </cell>
        </row>
        <row r="1465">
          <cell r="U1465" t="str">
            <v>滨江店</v>
          </cell>
          <cell r="V1465" t="str">
            <v>2026-1-07</v>
          </cell>
          <cell r="W1465">
            <v>140.36</v>
          </cell>
        </row>
        <row r="1466">
          <cell r="U1466" t="str">
            <v>东海店</v>
          </cell>
          <cell r="V1466" t="str">
            <v>2026-1-07</v>
          </cell>
          <cell r="W1466">
            <v>38.61</v>
          </cell>
        </row>
        <row r="1467">
          <cell r="U1467" t="str">
            <v>东海店</v>
          </cell>
          <cell r="V1467" t="str">
            <v>2026-1-07</v>
          </cell>
          <cell r="W1467">
            <v>4.05</v>
          </cell>
        </row>
        <row r="1468">
          <cell r="U1468" t="str">
            <v>启点店</v>
          </cell>
          <cell r="V1468" t="str">
            <v>2026-1-08</v>
          </cell>
          <cell r="W1468">
            <v>73.35</v>
          </cell>
        </row>
        <row r="1469">
          <cell r="U1469" t="str">
            <v>高新店</v>
          </cell>
          <cell r="V1469" t="str">
            <v>2026-1-08</v>
          </cell>
          <cell r="W1469">
            <v>43.7</v>
          </cell>
        </row>
        <row r="1470">
          <cell r="U1470" t="str">
            <v>金牛店</v>
          </cell>
          <cell r="V1470" t="str">
            <v>2026-1-08</v>
          </cell>
          <cell r="W1470">
            <v>30.48</v>
          </cell>
        </row>
        <row r="1471">
          <cell r="U1471" t="str">
            <v>成华店</v>
          </cell>
          <cell r="V1471" t="str">
            <v>2026-1-08</v>
          </cell>
          <cell r="W1471">
            <v>30.75</v>
          </cell>
        </row>
        <row r="1472">
          <cell r="U1472" t="str">
            <v>西山店</v>
          </cell>
          <cell r="V1472" t="str">
            <v>2026-1-08</v>
          </cell>
          <cell r="W1472">
            <v>25.47</v>
          </cell>
        </row>
        <row r="1473">
          <cell r="U1473" t="str">
            <v>百捷店</v>
          </cell>
          <cell r="V1473" t="str">
            <v>2026-1-08</v>
          </cell>
          <cell r="W1473">
            <v>43.66</v>
          </cell>
        </row>
        <row r="1474">
          <cell r="U1474" t="str">
            <v>沙坪坝店</v>
          </cell>
          <cell r="V1474" t="str">
            <v>2026-1-08</v>
          </cell>
          <cell r="W1474">
            <v>29.08</v>
          </cell>
        </row>
        <row r="1475">
          <cell r="U1475" t="str">
            <v>五路口店</v>
          </cell>
          <cell r="V1475" t="str">
            <v>2026-1-08</v>
          </cell>
          <cell r="W1475">
            <v>76.31</v>
          </cell>
        </row>
        <row r="1476">
          <cell r="U1476" t="str">
            <v>济南店</v>
          </cell>
          <cell r="V1476" t="str">
            <v>2026-1-08</v>
          </cell>
          <cell r="W1476">
            <v>81.67</v>
          </cell>
        </row>
        <row r="1477">
          <cell r="U1477" t="str">
            <v>青羊店</v>
          </cell>
          <cell r="V1477" t="str">
            <v>2026-1-08</v>
          </cell>
          <cell r="W1477">
            <v>20</v>
          </cell>
        </row>
        <row r="1478">
          <cell r="U1478" t="str">
            <v>观音桥店</v>
          </cell>
          <cell r="V1478" t="str">
            <v>2026-1-08</v>
          </cell>
          <cell r="W1478">
            <v>70.61</v>
          </cell>
        </row>
        <row r="1479">
          <cell r="U1479" t="str">
            <v>西湖店</v>
          </cell>
          <cell r="V1479" t="str">
            <v>2026-1-08</v>
          </cell>
          <cell r="W1479">
            <v>77.89</v>
          </cell>
        </row>
        <row r="1480">
          <cell r="U1480" t="str">
            <v>诚毅店</v>
          </cell>
          <cell r="V1480" t="str">
            <v>2026-1-08</v>
          </cell>
          <cell r="W1480">
            <v>58.81</v>
          </cell>
        </row>
        <row r="1481">
          <cell r="U1481" t="str">
            <v>湖里店</v>
          </cell>
          <cell r="V1481" t="str">
            <v>2026-1-08</v>
          </cell>
          <cell r="W1481">
            <v>113.34</v>
          </cell>
        </row>
        <row r="1482">
          <cell r="U1482" t="str">
            <v>东新店</v>
          </cell>
          <cell r="V1482" t="str">
            <v>2026-1-08</v>
          </cell>
          <cell r="W1482">
            <v>97.56</v>
          </cell>
        </row>
        <row r="1483">
          <cell r="U1483" t="str">
            <v>大坪店</v>
          </cell>
          <cell r="V1483" t="str">
            <v>2026-1-08</v>
          </cell>
          <cell r="W1483">
            <v>40.13</v>
          </cell>
        </row>
        <row r="1484">
          <cell r="U1484" t="str">
            <v>凤城二路店</v>
          </cell>
          <cell r="V1484" t="str">
            <v>2026-1-08</v>
          </cell>
          <cell r="W1484">
            <v>87.11</v>
          </cell>
        </row>
        <row r="1485">
          <cell r="U1485" t="str">
            <v>洛江店</v>
          </cell>
          <cell r="V1485" t="str">
            <v>2026-1-08</v>
          </cell>
          <cell r="W1485">
            <v>27.26</v>
          </cell>
        </row>
        <row r="1486">
          <cell r="U1486" t="str">
            <v>官渡店</v>
          </cell>
          <cell r="V1486" t="str">
            <v>2026-1-08</v>
          </cell>
          <cell r="W1486">
            <v>3.88</v>
          </cell>
        </row>
        <row r="1487">
          <cell r="U1487" t="str">
            <v>武侯店</v>
          </cell>
          <cell r="V1487" t="str">
            <v>2026-1-08</v>
          </cell>
          <cell r="W1487">
            <v>3.01</v>
          </cell>
        </row>
        <row r="1488">
          <cell r="U1488" t="str">
            <v>黄雁村店</v>
          </cell>
          <cell r="V1488" t="str">
            <v>2026-1-08</v>
          </cell>
          <cell r="W1488">
            <v>52.76</v>
          </cell>
        </row>
        <row r="1489">
          <cell r="U1489" t="str">
            <v>五华店</v>
          </cell>
          <cell r="V1489" t="str">
            <v>2026-1-08</v>
          </cell>
          <cell r="W1489">
            <v>32.02</v>
          </cell>
        </row>
        <row r="1490">
          <cell r="U1490" t="str">
            <v>长沙店</v>
          </cell>
          <cell r="V1490" t="str">
            <v>2026-1-08</v>
          </cell>
          <cell r="W1490">
            <v>93.22</v>
          </cell>
        </row>
        <row r="1491">
          <cell r="U1491" t="str">
            <v>鼓楼店</v>
          </cell>
          <cell r="V1491" t="str">
            <v>2026-1-08</v>
          </cell>
          <cell r="W1491">
            <v>90.6</v>
          </cell>
        </row>
        <row r="1492">
          <cell r="U1492" t="str">
            <v>文昌店</v>
          </cell>
          <cell r="V1492" t="str">
            <v>2026-1-08</v>
          </cell>
          <cell r="W1492">
            <v>19.61</v>
          </cell>
        </row>
        <row r="1493">
          <cell r="U1493" t="str">
            <v>百丈店</v>
          </cell>
          <cell r="V1493" t="str">
            <v>2026-1-08</v>
          </cell>
          <cell r="W1493">
            <v>83.38</v>
          </cell>
        </row>
        <row r="1494">
          <cell r="U1494" t="str">
            <v>观桥店</v>
          </cell>
          <cell r="V1494" t="str">
            <v>2026-1-08</v>
          </cell>
          <cell r="W1494">
            <v>23.6</v>
          </cell>
        </row>
        <row r="1495">
          <cell r="U1495" t="str">
            <v>余杭店</v>
          </cell>
          <cell r="V1495" t="str">
            <v>2026-1-08</v>
          </cell>
          <cell r="W1495">
            <v>86.46</v>
          </cell>
        </row>
        <row r="1496">
          <cell r="U1496" t="str">
            <v>首山店</v>
          </cell>
          <cell r="V1496" t="str">
            <v>2026-1-08</v>
          </cell>
          <cell r="W1496">
            <v>44.96</v>
          </cell>
        </row>
        <row r="1497">
          <cell r="U1497" t="str">
            <v>首南店</v>
          </cell>
          <cell r="V1497" t="str">
            <v>2026-1-08</v>
          </cell>
          <cell r="W1497">
            <v>99.62</v>
          </cell>
        </row>
        <row r="1498">
          <cell r="U1498" t="str">
            <v>滨江店</v>
          </cell>
          <cell r="V1498" t="str">
            <v>2026-1-08</v>
          </cell>
          <cell r="W1498">
            <v>119.16</v>
          </cell>
        </row>
        <row r="1499">
          <cell r="U1499" t="str">
            <v>文灶店</v>
          </cell>
          <cell r="V1499" t="str">
            <v>2026-1-08</v>
          </cell>
          <cell r="W1499">
            <v>0</v>
          </cell>
        </row>
        <row r="1500">
          <cell r="U1500" t="str">
            <v>东海店</v>
          </cell>
          <cell r="V1500" t="str">
            <v>2026-1-08</v>
          </cell>
          <cell r="W1500">
            <v>31.65</v>
          </cell>
        </row>
        <row r="1501">
          <cell r="U1501" t="str">
            <v>东海店</v>
          </cell>
          <cell r="V1501" t="str">
            <v>2026-1-08</v>
          </cell>
          <cell r="W1501">
            <v>3.74</v>
          </cell>
        </row>
        <row r="1502">
          <cell r="U1502" t="str">
            <v>启点店</v>
          </cell>
          <cell r="V1502" t="str">
            <v>2026-1-09</v>
          </cell>
          <cell r="W1502">
            <v>85.97</v>
          </cell>
        </row>
        <row r="1503">
          <cell r="U1503" t="str">
            <v>高新店</v>
          </cell>
          <cell r="V1503" t="str">
            <v>2026-1-09</v>
          </cell>
          <cell r="W1503">
            <v>26.86</v>
          </cell>
        </row>
        <row r="1504">
          <cell r="U1504" t="str">
            <v>金牛店</v>
          </cell>
          <cell r="V1504" t="str">
            <v>2026-1-09</v>
          </cell>
          <cell r="W1504">
            <v>12.93</v>
          </cell>
        </row>
        <row r="1505">
          <cell r="U1505" t="str">
            <v>成华店</v>
          </cell>
          <cell r="V1505" t="str">
            <v>2026-1-09</v>
          </cell>
          <cell r="W1505">
            <v>23.25</v>
          </cell>
        </row>
        <row r="1506">
          <cell r="U1506" t="str">
            <v>西山店</v>
          </cell>
          <cell r="V1506" t="str">
            <v>2026-1-09</v>
          </cell>
          <cell r="W1506">
            <v>16.06</v>
          </cell>
        </row>
        <row r="1507">
          <cell r="U1507" t="str">
            <v>百捷店</v>
          </cell>
          <cell r="V1507" t="str">
            <v>2026-1-09</v>
          </cell>
          <cell r="W1507">
            <v>42.75</v>
          </cell>
        </row>
        <row r="1508">
          <cell r="U1508" t="str">
            <v>沙坪坝店</v>
          </cell>
          <cell r="V1508" t="str">
            <v>2026-1-09</v>
          </cell>
          <cell r="W1508">
            <v>38.34</v>
          </cell>
        </row>
        <row r="1509">
          <cell r="U1509" t="str">
            <v>五路口店</v>
          </cell>
          <cell r="V1509" t="str">
            <v>2026-1-09</v>
          </cell>
          <cell r="W1509">
            <v>26.3</v>
          </cell>
        </row>
        <row r="1510">
          <cell r="U1510" t="str">
            <v>济南店</v>
          </cell>
          <cell r="V1510" t="str">
            <v>2026-1-09</v>
          </cell>
          <cell r="W1510">
            <v>68.25</v>
          </cell>
        </row>
        <row r="1511">
          <cell r="U1511" t="str">
            <v>青羊店</v>
          </cell>
          <cell r="V1511" t="str">
            <v>2026-1-09</v>
          </cell>
          <cell r="W1511">
            <v>11.41</v>
          </cell>
        </row>
        <row r="1512">
          <cell r="U1512" t="str">
            <v>观音桥店</v>
          </cell>
          <cell r="V1512" t="str">
            <v>2026-1-09</v>
          </cell>
          <cell r="W1512">
            <v>33.09</v>
          </cell>
        </row>
        <row r="1513">
          <cell r="U1513" t="str">
            <v>西湖店</v>
          </cell>
          <cell r="V1513" t="str">
            <v>2026-1-09</v>
          </cell>
          <cell r="W1513">
            <v>75.26</v>
          </cell>
        </row>
        <row r="1514">
          <cell r="U1514" t="str">
            <v>诚毅店</v>
          </cell>
          <cell r="V1514" t="str">
            <v>2026-1-09</v>
          </cell>
          <cell r="W1514">
            <v>73.41</v>
          </cell>
        </row>
        <row r="1515">
          <cell r="U1515" t="str">
            <v>湖里店</v>
          </cell>
          <cell r="V1515" t="str">
            <v>2026-1-09</v>
          </cell>
          <cell r="W1515">
            <v>118.12</v>
          </cell>
        </row>
        <row r="1516">
          <cell r="U1516" t="str">
            <v>东新店</v>
          </cell>
          <cell r="V1516" t="str">
            <v>2026-1-09</v>
          </cell>
          <cell r="W1516">
            <v>98.83</v>
          </cell>
        </row>
        <row r="1517">
          <cell r="U1517" t="str">
            <v>大坪店</v>
          </cell>
          <cell r="V1517" t="str">
            <v>2026-1-09</v>
          </cell>
          <cell r="W1517">
            <v>36.62</v>
          </cell>
        </row>
        <row r="1518">
          <cell r="U1518" t="str">
            <v>凤城二路店</v>
          </cell>
          <cell r="V1518" t="str">
            <v>2026-1-09</v>
          </cell>
          <cell r="W1518">
            <v>78.13</v>
          </cell>
        </row>
        <row r="1519">
          <cell r="U1519" t="str">
            <v>洛江店</v>
          </cell>
          <cell r="V1519" t="str">
            <v>2026-1-09</v>
          </cell>
          <cell r="W1519">
            <v>33.5</v>
          </cell>
        </row>
        <row r="1520">
          <cell r="U1520" t="str">
            <v>官渡店</v>
          </cell>
          <cell r="V1520" t="str">
            <v>2026-1-09</v>
          </cell>
          <cell r="W1520">
            <v>25.37</v>
          </cell>
        </row>
        <row r="1521">
          <cell r="U1521" t="str">
            <v>武侯店</v>
          </cell>
          <cell r="V1521" t="str">
            <v>2026-1-09</v>
          </cell>
          <cell r="W1521">
            <v>1.1</v>
          </cell>
        </row>
        <row r="1522">
          <cell r="U1522" t="str">
            <v>黄雁村店</v>
          </cell>
          <cell r="V1522" t="str">
            <v>2026-1-09</v>
          </cell>
          <cell r="W1522">
            <v>73.18</v>
          </cell>
        </row>
        <row r="1523">
          <cell r="U1523" t="str">
            <v>五华店</v>
          </cell>
          <cell r="V1523" t="str">
            <v>2026-1-09</v>
          </cell>
          <cell r="W1523">
            <v>34.47</v>
          </cell>
        </row>
        <row r="1524">
          <cell r="U1524" t="str">
            <v>长沙店</v>
          </cell>
          <cell r="V1524" t="str">
            <v>2026-1-09</v>
          </cell>
          <cell r="W1524">
            <v>69.59</v>
          </cell>
        </row>
        <row r="1525">
          <cell r="U1525" t="str">
            <v>鼓楼店</v>
          </cell>
          <cell r="V1525" t="str">
            <v>2026-1-09</v>
          </cell>
          <cell r="W1525">
            <v>105.4</v>
          </cell>
        </row>
        <row r="1526">
          <cell r="U1526" t="str">
            <v>文昌店</v>
          </cell>
          <cell r="V1526" t="str">
            <v>2026-1-09</v>
          </cell>
          <cell r="W1526">
            <v>26.71</v>
          </cell>
        </row>
        <row r="1527">
          <cell r="U1527" t="str">
            <v>百丈店</v>
          </cell>
          <cell r="V1527" t="str">
            <v>2026-1-09</v>
          </cell>
          <cell r="W1527">
            <v>69.59</v>
          </cell>
        </row>
        <row r="1528">
          <cell r="U1528" t="str">
            <v>观桥店</v>
          </cell>
          <cell r="V1528" t="str">
            <v>2026-1-09</v>
          </cell>
          <cell r="W1528">
            <v>44.97</v>
          </cell>
        </row>
        <row r="1529">
          <cell r="U1529" t="str">
            <v>余杭店</v>
          </cell>
          <cell r="V1529" t="str">
            <v>2026-1-09</v>
          </cell>
          <cell r="W1529">
            <v>81.41</v>
          </cell>
        </row>
        <row r="1530">
          <cell r="U1530" t="str">
            <v>首山店</v>
          </cell>
          <cell r="V1530" t="str">
            <v>2026-1-09</v>
          </cell>
          <cell r="W1530">
            <v>52.93</v>
          </cell>
        </row>
        <row r="1531">
          <cell r="U1531" t="str">
            <v>首南店</v>
          </cell>
          <cell r="V1531" t="str">
            <v>2026-1-09</v>
          </cell>
          <cell r="W1531">
            <v>102.35</v>
          </cell>
        </row>
        <row r="1532">
          <cell r="U1532" t="str">
            <v>滨江店</v>
          </cell>
          <cell r="V1532" t="str">
            <v>2026-1-09</v>
          </cell>
          <cell r="W1532">
            <v>137.68</v>
          </cell>
        </row>
        <row r="1533">
          <cell r="U1533" t="str">
            <v>东海店</v>
          </cell>
          <cell r="V1533" t="str">
            <v>2026-1-09</v>
          </cell>
          <cell r="W1533">
            <v>18.53</v>
          </cell>
        </row>
        <row r="1534">
          <cell r="U1534" t="str">
            <v>东海店</v>
          </cell>
          <cell r="V1534" t="str">
            <v>2026-1-09</v>
          </cell>
          <cell r="W1534">
            <v>0</v>
          </cell>
        </row>
        <row r="1535">
          <cell r="U1535" t="str">
            <v>启点店</v>
          </cell>
          <cell r="V1535" t="str">
            <v>2026-1-10</v>
          </cell>
          <cell r="W1535">
            <v>107.81</v>
          </cell>
        </row>
        <row r="1536">
          <cell r="U1536" t="str">
            <v>高新店</v>
          </cell>
          <cell r="V1536" t="str">
            <v>2026-1-10</v>
          </cell>
          <cell r="W1536">
            <v>38.93</v>
          </cell>
        </row>
        <row r="1537">
          <cell r="U1537" t="str">
            <v>金牛店</v>
          </cell>
          <cell r="V1537" t="str">
            <v>2026-1-10</v>
          </cell>
          <cell r="W1537">
            <v>10.94</v>
          </cell>
        </row>
        <row r="1538">
          <cell r="U1538" t="str">
            <v>成华店</v>
          </cell>
          <cell r="V1538" t="str">
            <v>2026-1-10</v>
          </cell>
          <cell r="W1538">
            <v>30.01</v>
          </cell>
        </row>
        <row r="1539">
          <cell r="U1539" t="str">
            <v>西山店</v>
          </cell>
          <cell r="V1539" t="str">
            <v>2026-1-10</v>
          </cell>
          <cell r="W1539">
            <v>12.28</v>
          </cell>
        </row>
        <row r="1540">
          <cell r="U1540" t="str">
            <v>百捷店</v>
          </cell>
          <cell r="V1540" t="str">
            <v>2026-1-10</v>
          </cell>
          <cell r="W1540">
            <v>31.67</v>
          </cell>
        </row>
        <row r="1541">
          <cell r="U1541" t="str">
            <v>沙坪坝店</v>
          </cell>
          <cell r="V1541" t="str">
            <v>2026-1-10</v>
          </cell>
          <cell r="W1541">
            <v>17.86</v>
          </cell>
        </row>
        <row r="1542">
          <cell r="U1542" t="str">
            <v>五路口店</v>
          </cell>
          <cell r="V1542" t="str">
            <v>2026-1-10</v>
          </cell>
          <cell r="W1542">
            <v>0</v>
          </cell>
        </row>
        <row r="1543">
          <cell r="U1543" t="str">
            <v>济南店</v>
          </cell>
          <cell r="V1543" t="str">
            <v>2026-1-10</v>
          </cell>
          <cell r="W1543">
            <v>89.25</v>
          </cell>
        </row>
        <row r="1544">
          <cell r="U1544" t="str">
            <v>青羊店</v>
          </cell>
          <cell r="V1544" t="str">
            <v>2026-1-10</v>
          </cell>
          <cell r="W1544">
            <v>20.74</v>
          </cell>
        </row>
        <row r="1545">
          <cell r="U1545" t="str">
            <v>观音桥店</v>
          </cell>
          <cell r="V1545" t="str">
            <v>2026-1-10</v>
          </cell>
          <cell r="W1545">
            <v>52.19</v>
          </cell>
        </row>
        <row r="1546">
          <cell r="U1546" t="str">
            <v>西湖店</v>
          </cell>
          <cell r="V1546" t="str">
            <v>2026-1-10</v>
          </cell>
          <cell r="W1546">
            <v>78.09</v>
          </cell>
        </row>
        <row r="1547">
          <cell r="U1547" t="str">
            <v>诚毅店</v>
          </cell>
          <cell r="V1547" t="str">
            <v>2026-1-10</v>
          </cell>
          <cell r="W1547">
            <v>60.62</v>
          </cell>
        </row>
        <row r="1548">
          <cell r="U1548" t="str">
            <v>湖里店</v>
          </cell>
          <cell r="V1548" t="str">
            <v>2026-1-10</v>
          </cell>
          <cell r="W1548">
            <v>97.74</v>
          </cell>
        </row>
        <row r="1549">
          <cell r="U1549" t="str">
            <v>东新店</v>
          </cell>
          <cell r="V1549" t="str">
            <v>2026-1-10</v>
          </cell>
          <cell r="W1549">
            <v>114.77</v>
          </cell>
        </row>
        <row r="1550">
          <cell r="U1550" t="str">
            <v>大坪店</v>
          </cell>
          <cell r="V1550" t="str">
            <v>2026-1-10</v>
          </cell>
          <cell r="W1550">
            <v>68.68</v>
          </cell>
        </row>
        <row r="1551">
          <cell r="U1551" t="str">
            <v>凤城二路店</v>
          </cell>
          <cell r="V1551" t="str">
            <v>2026-1-10</v>
          </cell>
          <cell r="W1551">
            <v>83.16</v>
          </cell>
        </row>
        <row r="1552">
          <cell r="U1552" t="str">
            <v>洛江店</v>
          </cell>
          <cell r="V1552" t="str">
            <v>2026-1-10</v>
          </cell>
          <cell r="W1552">
            <v>22.78</v>
          </cell>
        </row>
        <row r="1553">
          <cell r="U1553" t="str">
            <v>官渡店</v>
          </cell>
          <cell r="V1553" t="str">
            <v>2026-1-10</v>
          </cell>
          <cell r="W1553">
            <v>17.96</v>
          </cell>
        </row>
        <row r="1554">
          <cell r="U1554" t="str">
            <v>武侯店</v>
          </cell>
          <cell r="V1554" t="str">
            <v>2026-1-10</v>
          </cell>
          <cell r="W1554">
            <v>0.16</v>
          </cell>
        </row>
        <row r="1555">
          <cell r="U1555" t="str">
            <v>黄雁村店</v>
          </cell>
          <cell r="V1555" t="str">
            <v>2026-1-10</v>
          </cell>
          <cell r="W1555">
            <v>57.36</v>
          </cell>
        </row>
        <row r="1556">
          <cell r="U1556" t="str">
            <v>五华店</v>
          </cell>
          <cell r="V1556" t="str">
            <v>2026-1-10</v>
          </cell>
          <cell r="W1556">
            <v>24.57</v>
          </cell>
        </row>
        <row r="1557">
          <cell r="U1557" t="str">
            <v>长沙店</v>
          </cell>
          <cell r="V1557" t="str">
            <v>2026-1-10</v>
          </cell>
          <cell r="W1557">
            <v>60.64</v>
          </cell>
        </row>
        <row r="1558">
          <cell r="U1558" t="str">
            <v>鼓楼店</v>
          </cell>
          <cell r="V1558" t="str">
            <v>2026-1-10</v>
          </cell>
          <cell r="W1558">
            <v>101.18</v>
          </cell>
        </row>
        <row r="1559">
          <cell r="U1559" t="str">
            <v>文昌店</v>
          </cell>
          <cell r="V1559" t="str">
            <v>2026-1-10</v>
          </cell>
          <cell r="W1559">
            <v>24.84</v>
          </cell>
        </row>
        <row r="1560">
          <cell r="U1560" t="str">
            <v>百丈店</v>
          </cell>
          <cell r="V1560" t="str">
            <v>2026-1-10</v>
          </cell>
          <cell r="W1560">
            <v>68.98</v>
          </cell>
        </row>
        <row r="1561">
          <cell r="U1561" t="str">
            <v>观桥店</v>
          </cell>
          <cell r="V1561" t="str">
            <v>2026-1-10</v>
          </cell>
          <cell r="W1561">
            <v>35.85</v>
          </cell>
        </row>
        <row r="1562">
          <cell r="U1562" t="str">
            <v>余杭店</v>
          </cell>
          <cell r="V1562" t="str">
            <v>2026-1-10</v>
          </cell>
          <cell r="W1562">
            <v>109.4</v>
          </cell>
        </row>
        <row r="1563">
          <cell r="U1563" t="str">
            <v>首山店</v>
          </cell>
          <cell r="V1563" t="str">
            <v>2026-1-10</v>
          </cell>
          <cell r="W1563">
            <v>71</v>
          </cell>
        </row>
        <row r="1564">
          <cell r="U1564" t="str">
            <v>首南店</v>
          </cell>
          <cell r="V1564" t="str">
            <v>2026-1-10</v>
          </cell>
          <cell r="W1564">
            <v>104.83</v>
          </cell>
        </row>
        <row r="1565">
          <cell r="U1565" t="str">
            <v>滨江店</v>
          </cell>
          <cell r="V1565" t="str">
            <v>2026-1-10</v>
          </cell>
          <cell r="W1565">
            <v>88.5</v>
          </cell>
        </row>
        <row r="1566">
          <cell r="U1566" t="str">
            <v>东海店</v>
          </cell>
          <cell r="V1566" t="str">
            <v>2026-1-10</v>
          </cell>
          <cell r="W1566">
            <v>19.2</v>
          </cell>
        </row>
        <row r="1567">
          <cell r="U1567" t="str">
            <v>东海店</v>
          </cell>
          <cell r="V1567" t="str">
            <v>2026-1-10</v>
          </cell>
          <cell r="W1567">
            <v>1.3</v>
          </cell>
        </row>
        <row r="1568">
          <cell r="U1568" t="str">
            <v>启点店</v>
          </cell>
          <cell r="V1568" t="str">
            <v>2026-1-11</v>
          </cell>
          <cell r="W1568">
            <v>102.25</v>
          </cell>
        </row>
        <row r="1569">
          <cell r="U1569" t="str">
            <v>高新店</v>
          </cell>
          <cell r="V1569" t="str">
            <v>2026-1-11</v>
          </cell>
          <cell r="W1569">
            <v>41.34</v>
          </cell>
        </row>
        <row r="1570">
          <cell r="U1570" t="str">
            <v>金牛店</v>
          </cell>
          <cell r="V1570" t="str">
            <v>2026-1-11</v>
          </cell>
          <cell r="W1570">
            <v>19.87</v>
          </cell>
        </row>
        <row r="1571">
          <cell r="U1571" t="str">
            <v>成华店</v>
          </cell>
          <cell r="V1571" t="str">
            <v>2026-1-11</v>
          </cell>
          <cell r="W1571">
            <v>24.4</v>
          </cell>
        </row>
        <row r="1572">
          <cell r="U1572" t="str">
            <v>西山店</v>
          </cell>
          <cell r="V1572" t="str">
            <v>2026-1-11</v>
          </cell>
          <cell r="W1572">
            <v>5.47</v>
          </cell>
        </row>
        <row r="1573">
          <cell r="U1573" t="str">
            <v>百捷店</v>
          </cell>
          <cell r="V1573" t="str">
            <v>2026-1-11</v>
          </cell>
          <cell r="W1573">
            <v>30.4</v>
          </cell>
        </row>
        <row r="1574">
          <cell r="U1574" t="str">
            <v>沙坪坝店</v>
          </cell>
          <cell r="V1574" t="str">
            <v>2026-1-11</v>
          </cell>
          <cell r="W1574">
            <v>30.09</v>
          </cell>
        </row>
        <row r="1575">
          <cell r="U1575" t="str">
            <v>济南店</v>
          </cell>
          <cell r="V1575" t="str">
            <v>2026-1-11</v>
          </cell>
          <cell r="W1575">
            <v>78.72</v>
          </cell>
        </row>
        <row r="1576">
          <cell r="U1576" t="str">
            <v>青羊店</v>
          </cell>
          <cell r="V1576" t="str">
            <v>2026-1-11</v>
          </cell>
          <cell r="W1576">
            <v>33.51</v>
          </cell>
        </row>
        <row r="1577">
          <cell r="U1577" t="str">
            <v>观音桥店</v>
          </cell>
          <cell r="V1577" t="str">
            <v>2026-1-11</v>
          </cell>
          <cell r="W1577">
            <v>59.33</v>
          </cell>
        </row>
        <row r="1578">
          <cell r="U1578" t="str">
            <v>西湖店</v>
          </cell>
          <cell r="V1578" t="str">
            <v>2026-1-11</v>
          </cell>
          <cell r="W1578">
            <v>107.13</v>
          </cell>
        </row>
        <row r="1579">
          <cell r="U1579" t="str">
            <v>诚毅店</v>
          </cell>
          <cell r="V1579" t="str">
            <v>2026-1-11</v>
          </cell>
          <cell r="W1579">
            <v>61.67</v>
          </cell>
        </row>
        <row r="1580">
          <cell r="U1580" t="str">
            <v>湖里店</v>
          </cell>
          <cell r="V1580" t="str">
            <v>2026-1-11</v>
          </cell>
          <cell r="W1580">
            <v>71.42</v>
          </cell>
        </row>
        <row r="1581">
          <cell r="U1581" t="str">
            <v>东新店</v>
          </cell>
          <cell r="V1581" t="str">
            <v>2026-1-11</v>
          </cell>
          <cell r="W1581">
            <v>87.35</v>
          </cell>
        </row>
        <row r="1582">
          <cell r="U1582" t="str">
            <v>大坪店</v>
          </cell>
          <cell r="V1582" t="str">
            <v>2026-1-11</v>
          </cell>
          <cell r="W1582">
            <v>42.56</v>
          </cell>
        </row>
        <row r="1583">
          <cell r="U1583" t="str">
            <v>凤城二路店</v>
          </cell>
          <cell r="V1583" t="str">
            <v>2026-1-11</v>
          </cell>
          <cell r="W1583">
            <v>76.4</v>
          </cell>
        </row>
        <row r="1584">
          <cell r="U1584" t="str">
            <v>洛江店</v>
          </cell>
          <cell r="V1584" t="str">
            <v>2026-1-11</v>
          </cell>
          <cell r="W1584">
            <v>0</v>
          </cell>
        </row>
        <row r="1585">
          <cell r="U1585" t="str">
            <v>官渡店</v>
          </cell>
          <cell r="V1585" t="str">
            <v>2026-1-11</v>
          </cell>
          <cell r="W1585">
            <v>16.58</v>
          </cell>
        </row>
        <row r="1586">
          <cell r="U1586" t="str">
            <v>武侯店</v>
          </cell>
          <cell r="V1586" t="str">
            <v>2026-1-11</v>
          </cell>
          <cell r="W1586">
            <v>0</v>
          </cell>
        </row>
        <row r="1587">
          <cell r="U1587" t="str">
            <v>黄雁村店</v>
          </cell>
          <cell r="V1587" t="str">
            <v>2026-1-11</v>
          </cell>
          <cell r="W1587">
            <v>65.11</v>
          </cell>
        </row>
        <row r="1588">
          <cell r="U1588" t="str">
            <v>五华店</v>
          </cell>
          <cell r="V1588" t="str">
            <v>2026-1-11</v>
          </cell>
          <cell r="W1588">
            <v>21.52</v>
          </cell>
        </row>
        <row r="1589">
          <cell r="U1589" t="str">
            <v>长沙店</v>
          </cell>
          <cell r="V1589" t="str">
            <v>2026-1-11</v>
          </cell>
          <cell r="W1589">
            <v>50.07</v>
          </cell>
        </row>
        <row r="1590">
          <cell r="U1590" t="str">
            <v>鼓楼店</v>
          </cell>
          <cell r="V1590" t="str">
            <v>2026-1-11</v>
          </cell>
          <cell r="W1590">
            <v>81.87</v>
          </cell>
        </row>
        <row r="1591">
          <cell r="U1591" t="str">
            <v>文昌店</v>
          </cell>
          <cell r="V1591" t="str">
            <v>2026-1-11</v>
          </cell>
          <cell r="W1591">
            <v>16.83</v>
          </cell>
        </row>
        <row r="1592">
          <cell r="U1592" t="str">
            <v>百丈店</v>
          </cell>
          <cell r="V1592" t="str">
            <v>2026-1-11</v>
          </cell>
          <cell r="W1592">
            <v>64.19</v>
          </cell>
        </row>
        <row r="1593">
          <cell r="U1593" t="str">
            <v>观桥店</v>
          </cell>
          <cell r="V1593" t="str">
            <v>2026-1-11</v>
          </cell>
          <cell r="W1593">
            <v>31.64</v>
          </cell>
        </row>
        <row r="1594">
          <cell r="U1594" t="str">
            <v>余杭店</v>
          </cell>
          <cell r="V1594" t="str">
            <v>2026-1-11</v>
          </cell>
          <cell r="W1594">
            <v>98.06</v>
          </cell>
        </row>
        <row r="1595">
          <cell r="U1595" t="str">
            <v>首山店</v>
          </cell>
          <cell r="V1595" t="str">
            <v>2026-1-11</v>
          </cell>
          <cell r="W1595">
            <v>104.05</v>
          </cell>
        </row>
        <row r="1596">
          <cell r="U1596" t="str">
            <v>首南店</v>
          </cell>
          <cell r="V1596" t="str">
            <v>2026-1-11</v>
          </cell>
          <cell r="W1596">
            <v>126.6</v>
          </cell>
        </row>
        <row r="1597">
          <cell r="U1597" t="str">
            <v>滨江店</v>
          </cell>
          <cell r="V1597" t="str">
            <v>2026-1-11</v>
          </cell>
          <cell r="W1597">
            <v>105.45</v>
          </cell>
        </row>
        <row r="1598">
          <cell r="U1598" t="str">
            <v>东海店</v>
          </cell>
          <cell r="V1598" t="str">
            <v>2026-1-11</v>
          </cell>
          <cell r="W1598">
            <v>29.05</v>
          </cell>
        </row>
        <row r="1599">
          <cell r="U1599" t="str">
            <v>东海店</v>
          </cell>
          <cell r="V1599" t="str">
            <v>2026-1-11</v>
          </cell>
          <cell r="W1599">
            <v>1.12</v>
          </cell>
        </row>
        <row r="1600">
          <cell r="U1600" t="str">
            <v>东海店</v>
          </cell>
          <cell r="V1600" t="str">
            <v>2026-1-12</v>
          </cell>
          <cell r="W1600">
            <v>10.74</v>
          </cell>
        </row>
        <row r="1601">
          <cell r="U1601" t="str">
            <v>东海店</v>
          </cell>
          <cell r="V1601" t="str">
            <v>2026-1-12</v>
          </cell>
          <cell r="W1601">
            <v>1.28</v>
          </cell>
        </row>
        <row r="1602">
          <cell r="U1602" t="str">
            <v>东海店</v>
          </cell>
          <cell r="V1602" t="str">
            <v>2026-1-13</v>
          </cell>
          <cell r="W1602">
            <v>9.46</v>
          </cell>
        </row>
        <row r="1603">
          <cell r="U1603" t="str">
            <v>东海店</v>
          </cell>
          <cell r="V1603" t="str">
            <v>2026-1-13</v>
          </cell>
          <cell r="W1603">
            <v>3.25</v>
          </cell>
        </row>
        <row r="1604">
          <cell r="U1604" t="str">
            <v>东海店</v>
          </cell>
          <cell r="V1604" t="str">
            <v>2026-1-14</v>
          </cell>
          <cell r="W1604">
            <v>31.95</v>
          </cell>
        </row>
        <row r="1605">
          <cell r="U1605" t="str">
            <v>东海店</v>
          </cell>
          <cell r="V1605" t="str">
            <v>2026-1-14</v>
          </cell>
          <cell r="W1605">
            <v>0</v>
          </cell>
        </row>
        <row r="1606">
          <cell r="U1606" t="str">
            <v>启点店</v>
          </cell>
          <cell r="V1606" t="str">
            <v>2026-1-12</v>
          </cell>
          <cell r="W1606">
            <v>21.95</v>
          </cell>
        </row>
        <row r="1607">
          <cell r="U1607" t="str">
            <v>高新店</v>
          </cell>
          <cell r="V1607" t="str">
            <v>2026-1-12</v>
          </cell>
          <cell r="W1607">
            <v>9.98</v>
          </cell>
        </row>
        <row r="1608">
          <cell r="U1608" t="str">
            <v>金牛店</v>
          </cell>
          <cell r="V1608" t="str">
            <v>2026-1-12</v>
          </cell>
          <cell r="W1608">
            <v>0.8</v>
          </cell>
        </row>
        <row r="1609">
          <cell r="U1609" t="str">
            <v>成华店</v>
          </cell>
          <cell r="V1609" t="str">
            <v>2026-1-12</v>
          </cell>
          <cell r="W1609">
            <v>0.4</v>
          </cell>
        </row>
        <row r="1610">
          <cell r="U1610" t="str">
            <v>西山店</v>
          </cell>
          <cell r="V1610" t="str">
            <v>2026-1-12</v>
          </cell>
          <cell r="W1610">
            <v>1.49</v>
          </cell>
        </row>
        <row r="1611">
          <cell r="U1611" t="str">
            <v>百捷店</v>
          </cell>
          <cell r="V1611" t="str">
            <v>2026-1-12</v>
          </cell>
          <cell r="W1611">
            <v>4.3</v>
          </cell>
        </row>
        <row r="1612">
          <cell r="U1612" t="str">
            <v>沙坪坝店</v>
          </cell>
          <cell r="V1612" t="str">
            <v>2026-1-12</v>
          </cell>
          <cell r="W1612">
            <v>5.76</v>
          </cell>
        </row>
        <row r="1613">
          <cell r="U1613" t="str">
            <v>五路口店</v>
          </cell>
          <cell r="V1613" t="str">
            <v>2026-1-12</v>
          </cell>
          <cell r="W1613">
            <v>1.99</v>
          </cell>
        </row>
        <row r="1614">
          <cell r="U1614" t="str">
            <v>济南店</v>
          </cell>
          <cell r="V1614" t="str">
            <v>2026-1-12</v>
          </cell>
          <cell r="W1614">
            <v>22.52</v>
          </cell>
        </row>
        <row r="1615">
          <cell r="U1615" t="str">
            <v>青羊店</v>
          </cell>
          <cell r="V1615" t="str">
            <v>2026-1-12</v>
          </cell>
          <cell r="W1615">
            <v>2.14</v>
          </cell>
        </row>
        <row r="1616">
          <cell r="U1616" t="str">
            <v>观音桥店</v>
          </cell>
          <cell r="V1616" t="str">
            <v>2026-1-12</v>
          </cell>
          <cell r="W1616">
            <v>11.85</v>
          </cell>
        </row>
        <row r="1617">
          <cell r="U1617" t="str">
            <v>西湖店</v>
          </cell>
          <cell r="V1617" t="str">
            <v>2026-1-12</v>
          </cell>
          <cell r="W1617">
            <v>28.44</v>
          </cell>
        </row>
        <row r="1618">
          <cell r="U1618" t="str">
            <v>诚毅店</v>
          </cell>
          <cell r="V1618" t="str">
            <v>2026-1-12</v>
          </cell>
          <cell r="W1618">
            <v>7.27</v>
          </cell>
        </row>
        <row r="1619">
          <cell r="U1619" t="str">
            <v>湖里店</v>
          </cell>
          <cell r="V1619" t="str">
            <v>2026-1-12</v>
          </cell>
          <cell r="W1619">
            <v>21.73</v>
          </cell>
        </row>
        <row r="1620">
          <cell r="U1620" t="str">
            <v>东新店</v>
          </cell>
          <cell r="V1620" t="str">
            <v>2026-1-12</v>
          </cell>
          <cell r="W1620">
            <v>27.18</v>
          </cell>
        </row>
        <row r="1621">
          <cell r="U1621" t="str">
            <v>大坪店</v>
          </cell>
          <cell r="V1621" t="str">
            <v>2026-1-12</v>
          </cell>
          <cell r="W1621">
            <v>11.51</v>
          </cell>
        </row>
        <row r="1622">
          <cell r="U1622" t="str">
            <v>凤城二路店</v>
          </cell>
          <cell r="V1622" t="str">
            <v>2026-1-12</v>
          </cell>
          <cell r="W1622">
            <v>8.42</v>
          </cell>
        </row>
        <row r="1623">
          <cell r="U1623" t="str">
            <v>洛江店</v>
          </cell>
          <cell r="V1623" t="str">
            <v>2026-1-12</v>
          </cell>
          <cell r="W1623">
            <v>2.46</v>
          </cell>
        </row>
        <row r="1624">
          <cell r="U1624" t="str">
            <v>官渡店</v>
          </cell>
          <cell r="V1624" t="str">
            <v>2026-1-12</v>
          </cell>
          <cell r="W1624">
            <v>17.98</v>
          </cell>
        </row>
        <row r="1625">
          <cell r="U1625" t="str">
            <v>武侯店</v>
          </cell>
          <cell r="V1625" t="str">
            <v>2026-1-12</v>
          </cell>
          <cell r="W1625">
            <v>0</v>
          </cell>
        </row>
        <row r="1626">
          <cell r="U1626" t="str">
            <v>黄雁村店</v>
          </cell>
          <cell r="V1626" t="str">
            <v>2026-1-12</v>
          </cell>
          <cell r="W1626">
            <v>22.3</v>
          </cell>
        </row>
        <row r="1627">
          <cell r="U1627" t="str">
            <v>五华店</v>
          </cell>
          <cell r="V1627" t="str">
            <v>2026-1-12</v>
          </cell>
          <cell r="W1627">
            <v>7.32</v>
          </cell>
        </row>
        <row r="1628">
          <cell r="U1628" t="str">
            <v>长沙店</v>
          </cell>
          <cell r="V1628" t="str">
            <v>2026-1-12</v>
          </cell>
          <cell r="W1628">
            <v>13.24</v>
          </cell>
        </row>
        <row r="1629">
          <cell r="U1629" t="str">
            <v>鼓楼店</v>
          </cell>
          <cell r="V1629" t="str">
            <v>2026-1-12</v>
          </cell>
          <cell r="W1629">
            <v>12.54</v>
          </cell>
        </row>
        <row r="1630">
          <cell r="U1630" t="str">
            <v>文昌店</v>
          </cell>
          <cell r="V1630" t="str">
            <v>2026-1-12</v>
          </cell>
          <cell r="W1630">
            <v>11</v>
          </cell>
        </row>
        <row r="1631">
          <cell r="U1631" t="str">
            <v>百丈店</v>
          </cell>
          <cell r="V1631" t="str">
            <v>2026-1-12</v>
          </cell>
          <cell r="W1631">
            <v>8.75</v>
          </cell>
        </row>
        <row r="1632">
          <cell r="U1632" t="str">
            <v>观桥店</v>
          </cell>
          <cell r="V1632" t="str">
            <v>2026-1-12</v>
          </cell>
          <cell r="W1632">
            <v>17.29</v>
          </cell>
        </row>
        <row r="1633">
          <cell r="U1633" t="str">
            <v>余杭店</v>
          </cell>
          <cell r="V1633" t="str">
            <v>2026-1-12</v>
          </cell>
          <cell r="W1633">
            <v>28.83</v>
          </cell>
        </row>
        <row r="1634">
          <cell r="U1634" t="str">
            <v>首山店</v>
          </cell>
          <cell r="V1634" t="str">
            <v>2026-1-12</v>
          </cell>
          <cell r="W1634">
            <v>4.51</v>
          </cell>
        </row>
        <row r="1635">
          <cell r="U1635" t="str">
            <v>首南店</v>
          </cell>
          <cell r="V1635" t="str">
            <v>2026-1-12</v>
          </cell>
          <cell r="W1635">
            <v>31.1</v>
          </cell>
        </row>
        <row r="1636">
          <cell r="U1636" t="str">
            <v>滨江店</v>
          </cell>
          <cell r="V1636" t="str">
            <v>2026-1-12</v>
          </cell>
          <cell r="W1636">
            <v>23.18</v>
          </cell>
        </row>
        <row r="1637">
          <cell r="U1637" t="str">
            <v>启点店</v>
          </cell>
          <cell r="V1637" t="str">
            <v>2026-1-13</v>
          </cell>
          <cell r="W1637">
            <v>7.43</v>
          </cell>
        </row>
        <row r="1638">
          <cell r="U1638" t="str">
            <v>高新店</v>
          </cell>
          <cell r="V1638" t="str">
            <v>2026-1-13</v>
          </cell>
          <cell r="W1638">
            <v>0.43</v>
          </cell>
        </row>
        <row r="1639">
          <cell r="U1639" t="str">
            <v>金牛店</v>
          </cell>
          <cell r="V1639" t="str">
            <v>2026-1-13</v>
          </cell>
          <cell r="W1639">
            <v>0.02</v>
          </cell>
        </row>
        <row r="1640">
          <cell r="U1640" t="str">
            <v>成华店</v>
          </cell>
          <cell r="V1640" t="str">
            <v>2026-1-13</v>
          </cell>
          <cell r="W1640">
            <v>0</v>
          </cell>
        </row>
        <row r="1641">
          <cell r="U1641" t="str">
            <v>西山店</v>
          </cell>
          <cell r="V1641" t="str">
            <v>2026-1-13</v>
          </cell>
          <cell r="W1641">
            <v>2.17</v>
          </cell>
        </row>
        <row r="1642">
          <cell r="U1642" t="str">
            <v>百捷店</v>
          </cell>
          <cell r="V1642" t="str">
            <v>2026-1-13</v>
          </cell>
          <cell r="W1642">
            <v>0.26</v>
          </cell>
        </row>
        <row r="1643">
          <cell r="U1643" t="str">
            <v>沙坪坝店</v>
          </cell>
          <cell r="V1643" t="str">
            <v>2026-1-13</v>
          </cell>
          <cell r="W1643">
            <v>0.31</v>
          </cell>
        </row>
        <row r="1644">
          <cell r="U1644" t="str">
            <v>五路口店</v>
          </cell>
          <cell r="V1644" t="str">
            <v>2026-1-13</v>
          </cell>
          <cell r="W1644">
            <v>2.87</v>
          </cell>
        </row>
        <row r="1645">
          <cell r="U1645" t="str">
            <v>济南店</v>
          </cell>
          <cell r="V1645" t="str">
            <v>2026-1-13</v>
          </cell>
          <cell r="W1645">
            <v>6.77</v>
          </cell>
        </row>
        <row r="1646">
          <cell r="U1646" t="str">
            <v>青羊店</v>
          </cell>
          <cell r="V1646" t="str">
            <v>2026-1-13</v>
          </cell>
          <cell r="W1646">
            <v>5.09</v>
          </cell>
        </row>
        <row r="1647">
          <cell r="U1647" t="str">
            <v>观音桥店</v>
          </cell>
          <cell r="V1647" t="str">
            <v>2026-1-13</v>
          </cell>
          <cell r="W1647">
            <v>2.62</v>
          </cell>
        </row>
        <row r="1648">
          <cell r="U1648" t="str">
            <v>西湖店</v>
          </cell>
          <cell r="V1648" t="str">
            <v>2026-1-13</v>
          </cell>
          <cell r="W1648">
            <v>8.72</v>
          </cell>
        </row>
        <row r="1649">
          <cell r="U1649" t="str">
            <v>诚毅店</v>
          </cell>
          <cell r="V1649" t="str">
            <v>2026-1-13</v>
          </cell>
          <cell r="W1649">
            <v>3.9</v>
          </cell>
        </row>
        <row r="1650">
          <cell r="U1650" t="str">
            <v>湖里店</v>
          </cell>
          <cell r="V1650" t="str">
            <v>2026-1-13</v>
          </cell>
          <cell r="W1650">
            <v>8.01</v>
          </cell>
        </row>
        <row r="1651">
          <cell r="U1651" t="str">
            <v>东新店</v>
          </cell>
          <cell r="V1651" t="str">
            <v>2026-1-13</v>
          </cell>
          <cell r="W1651">
            <v>1.08</v>
          </cell>
        </row>
        <row r="1652">
          <cell r="U1652" t="str">
            <v>大坪店</v>
          </cell>
          <cell r="V1652" t="str">
            <v>2026-1-13</v>
          </cell>
          <cell r="W1652">
            <v>1.28</v>
          </cell>
        </row>
        <row r="1653">
          <cell r="U1653" t="str">
            <v>凤城二路店</v>
          </cell>
          <cell r="V1653" t="str">
            <v>2026-1-13</v>
          </cell>
          <cell r="W1653">
            <v>4.55</v>
          </cell>
        </row>
        <row r="1654">
          <cell r="U1654" t="str">
            <v>洛江店</v>
          </cell>
          <cell r="V1654" t="str">
            <v>2026-1-13</v>
          </cell>
          <cell r="W1654">
            <v>2.1</v>
          </cell>
        </row>
        <row r="1655">
          <cell r="U1655" t="str">
            <v>官渡店</v>
          </cell>
          <cell r="V1655" t="str">
            <v>2026-1-13</v>
          </cell>
          <cell r="W1655">
            <v>34.44</v>
          </cell>
        </row>
        <row r="1656">
          <cell r="U1656" t="str">
            <v>武侯店</v>
          </cell>
          <cell r="V1656" t="str">
            <v>2026-1-13</v>
          </cell>
          <cell r="W1656">
            <v>5.53</v>
          </cell>
        </row>
        <row r="1657">
          <cell r="U1657" t="str">
            <v>黄雁村店</v>
          </cell>
          <cell r="V1657" t="str">
            <v>2026-1-13</v>
          </cell>
          <cell r="W1657">
            <v>3.39</v>
          </cell>
        </row>
        <row r="1658">
          <cell r="U1658" t="str">
            <v>五华店</v>
          </cell>
          <cell r="V1658" t="str">
            <v>2026-1-13</v>
          </cell>
          <cell r="W1658">
            <v>0.18</v>
          </cell>
        </row>
        <row r="1659">
          <cell r="U1659" t="str">
            <v>长沙店</v>
          </cell>
          <cell r="V1659" t="str">
            <v>2026-1-13</v>
          </cell>
          <cell r="W1659">
            <v>4.01</v>
          </cell>
        </row>
        <row r="1660">
          <cell r="U1660" t="str">
            <v>鼓楼店</v>
          </cell>
          <cell r="V1660" t="str">
            <v>2026-1-13</v>
          </cell>
          <cell r="W1660">
            <v>2.37</v>
          </cell>
        </row>
        <row r="1661">
          <cell r="U1661" t="str">
            <v>文昌店</v>
          </cell>
          <cell r="V1661" t="str">
            <v>2026-1-13</v>
          </cell>
          <cell r="W1661">
            <v>1.94</v>
          </cell>
        </row>
        <row r="1662">
          <cell r="U1662" t="str">
            <v>百丈店</v>
          </cell>
          <cell r="V1662" t="str">
            <v>2026-1-13</v>
          </cell>
          <cell r="W1662">
            <v>3.99</v>
          </cell>
        </row>
        <row r="1663">
          <cell r="U1663" t="str">
            <v>观桥店</v>
          </cell>
          <cell r="V1663" t="str">
            <v>2026-1-13</v>
          </cell>
          <cell r="W1663">
            <v>18.88</v>
          </cell>
        </row>
        <row r="1664">
          <cell r="U1664" t="str">
            <v>余杭店</v>
          </cell>
          <cell r="V1664" t="str">
            <v>2026-1-13</v>
          </cell>
          <cell r="W1664">
            <v>4.78</v>
          </cell>
        </row>
        <row r="1665">
          <cell r="U1665" t="str">
            <v>首山店</v>
          </cell>
          <cell r="V1665" t="str">
            <v>2026-1-13</v>
          </cell>
          <cell r="W1665">
            <v>1.42</v>
          </cell>
        </row>
        <row r="1666">
          <cell r="U1666" t="str">
            <v>首南店</v>
          </cell>
          <cell r="V1666" t="str">
            <v>2026-1-13</v>
          </cell>
          <cell r="W1666">
            <v>10.9</v>
          </cell>
        </row>
        <row r="1667">
          <cell r="U1667" t="str">
            <v>滨江店</v>
          </cell>
          <cell r="V1667" t="str">
            <v>2026-1-13</v>
          </cell>
          <cell r="W1667">
            <v>11.97</v>
          </cell>
        </row>
        <row r="1668">
          <cell r="U1668" t="str">
            <v>启点店</v>
          </cell>
          <cell r="V1668" t="str">
            <v>2026-1-14</v>
          </cell>
          <cell r="W1668">
            <v>0.13</v>
          </cell>
        </row>
        <row r="1669">
          <cell r="U1669" t="str">
            <v>高新店</v>
          </cell>
          <cell r="V1669" t="str">
            <v>2026-1-14</v>
          </cell>
          <cell r="W1669">
            <v>0</v>
          </cell>
        </row>
        <row r="1670">
          <cell r="U1670" t="str">
            <v>金牛店</v>
          </cell>
          <cell r="V1670" t="str">
            <v>2026-1-14</v>
          </cell>
          <cell r="W1670">
            <v>5.18</v>
          </cell>
        </row>
        <row r="1671">
          <cell r="U1671" t="str">
            <v>成华店</v>
          </cell>
          <cell r="V1671" t="str">
            <v>2026-1-14</v>
          </cell>
          <cell r="W1671">
            <v>0</v>
          </cell>
        </row>
        <row r="1672">
          <cell r="U1672" t="str">
            <v>西山店</v>
          </cell>
          <cell r="V1672" t="str">
            <v>2026-1-14</v>
          </cell>
          <cell r="W1672">
            <v>0.11</v>
          </cell>
        </row>
        <row r="1673">
          <cell r="U1673" t="str">
            <v>百捷店</v>
          </cell>
          <cell r="V1673" t="str">
            <v>2026-1-14</v>
          </cell>
          <cell r="W1673">
            <v>0</v>
          </cell>
        </row>
        <row r="1674">
          <cell r="U1674" t="str">
            <v>沙坪坝店</v>
          </cell>
          <cell r="V1674" t="str">
            <v>2026-1-14</v>
          </cell>
          <cell r="W1674">
            <v>3.33</v>
          </cell>
        </row>
        <row r="1675">
          <cell r="U1675" t="str">
            <v>五路口店</v>
          </cell>
          <cell r="V1675" t="str">
            <v>2026-1-14</v>
          </cell>
          <cell r="W1675">
            <v>2.51</v>
          </cell>
        </row>
        <row r="1676">
          <cell r="U1676" t="str">
            <v>济南店</v>
          </cell>
          <cell r="V1676" t="str">
            <v>2026-1-14</v>
          </cell>
          <cell r="W1676">
            <v>7.76</v>
          </cell>
        </row>
        <row r="1677">
          <cell r="U1677" t="str">
            <v>青羊店</v>
          </cell>
          <cell r="V1677" t="str">
            <v>2026-1-14</v>
          </cell>
          <cell r="W1677">
            <v>4.09</v>
          </cell>
        </row>
        <row r="1678">
          <cell r="U1678" t="str">
            <v>观音桥店</v>
          </cell>
          <cell r="V1678" t="str">
            <v>2026-1-14</v>
          </cell>
          <cell r="W1678">
            <v>4.24</v>
          </cell>
        </row>
        <row r="1679">
          <cell r="U1679" t="str">
            <v>西湖店</v>
          </cell>
          <cell r="V1679" t="str">
            <v>2026-1-14</v>
          </cell>
          <cell r="W1679">
            <v>0.6</v>
          </cell>
        </row>
        <row r="1680">
          <cell r="U1680" t="str">
            <v>诚毅店</v>
          </cell>
          <cell r="V1680" t="str">
            <v>2026-1-14</v>
          </cell>
          <cell r="W1680">
            <v>5.52</v>
          </cell>
        </row>
        <row r="1681">
          <cell r="U1681" t="str">
            <v>湖里店</v>
          </cell>
          <cell r="V1681" t="str">
            <v>2026-1-14</v>
          </cell>
          <cell r="W1681">
            <v>11.38</v>
          </cell>
        </row>
        <row r="1682">
          <cell r="U1682" t="str">
            <v>东新店</v>
          </cell>
          <cell r="V1682" t="str">
            <v>2026-1-14</v>
          </cell>
          <cell r="W1682">
            <v>0</v>
          </cell>
        </row>
        <row r="1683">
          <cell r="U1683" t="str">
            <v>大坪店</v>
          </cell>
          <cell r="V1683" t="str">
            <v>2026-1-14</v>
          </cell>
          <cell r="W1683">
            <v>0.03</v>
          </cell>
        </row>
        <row r="1684">
          <cell r="U1684" t="str">
            <v>凤城二路店</v>
          </cell>
          <cell r="V1684" t="str">
            <v>2026-1-14</v>
          </cell>
          <cell r="W1684">
            <v>4.86</v>
          </cell>
        </row>
        <row r="1685">
          <cell r="U1685" t="str">
            <v>洛江店</v>
          </cell>
          <cell r="V1685" t="str">
            <v>2026-1-14</v>
          </cell>
          <cell r="W1685">
            <v>1.43</v>
          </cell>
        </row>
        <row r="1686">
          <cell r="U1686" t="str">
            <v>官渡店</v>
          </cell>
          <cell r="V1686" t="str">
            <v>2026-1-14</v>
          </cell>
          <cell r="W1686">
            <v>15.01</v>
          </cell>
        </row>
        <row r="1687">
          <cell r="U1687" t="str">
            <v>武侯店</v>
          </cell>
          <cell r="V1687" t="str">
            <v>2026-1-14</v>
          </cell>
          <cell r="W1687">
            <v>18.74</v>
          </cell>
        </row>
        <row r="1688">
          <cell r="U1688" t="str">
            <v>黄雁村店</v>
          </cell>
          <cell r="V1688" t="str">
            <v>2026-1-14</v>
          </cell>
          <cell r="W1688">
            <v>5.01</v>
          </cell>
        </row>
        <row r="1689">
          <cell r="U1689" t="str">
            <v>五华店</v>
          </cell>
          <cell r="V1689" t="str">
            <v>2026-1-14</v>
          </cell>
          <cell r="W1689">
            <v>0</v>
          </cell>
        </row>
        <row r="1690">
          <cell r="U1690" t="str">
            <v>长沙店</v>
          </cell>
          <cell r="V1690" t="str">
            <v>2026-1-14</v>
          </cell>
          <cell r="W1690">
            <v>5.13</v>
          </cell>
        </row>
        <row r="1691">
          <cell r="U1691" t="str">
            <v>鼓楼店</v>
          </cell>
          <cell r="V1691" t="str">
            <v>2026-1-14</v>
          </cell>
          <cell r="W1691">
            <v>5.52</v>
          </cell>
        </row>
        <row r="1692">
          <cell r="U1692" t="str">
            <v>文昌店</v>
          </cell>
          <cell r="V1692" t="str">
            <v>2026-1-14</v>
          </cell>
          <cell r="W1692">
            <v>7.77</v>
          </cell>
        </row>
        <row r="1693">
          <cell r="U1693" t="str">
            <v>百丈店</v>
          </cell>
          <cell r="V1693" t="str">
            <v>2026-1-14</v>
          </cell>
          <cell r="W1693">
            <v>3.14</v>
          </cell>
        </row>
        <row r="1694">
          <cell r="U1694" t="str">
            <v>观桥店</v>
          </cell>
          <cell r="V1694" t="str">
            <v>2026-1-14</v>
          </cell>
          <cell r="W1694">
            <v>41.17</v>
          </cell>
        </row>
        <row r="1695">
          <cell r="U1695" t="str">
            <v>余杭店</v>
          </cell>
          <cell r="V1695" t="str">
            <v>2026-1-14</v>
          </cell>
          <cell r="W1695">
            <v>0.7</v>
          </cell>
        </row>
        <row r="1696">
          <cell r="U1696" t="str">
            <v>首山店</v>
          </cell>
          <cell r="V1696" t="str">
            <v>2026-1-14</v>
          </cell>
          <cell r="W1696">
            <v>0.77</v>
          </cell>
        </row>
        <row r="1697">
          <cell r="U1697" t="str">
            <v>首南店</v>
          </cell>
          <cell r="V1697" t="str">
            <v>2026-1-14</v>
          </cell>
          <cell r="W1697">
            <v>9.81</v>
          </cell>
        </row>
        <row r="1698">
          <cell r="U1698" t="str">
            <v>滨江店</v>
          </cell>
          <cell r="V1698" t="str">
            <v>2026-1-14</v>
          </cell>
          <cell r="W1698">
            <v>8.72</v>
          </cell>
        </row>
        <row r="1699">
          <cell r="U1699" t="str">
            <v>东海店</v>
          </cell>
          <cell r="V1699" t="str">
            <v>2026-1-15</v>
          </cell>
          <cell r="W1699">
            <v>23.28</v>
          </cell>
        </row>
        <row r="1700">
          <cell r="U1700" t="str">
            <v>东海店</v>
          </cell>
          <cell r="V1700" t="str">
            <v>2026-1-15</v>
          </cell>
          <cell r="W1700">
            <v>1.78</v>
          </cell>
        </row>
        <row r="1701">
          <cell r="U1701" t="str">
            <v>启点店</v>
          </cell>
          <cell r="V1701" t="str">
            <v>2026-1-15</v>
          </cell>
          <cell r="W1701">
            <v>0</v>
          </cell>
        </row>
        <row r="1702">
          <cell r="U1702" t="str">
            <v>高新店</v>
          </cell>
          <cell r="V1702" t="str">
            <v>2026-1-15</v>
          </cell>
          <cell r="W1702">
            <v>0</v>
          </cell>
        </row>
        <row r="1703">
          <cell r="U1703" t="str">
            <v>金牛店</v>
          </cell>
          <cell r="V1703" t="str">
            <v>2026-1-15</v>
          </cell>
          <cell r="W1703">
            <v>0.08</v>
          </cell>
        </row>
        <row r="1704">
          <cell r="U1704" t="str">
            <v>成华店</v>
          </cell>
          <cell r="V1704" t="str">
            <v>2026-1-15</v>
          </cell>
          <cell r="W1704">
            <v>0</v>
          </cell>
        </row>
        <row r="1705">
          <cell r="U1705" t="str">
            <v>西山店</v>
          </cell>
          <cell r="V1705" t="str">
            <v>2026-1-15</v>
          </cell>
          <cell r="W1705">
            <v>0</v>
          </cell>
        </row>
        <row r="1706">
          <cell r="U1706" t="str">
            <v>百捷店</v>
          </cell>
          <cell r="V1706" t="str">
            <v>2026-1-15</v>
          </cell>
          <cell r="W1706">
            <v>0</v>
          </cell>
        </row>
        <row r="1707">
          <cell r="U1707" t="str">
            <v>沙坪坝店</v>
          </cell>
          <cell r="V1707" t="str">
            <v>2026-1-15</v>
          </cell>
          <cell r="W1707">
            <v>2.11</v>
          </cell>
        </row>
        <row r="1708">
          <cell r="U1708" t="str">
            <v>五路口店</v>
          </cell>
          <cell r="V1708" t="str">
            <v>2026-1-15</v>
          </cell>
          <cell r="W1708">
            <v>2.29</v>
          </cell>
        </row>
        <row r="1709">
          <cell r="U1709" t="str">
            <v>济南店</v>
          </cell>
          <cell r="V1709" t="str">
            <v>2026-1-15</v>
          </cell>
          <cell r="W1709">
            <v>6.59</v>
          </cell>
        </row>
        <row r="1710">
          <cell r="U1710" t="str">
            <v>青羊店</v>
          </cell>
          <cell r="V1710" t="str">
            <v>2026-1-15</v>
          </cell>
          <cell r="W1710">
            <v>1.73</v>
          </cell>
        </row>
        <row r="1711">
          <cell r="U1711" t="str">
            <v>观音桥店</v>
          </cell>
          <cell r="V1711" t="str">
            <v>2026-1-15</v>
          </cell>
          <cell r="W1711">
            <v>5.14</v>
          </cell>
        </row>
        <row r="1712">
          <cell r="U1712" t="str">
            <v>西湖店</v>
          </cell>
          <cell r="V1712" t="str">
            <v>2026-1-15</v>
          </cell>
          <cell r="W1712">
            <v>2.23</v>
          </cell>
        </row>
        <row r="1713">
          <cell r="U1713" t="str">
            <v>诚毅店</v>
          </cell>
          <cell r="V1713" t="str">
            <v>2026-1-15</v>
          </cell>
          <cell r="W1713">
            <v>0.8</v>
          </cell>
        </row>
        <row r="1714">
          <cell r="U1714" t="str">
            <v>湖里店</v>
          </cell>
          <cell r="V1714" t="str">
            <v>2026-1-15</v>
          </cell>
          <cell r="W1714">
            <v>7.78</v>
          </cell>
        </row>
        <row r="1715">
          <cell r="U1715" t="str">
            <v>东新店</v>
          </cell>
          <cell r="V1715" t="str">
            <v>2026-1-15</v>
          </cell>
          <cell r="W1715">
            <v>0</v>
          </cell>
        </row>
        <row r="1716">
          <cell r="U1716" t="str">
            <v>大坪店</v>
          </cell>
          <cell r="V1716" t="str">
            <v>2026-1-15</v>
          </cell>
          <cell r="W1716">
            <v>0</v>
          </cell>
        </row>
        <row r="1717">
          <cell r="U1717" t="str">
            <v>凤城二路店</v>
          </cell>
          <cell r="V1717" t="str">
            <v>2026-1-15</v>
          </cell>
          <cell r="W1717">
            <v>0.06</v>
          </cell>
        </row>
        <row r="1718">
          <cell r="U1718" t="str">
            <v>洛江店</v>
          </cell>
          <cell r="V1718" t="str">
            <v>2026-1-15</v>
          </cell>
          <cell r="W1718">
            <v>2.13</v>
          </cell>
        </row>
        <row r="1719">
          <cell r="U1719" t="str">
            <v>官渡店</v>
          </cell>
          <cell r="V1719" t="str">
            <v>2026-1-15</v>
          </cell>
          <cell r="W1719">
            <v>27.46</v>
          </cell>
        </row>
        <row r="1720">
          <cell r="U1720" t="str">
            <v>武侯店</v>
          </cell>
          <cell r="V1720" t="str">
            <v>2026-1-15</v>
          </cell>
          <cell r="W1720">
            <v>15.88</v>
          </cell>
        </row>
        <row r="1721">
          <cell r="U1721" t="str">
            <v>黄雁村店</v>
          </cell>
          <cell r="V1721" t="str">
            <v>2026-1-15</v>
          </cell>
          <cell r="W1721">
            <v>7.81</v>
          </cell>
        </row>
        <row r="1722">
          <cell r="U1722" t="str">
            <v>五华店</v>
          </cell>
          <cell r="V1722" t="str">
            <v>2026-1-15</v>
          </cell>
          <cell r="W1722">
            <v>0</v>
          </cell>
        </row>
        <row r="1723">
          <cell r="U1723" t="str">
            <v>长沙店</v>
          </cell>
          <cell r="V1723" t="str">
            <v>2026-1-15</v>
          </cell>
          <cell r="W1723">
            <v>4.5</v>
          </cell>
        </row>
        <row r="1724">
          <cell r="U1724" t="str">
            <v>鼓楼店</v>
          </cell>
          <cell r="V1724" t="str">
            <v>2026-1-15</v>
          </cell>
          <cell r="W1724">
            <v>8.96</v>
          </cell>
        </row>
        <row r="1725">
          <cell r="U1725" t="str">
            <v>文昌店</v>
          </cell>
          <cell r="V1725" t="str">
            <v>2026-1-15</v>
          </cell>
          <cell r="W1725">
            <v>40.53</v>
          </cell>
        </row>
        <row r="1726">
          <cell r="U1726" t="str">
            <v>百丈店</v>
          </cell>
          <cell r="V1726" t="str">
            <v>2026-1-15</v>
          </cell>
          <cell r="W1726">
            <v>0.47</v>
          </cell>
        </row>
        <row r="1727">
          <cell r="U1727" t="str">
            <v>观桥店</v>
          </cell>
          <cell r="V1727" t="str">
            <v>2026-1-15</v>
          </cell>
          <cell r="W1727">
            <v>30.19</v>
          </cell>
        </row>
        <row r="1728">
          <cell r="U1728" t="str">
            <v>余杭店</v>
          </cell>
          <cell r="V1728" t="str">
            <v>2026-1-15</v>
          </cell>
          <cell r="W1728">
            <v>0</v>
          </cell>
        </row>
        <row r="1729">
          <cell r="U1729" t="str">
            <v>首山店</v>
          </cell>
          <cell r="V1729" t="str">
            <v>2026-1-15</v>
          </cell>
          <cell r="W1729">
            <v>4.47</v>
          </cell>
        </row>
        <row r="1730">
          <cell r="U1730" t="str">
            <v>首南店</v>
          </cell>
          <cell r="V1730" t="str">
            <v>2026-1-15</v>
          </cell>
          <cell r="W1730">
            <v>6.66</v>
          </cell>
        </row>
        <row r="1731">
          <cell r="U1731" t="str">
            <v>滨江店</v>
          </cell>
          <cell r="V1731" t="str">
            <v>2026-1-15</v>
          </cell>
          <cell r="W1731">
            <v>5.13</v>
          </cell>
        </row>
        <row r="1732">
          <cell r="U1732" t="str">
            <v>启点店</v>
          </cell>
          <cell r="V1732" t="str">
            <v>2026-1-16</v>
          </cell>
          <cell r="W1732">
            <v>0</v>
          </cell>
        </row>
        <row r="1733">
          <cell r="U1733" t="str">
            <v>高新店</v>
          </cell>
          <cell r="V1733" t="str">
            <v>2026-1-16</v>
          </cell>
          <cell r="W1733">
            <v>3.82</v>
          </cell>
        </row>
        <row r="1734">
          <cell r="U1734" t="str">
            <v>金牛店</v>
          </cell>
          <cell r="V1734" t="str">
            <v>2026-1-16</v>
          </cell>
          <cell r="W1734">
            <v>0</v>
          </cell>
        </row>
        <row r="1735">
          <cell r="U1735" t="str">
            <v>成华店</v>
          </cell>
          <cell r="V1735" t="str">
            <v>2026-1-16</v>
          </cell>
          <cell r="W1735">
            <v>0</v>
          </cell>
        </row>
        <row r="1736">
          <cell r="U1736" t="str">
            <v>西山店</v>
          </cell>
          <cell r="V1736" t="str">
            <v>2026-1-16</v>
          </cell>
          <cell r="W1736">
            <v>0.1</v>
          </cell>
        </row>
        <row r="1737">
          <cell r="U1737" t="str">
            <v>百捷店</v>
          </cell>
          <cell r="V1737" t="str">
            <v>2026-1-16</v>
          </cell>
          <cell r="W1737">
            <v>0</v>
          </cell>
        </row>
        <row r="1738">
          <cell r="U1738" t="str">
            <v>沙坪坝店</v>
          </cell>
          <cell r="V1738" t="str">
            <v>2026-1-16</v>
          </cell>
          <cell r="W1738">
            <v>0.67</v>
          </cell>
        </row>
        <row r="1739">
          <cell r="U1739" t="str">
            <v>五路口店</v>
          </cell>
          <cell r="V1739" t="str">
            <v>2026-1-16</v>
          </cell>
          <cell r="W1739">
            <v>3.99</v>
          </cell>
        </row>
        <row r="1740">
          <cell r="U1740" t="str">
            <v>济南店</v>
          </cell>
          <cell r="V1740" t="str">
            <v>2026-1-16</v>
          </cell>
          <cell r="W1740">
            <v>10.93</v>
          </cell>
        </row>
        <row r="1741">
          <cell r="U1741" t="str">
            <v>青羊店</v>
          </cell>
          <cell r="V1741" t="str">
            <v>2026-1-16</v>
          </cell>
          <cell r="W1741">
            <v>1.69</v>
          </cell>
        </row>
        <row r="1742">
          <cell r="U1742" t="str">
            <v>观音桥店</v>
          </cell>
          <cell r="V1742" t="str">
            <v>2026-1-16</v>
          </cell>
          <cell r="W1742">
            <v>4.94</v>
          </cell>
        </row>
        <row r="1743">
          <cell r="U1743" t="str">
            <v>西湖店</v>
          </cell>
          <cell r="V1743" t="str">
            <v>2026-1-16</v>
          </cell>
          <cell r="W1743">
            <v>7.68</v>
          </cell>
        </row>
        <row r="1744">
          <cell r="U1744" t="str">
            <v>诚毅店</v>
          </cell>
          <cell r="V1744" t="str">
            <v>2026-1-16</v>
          </cell>
          <cell r="W1744">
            <v>3.61</v>
          </cell>
        </row>
        <row r="1745">
          <cell r="U1745" t="str">
            <v>湖里店</v>
          </cell>
          <cell r="V1745" t="str">
            <v>2026-1-16</v>
          </cell>
          <cell r="W1745">
            <v>5.29</v>
          </cell>
        </row>
        <row r="1746">
          <cell r="U1746" t="str">
            <v>东新店</v>
          </cell>
          <cell r="V1746" t="str">
            <v>2026-1-16</v>
          </cell>
          <cell r="W1746">
            <v>0</v>
          </cell>
        </row>
        <row r="1747">
          <cell r="U1747" t="str">
            <v>大坪店</v>
          </cell>
          <cell r="V1747" t="str">
            <v>2026-1-16</v>
          </cell>
          <cell r="W1747">
            <v>0</v>
          </cell>
        </row>
        <row r="1748">
          <cell r="U1748" t="str">
            <v>凤城二路店</v>
          </cell>
          <cell r="V1748" t="str">
            <v>2026-1-16</v>
          </cell>
          <cell r="W1748">
            <v>2.49</v>
          </cell>
        </row>
        <row r="1749">
          <cell r="U1749" t="str">
            <v>洛江店</v>
          </cell>
          <cell r="V1749" t="str">
            <v>2026-1-16</v>
          </cell>
          <cell r="W1749">
            <v>1.71</v>
          </cell>
        </row>
        <row r="1750">
          <cell r="U1750" t="str">
            <v>官渡店</v>
          </cell>
          <cell r="V1750" t="str">
            <v>2026-1-16</v>
          </cell>
          <cell r="W1750">
            <v>57.22</v>
          </cell>
        </row>
        <row r="1751">
          <cell r="U1751" t="str">
            <v>武侯店</v>
          </cell>
          <cell r="V1751" t="str">
            <v>2026-1-16</v>
          </cell>
          <cell r="W1751">
            <v>17.31</v>
          </cell>
        </row>
        <row r="1752">
          <cell r="U1752" t="str">
            <v>黄雁村店</v>
          </cell>
          <cell r="V1752" t="str">
            <v>2026-1-16</v>
          </cell>
          <cell r="W1752">
            <v>5.25</v>
          </cell>
        </row>
        <row r="1753">
          <cell r="U1753" t="str">
            <v>五华店</v>
          </cell>
          <cell r="V1753" t="str">
            <v>2026-1-16</v>
          </cell>
          <cell r="W1753">
            <v>0</v>
          </cell>
        </row>
        <row r="1754">
          <cell r="U1754" t="str">
            <v>长沙店</v>
          </cell>
          <cell r="V1754" t="str">
            <v>2026-1-16</v>
          </cell>
          <cell r="W1754">
            <v>0.87</v>
          </cell>
        </row>
        <row r="1755">
          <cell r="U1755" t="str">
            <v>鼓楼店</v>
          </cell>
          <cell r="V1755" t="str">
            <v>2026-1-16</v>
          </cell>
          <cell r="W1755">
            <v>126.24</v>
          </cell>
        </row>
        <row r="1756">
          <cell r="U1756" t="str">
            <v>文昌店</v>
          </cell>
          <cell r="V1756" t="str">
            <v>2026-1-16</v>
          </cell>
          <cell r="W1756">
            <v>36.48</v>
          </cell>
        </row>
        <row r="1757">
          <cell r="U1757" t="str">
            <v>百丈店</v>
          </cell>
          <cell r="V1757" t="str">
            <v>2026-1-16</v>
          </cell>
          <cell r="W1757">
            <v>12.34</v>
          </cell>
        </row>
        <row r="1758">
          <cell r="U1758" t="str">
            <v>观桥店</v>
          </cell>
          <cell r="V1758" t="str">
            <v>2026-1-16</v>
          </cell>
          <cell r="W1758">
            <v>30.93</v>
          </cell>
        </row>
        <row r="1759">
          <cell r="U1759" t="str">
            <v>余杭店</v>
          </cell>
          <cell r="V1759" t="str">
            <v>2026-1-16</v>
          </cell>
          <cell r="W1759">
            <v>0</v>
          </cell>
        </row>
        <row r="1760">
          <cell r="U1760" t="str">
            <v>首山店</v>
          </cell>
          <cell r="V1760" t="str">
            <v>2026-1-16</v>
          </cell>
          <cell r="W1760">
            <v>6.52</v>
          </cell>
        </row>
        <row r="1761">
          <cell r="U1761" t="str">
            <v>首南店</v>
          </cell>
          <cell r="V1761" t="str">
            <v>2026-1-16</v>
          </cell>
          <cell r="W1761">
            <v>5.49</v>
          </cell>
        </row>
        <row r="1762">
          <cell r="U1762" t="str">
            <v>滨江店</v>
          </cell>
          <cell r="V1762" t="str">
            <v>2026-1-16</v>
          </cell>
          <cell r="W1762">
            <v>5.34</v>
          </cell>
        </row>
        <row r="1763">
          <cell r="U1763" t="str">
            <v>东海店</v>
          </cell>
          <cell r="V1763" t="str">
            <v>2026-1-16</v>
          </cell>
          <cell r="W1763">
            <v>29.35</v>
          </cell>
        </row>
        <row r="1764">
          <cell r="U1764" t="str">
            <v>东海店</v>
          </cell>
          <cell r="V1764" t="str">
            <v>2026-1-16</v>
          </cell>
          <cell r="W1764">
            <v>1.34</v>
          </cell>
        </row>
        <row r="1765">
          <cell r="U1765" t="str">
            <v>启点店</v>
          </cell>
          <cell r="V1765" t="str">
            <v>2026-1-17</v>
          </cell>
          <cell r="W1765">
            <v>0</v>
          </cell>
        </row>
        <row r="1766">
          <cell r="U1766" t="str">
            <v>高新店</v>
          </cell>
          <cell r="V1766" t="str">
            <v>2026-1-17</v>
          </cell>
          <cell r="W1766">
            <v>0.24</v>
          </cell>
        </row>
        <row r="1767">
          <cell r="U1767" t="str">
            <v>金牛店</v>
          </cell>
          <cell r="V1767" t="str">
            <v>2026-1-17</v>
          </cell>
          <cell r="W1767">
            <v>2.17</v>
          </cell>
        </row>
        <row r="1768">
          <cell r="U1768" t="str">
            <v>成华店</v>
          </cell>
          <cell r="V1768" t="str">
            <v>2026-1-17</v>
          </cell>
          <cell r="W1768">
            <v>0</v>
          </cell>
        </row>
        <row r="1769">
          <cell r="U1769" t="str">
            <v>西山店</v>
          </cell>
          <cell r="V1769" t="str">
            <v>2026-1-17</v>
          </cell>
          <cell r="W1769">
            <v>0</v>
          </cell>
        </row>
        <row r="1770">
          <cell r="U1770" t="str">
            <v>百捷店</v>
          </cell>
          <cell r="V1770" t="str">
            <v>2026-1-17</v>
          </cell>
          <cell r="W1770">
            <v>3.05</v>
          </cell>
        </row>
        <row r="1771">
          <cell r="U1771" t="str">
            <v>沙坪坝店</v>
          </cell>
          <cell r="V1771" t="str">
            <v>2026-1-17</v>
          </cell>
          <cell r="W1771">
            <v>2.43</v>
          </cell>
        </row>
        <row r="1772">
          <cell r="U1772" t="str">
            <v>五路口店</v>
          </cell>
          <cell r="V1772" t="str">
            <v>2026-1-17</v>
          </cell>
          <cell r="W1772">
            <v>0.46</v>
          </cell>
        </row>
        <row r="1773">
          <cell r="U1773" t="str">
            <v>济南店</v>
          </cell>
          <cell r="V1773" t="str">
            <v>2026-1-17</v>
          </cell>
          <cell r="W1773">
            <v>7.93</v>
          </cell>
        </row>
        <row r="1774">
          <cell r="U1774" t="str">
            <v>青羊店</v>
          </cell>
          <cell r="V1774" t="str">
            <v>2026-1-17</v>
          </cell>
          <cell r="W1774">
            <v>0.25</v>
          </cell>
        </row>
        <row r="1775">
          <cell r="U1775" t="str">
            <v>观音桥店</v>
          </cell>
          <cell r="V1775" t="str">
            <v>2026-1-17</v>
          </cell>
          <cell r="W1775">
            <v>8.24</v>
          </cell>
        </row>
        <row r="1776">
          <cell r="U1776" t="str">
            <v>西湖店</v>
          </cell>
          <cell r="V1776" t="str">
            <v>2026-1-17</v>
          </cell>
          <cell r="W1776">
            <v>1.45</v>
          </cell>
        </row>
        <row r="1777">
          <cell r="U1777" t="str">
            <v>诚毅店</v>
          </cell>
          <cell r="V1777" t="str">
            <v>2026-1-17</v>
          </cell>
          <cell r="W1777">
            <v>5.18</v>
          </cell>
        </row>
        <row r="1778">
          <cell r="U1778" t="str">
            <v>湖里店</v>
          </cell>
          <cell r="V1778" t="str">
            <v>2026-1-17</v>
          </cell>
          <cell r="W1778">
            <v>13.76</v>
          </cell>
        </row>
        <row r="1779">
          <cell r="U1779" t="str">
            <v>东新店</v>
          </cell>
          <cell r="V1779" t="str">
            <v>2026-1-17</v>
          </cell>
          <cell r="W1779">
            <v>4.6</v>
          </cell>
        </row>
        <row r="1780">
          <cell r="U1780" t="str">
            <v>大坪店</v>
          </cell>
          <cell r="V1780" t="str">
            <v>2026-1-17</v>
          </cell>
          <cell r="W1780">
            <v>1.56</v>
          </cell>
        </row>
        <row r="1781">
          <cell r="U1781" t="str">
            <v>凤城二路店</v>
          </cell>
          <cell r="V1781" t="str">
            <v>2026-1-17</v>
          </cell>
          <cell r="W1781">
            <v>6.32</v>
          </cell>
        </row>
        <row r="1782">
          <cell r="U1782" t="str">
            <v>洛江店</v>
          </cell>
          <cell r="V1782" t="str">
            <v>2026-1-17</v>
          </cell>
          <cell r="W1782">
            <v>0</v>
          </cell>
        </row>
        <row r="1783">
          <cell r="U1783" t="str">
            <v>官渡店</v>
          </cell>
          <cell r="V1783" t="str">
            <v>2026-1-17</v>
          </cell>
          <cell r="W1783">
            <v>10.15</v>
          </cell>
        </row>
        <row r="1784">
          <cell r="U1784" t="str">
            <v>武侯店</v>
          </cell>
          <cell r="V1784" t="str">
            <v>2026-1-17</v>
          </cell>
          <cell r="W1784">
            <v>15.06</v>
          </cell>
        </row>
        <row r="1785">
          <cell r="U1785" t="str">
            <v>黄雁村店</v>
          </cell>
          <cell r="V1785" t="str">
            <v>2026-1-17</v>
          </cell>
          <cell r="W1785">
            <v>16.89</v>
          </cell>
        </row>
        <row r="1786">
          <cell r="U1786" t="str">
            <v>五华店</v>
          </cell>
          <cell r="V1786" t="str">
            <v>2026-1-17</v>
          </cell>
          <cell r="W1786">
            <v>0</v>
          </cell>
        </row>
        <row r="1787">
          <cell r="U1787" t="str">
            <v>长沙店</v>
          </cell>
          <cell r="V1787" t="str">
            <v>2026-1-17</v>
          </cell>
          <cell r="W1787">
            <v>9.92</v>
          </cell>
        </row>
        <row r="1788">
          <cell r="U1788" t="str">
            <v>鼓楼店</v>
          </cell>
          <cell r="V1788" t="str">
            <v>2026-1-17</v>
          </cell>
          <cell r="W1788">
            <v>81.34</v>
          </cell>
        </row>
        <row r="1789">
          <cell r="U1789" t="str">
            <v>文昌店</v>
          </cell>
          <cell r="V1789" t="str">
            <v>2026-1-17</v>
          </cell>
          <cell r="W1789">
            <v>34.5</v>
          </cell>
        </row>
        <row r="1790">
          <cell r="U1790" t="str">
            <v>百丈店</v>
          </cell>
          <cell r="V1790" t="str">
            <v>2026-1-17</v>
          </cell>
          <cell r="W1790">
            <v>69.72</v>
          </cell>
        </row>
        <row r="1791">
          <cell r="U1791" t="str">
            <v>观桥店</v>
          </cell>
          <cell r="V1791" t="str">
            <v>2026-1-17</v>
          </cell>
          <cell r="W1791">
            <v>60.85</v>
          </cell>
        </row>
        <row r="1792">
          <cell r="U1792" t="str">
            <v>余杭店</v>
          </cell>
          <cell r="V1792" t="str">
            <v>2026-1-17</v>
          </cell>
          <cell r="W1792">
            <v>29</v>
          </cell>
        </row>
        <row r="1793">
          <cell r="U1793" t="str">
            <v>首山店</v>
          </cell>
          <cell r="V1793" t="str">
            <v>2026-1-17</v>
          </cell>
          <cell r="W1793">
            <v>4.04</v>
          </cell>
        </row>
        <row r="1794">
          <cell r="U1794" t="str">
            <v>首南店</v>
          </cell>
          <cell r="V1794" t="str">
            <v>2026-1-17</v>
          </cell>
          <cell r="W1794">
            <v>4.57</v>
          </cell>
        </row>
        <row r="1795">
          <cell r="U1795" t="str">
            <v>滨江店</v>
          </cell>
          <cell r="V1795" t="str">
            <v>2026-1-17</v>
          </cell>
          <cell r="W1795">
            <v>5.1</v>
          </cell>
        </row>
        <row r="1796">
          <cell r="U1796" t="str">
            <v>东海店</v>
          </cell>
          <cell r="V1796" t="str">
            <v>2026-1-17</v>
          </cell>
          <cell r="W1796">
            <v>23.38</v>
          </cell>
        </row>
        <row r="1797">
          <cell r="U1797" t="str">
            <v>东海店</v>
          </cell>
          <cell r="V1797" t="str">
            <v>2026-1-17</v>
          </cell>
          <cell r="W1797">
            <v>4.62</v>
          </cell>
        </row>
        <row r="1798">
          <cell r="U1798" t="str">
            <v>启点店</v>
          </cell>
          <cell r="V1798" t="str">
            <v>2026-1-18</v>
          </cell>
          <cell r="W1798">
            <v>3.28</v>
          </cell>
        </row>
        <row r="1799">
          <cell r="U1799" t="str">
            <v>高新店</v>
          </cell>
          <cell r="V1799" t="str">
            <v>2026-1-18</v>
          </cell>
          <cell r="W1799">
            <v>0.28</v>
          </cell>
        </row>
        <row r="1800">
          <cell r="U1800" t="str">
            <v>金牛店</v>
          </cell>
          <cell r="V1800" t="str">
            <v>2026-1-18</v>
          </cell>
          <cell r="W1800">
            <v>2.32</v>
          </cell>
        </row>
        <row r="1801">
          <cell r="U1801" t="str">
            <v>成华店</v>
          </cell>
          <cell r="V1801" t="str">
            <v>2026-1-18</v>
          </cell>
          <cell r="W1801">
            <v>0.32</v>
          </cell>
        </row>
        <row r="1802">
          <cell r="U1802" t="str">
            <v>西山店</v>
          </cell>
          <cell r="V1802" t="str">
            <v>2026-1-18</v>
          </cell>
          <cell r="W1802">
            <v>0.64</v>
          </cell>
        </row>
        <row r="1803">
          <cell r="U1803" t="str">
            <v>百捷店</v>
          </cell>
          <cell r="V1803" t="str">
            <v>2026-1-18</v>
          </cell>
          <cell r="W1803">
            <v>0</v>
          </cell>
        </row>
        <row r="1804">
          <cell r="U1804" t="str">
            <v>沙坪坝店</v>
          </cell>
          <cell r="V1804" t="str">
            <v>2026-1-18</v>
          </cell>
          <cell r="W1804">
            <v>4.22</v>
          </cell>
        </row>
        <row r="1805">
          <cell r="U1805" t="str">
            <v>五路口店</v>
          </cell>
          <cell r="V1805" t="str">
            <v>2026-1-18</v>
          </cell>
          <cell r="W1805">
            <v>49.65</v>
          </cell>
        </row>
        <row r="1806">
          <cell r="U1806" t="str">
            <v>济南店</v>
          </cell>
          <cell r="V1806" t="str">
            <v>2026-1-18</v>
          </cell>
          <cell r="W1806">
            <v>8.1</v>
          </cell>
        </row>
        <row r="1807">
          <cell r="U1807" t="str">
            <v>青羊店</v>
          </cell>
          <cell r="V1807" t="str">
            <v>2026-1-18</v>
          </cell>
          <cell r="W1807">
            <v>11.16</v>
          </cell>
        </row>
        <row r="1808">
          <cell r="U1808" t="str">
            <v>观音桥店</v>
          </cell>
          <cell r="V1808" t="str">
            <v>2026-1-18</v>
          </cell>
          <cell r="W1808">
            <v>1.35</v>
          </cell>
        </row>
        <row r="1809">
          <cell r="U1809" t="str">
            <v>西湖店</v>
          </cell>
          <cell r="V1809" t="str">
            <v>2026-1-18</v>
          </cell>
          <cell r="W1809">
            <v>3.07</v>
          </cell>
        </row>
        <row r="1810">
          <cell r="U1810" t="str">
            <v>诚毅店</v>
          </cell>
          <cell r="V1810" t="str">
            <v>2026-1-18</v>
          </cell>
          <cell r="W1810">
            <v>0.74</v>
          </cell>
        </row>
        <row r="1811">
          <cell r="U1811" t="str">
            <v>湖里店</v>
          </cell>
          <cell r="V1811" t="str">
            <v>2026-1-18</v>
          </cell>
          <cell r="W1811">
            <v>42.56</v>
          </cell>
        </row>
        <row r="1812">
          <cell r="U1812" t="str">
            <v>东新店</v>
          </cell>
          <cell r="V1812" t="str">
            <v>2026-1-18</v>
          </cell>
          <cell r="W1812">
            <v>97.4</v>
          </cell>
        </row>
        <row r="1813">
          <cell r="U1813" t="str">
            <v>大坪店</v>
          </cell>
          <cell r="V1813" t="str">
            <v>2026-1-18</v>
          </cell>
          <cell r="W1813">
            <v>6.22</v>
          </cell>
        </row>
        <row r="1814">
          <cell r="U1814" t="str">
            <v>凤城二路店</v>
          </cell>
          <cell r="V1814" t="str">
            <v>2026-1-18</v>
          </cell>
          <cell r="W1814">
            <v>0.35</v>
          </cell>
        </row>
        <row r="1815">
          <cell r="U1815" t="str">
            <v>洛江店</v>
          </cell>
          <cell r="V1815" t="str">
            <v>2026-1-18</v>
          </cell>
          <cell r="W1815">
            <v>0</v>
          </cell>
        </row>
        <row r="1816">
          <cell r="U1816" t="str">
            <v>官渡店</v>
          </cell>
          <cell r="V1816" t="str">
            <v>2026-1-18</v>
          </cell>
          <cell r="W1816">
            <v>15.78</v>
          </cell>
        </row>
        <row r="1817">
          <cell r="U1817" t="str">
            <v>武侯店</v>
          </cell>
          <cell r="V1817" t="str">
            <v>2026-1-18</v>
          </cell>
          <cell r="W1817">
            <v>15.74</v>
          </cell>
        </row>
        <row r="1818">
          <cell r="U1818" t="str">
            <v>黄雁村店</v>
          </cell>
          <cell r="V1818" t="str">
            <v>2026-1-18</v>
          </cell>
          <cell r="W1818">
            <v>58.71</v>
          </cell>
        </row>
        <row r="1819">
          <cell r="U1819" t="str">
            <v>五华店</v>
          </cell>
          <cell r="V1819" t="str">
            <v>2026-1-18</v>
          </cell>
          <cell r="W1819">
            <v>0</v>
          </cell>
        </row>
        <row r="1820">
          <cell r="U1820" t="str">
            <v>长沙店</v>
          </cell>
          <cell r="V1820" t="str">
            <v>2026-1-18</v>
          </cell>
          <cell r="W1820">
            <v>1.87</v>
          </cell>
        </row>
        <row r="1821">
          <cell r="U1821" t="str">
            <v>鼓楼店</v>
          </cell>
          <cell r="V1821" t="str">
            <v>2026-1-18</v>
          </cell>
          <cell r="W1821">
            <v>103.24</v>
          </cell>
        </row>
        <row r="1822">
          <cell r="U1822" t="str">
            <v>文昌店</v>
          </cell>
          <cell r="V1822" t="str">
            <v>2026-1-18</v>
          </cell>
          <cell r="W1822">
            <v>31.31</v>
          </cell>
        </row>
        <row r="1823">
          <cell r="U1823" t="str">
            <v>百丈店</v>
          </cell>
          <cell r="V1823" t="str">
            <v>2026-1-18</v>
          </cell>
          <cell r="W1823">
            <v>55.9</v>
          </cell>
        </row>
        <row r="1824">
          <cell r="U1824" t="str">
            <v>观桥店</v>
          </cell>
          <cell r="V1824" t="str">
            <v>2026-1-18</v>
          </cell>
          <cell r="W1824">
            <v>46.49</v>
          </cell>
        </row>
        <row r="1825">
          <cell r="U1825" t="str">
            <v>余杭店</v>
          </cell>
          <cell r="V1825" t="str">
            <v>2026-1-18</v>
          </cell>
          <cell r="W1825">
            <v>102.48</v>
          </cell>
        </row>
        <row r="1826">
          <cell r="U1826" t="str">
            <v>首山店</v>
          </cell>
          <cell r="V1826" t="str">
            <v>2026-1-18</v>
          </cell>
          <cell r="W1826">
            <v>11.97</v>
          </cell>
        </row>
        <row r="1827">
          <cell r="U1827" t="str">
            <v>首南店</v>
          </cell>
          <cell r="V1827" t="str">
            <v>2026-1-18</v>
          </cell>
          <cell r="W1827">
            <v>37.08</v>
          </cell>
        </row>
        <row r="1828">
          <cell r="U1828" t="str">
            <v>滨江店</v>
          </cell>
          <cell r="V1828" t="str">
            <v>2026-1-18</v>
          </cell>
          <cell r="W1828">
            <v>10.03</v>
          </cell>
        </row>
        <row r="1829">
          <cell r="U1829" t="str">
            <v>东海店</v>
          </cell>
          <cell r="V1829" t="str">
            <v>2026-1-18</v>
          </cell>
          <cell r="W1829">
            <v>12.6</v>
          </cell>
        </row>
        <row r="1830">
          <cell r="U1830" t="str">
            <v>东海店</v>
          </cell>
          <cell r="V1830" t="str">
            <v>2026-1-18</v>
          </cell>
          <cell r="W1830">
            <v>3.1</v>
          </cell>
        </row>
        <row r="1831">
          <cell r="U1831" t="str">
            <v>东海店</v>
          </cell>
          <cell r="V1831" t="str">
            <v>2026-1-19</v>
          </cell>
          <cell r="W1831">
            <v>17.07</v>
          </cell>
        </row>
        <row r="1832">
          <cell r="U1832" t="str">
            <v>东海店</v>
          </cell>
          <cell r="V1832" t="str">
            <v>2026-1-19</v>
          </cell>
          <cell r="W1832">
            <v>0</v>
          </cell>
        </row>
        <row r="1833">
          <cell r="U1833" t="str">
            <v>启点店</v>
          </cell>
          <cell r="V1833" t="str">
            <v>2026-1-19</v>
          </cell>
          <cell r="W1833">
            <v>30.07</v>
          </cell>
        </row>
        <row r="1834">
          <cell r="U1834" t="str">
            <v>高新店</v>
          </cell>
          <cell r="V1834" t="str">
            <v>2026-1-19</v>
          </cell>
          <cell r="W1834">
            <v>0</v>
          </cell>
        </row>
        <row r="1835">
          <cell r="U1835" t="str">
            <v>金牛店</v>
          </cell>
          <cell r="V1835" t="str">
            <v>2026-1-19</v>
          </cell>
          <cell r="W1835">
            <v>28.97</v>
          </cell>
        </row>
        <row r="1836">
          <cell r="U1836" t="str">
            <v>成华店</v>
          </cell>
          <cell r="V1836" t="str">
            <v>2026-1-19</v>
          </cell>
          <cell r="W1836">
            <v>8.25</v>
          </cell>
        </row>
        <row r="1837">
          <cell r="U1837" t="str">
            <v>西山店</v>
          </cell>
          <cell r="V1837" t="str">
            <v>2026-1-19</v>
          </cell>
          <cell r="W1837">
            <v>0.06</v>
          </cell>
        </row>
        <row r="1838">
          <cell r="U1838" t="str">
            <v>百捷店</v>
          </cell>
          <cell r="V1838" t="str">
            <v>2026-1-19</v>
          </cell>
          <cell r="W1838">
            <v>4.63</v>
          </cell>
        </row>
        <row r="1839">
          <cell r="U1839" t="str">
            <v>沙坪坝店</v>
          </cell>
          <cell r="V1839" t="str">
            <v>2026-1-19</v>
          </cell>
          <cell r="W1839">
            <v>4.31</v>
          </cell>
        </row>
        <row r="1840">
          <cell r="U1840" t="str">
            <v>五路口店</v>
          </cell>
          <cell r="V1840" t="str">
            <v>2026-1-19</v>
          </cell>
          <cell r="W1840">
            <v>58.39</v>
          </cell>
        </row>
        <row r="1841">
          <cell r="U1841" t="str">
            <v>济南店</v>
          </cell>
          <cell r="V1841" t="str">
            <v>2026-1-19</v>
          </cell>
          <cell r="W1841">
            <v>86.34</v>
          </cell>
        </row>
        <row r="1842">
          <cell r="U1842" t="str">
            <v>青羊店</v>
          </cell>
          <cell r="V1842" t="str">
            <v>2026-1-19</v>
          </cell>
          <cell r="W1842">
            <v>19.14</v>
          </cell>
        </row>
        <row r="1843">
          <cell r="U1843" t="str">
            <v>观音桥店</v>
          </cell>
          <cell r="V1843" t="str">
            <v>2026-1-19</v>
          </cell>
          <cell r="W1843">
            <v>12.02</v>
          </cell>
        </row>
        <row r="1844">
          <cell r="U1844" t="str">
            <v>西湖店</v>
          </cell>
          <cell r="V1844" t="str">
            <v>2026-1-19</v>
          </cell>
          <cell r="W1844">
            <v>3.56</v>
          </cell>
        </row>
        <row r="1845">
          <cell r="U1845" t="str">
            <v>诚毅店</v>
          </cell>
          <cell r="V1845" t="str">
            <v>2026-1-19</v>
          </cell>
          <cell r="W1845">
            <v>2.48</v>
          </cell>
        </row>
        <row r="1846">
          <cell r="U1846" t="str">
            <v>湖里店</v>
          </cell>
          <cell r="V1846" t="str">
            <v>2026-1-19</v>
          </cell>
          <cell r="W1846">
            <v>99.25</v>
          </cell>
        </row>
        <row r="1847">
          <cell r="U1847" t="str">
            <v>东新店</v>
          </cell>
          <cell r="V1847" t="str">
            <v>2026-1-19</v>
          </cell>
          <cell r="W1847">
            <v>111.23</v>
          </cell>
        </row>
        <row r="1848">
          <cell r="U1848" t="str">
            <v>大坪店</v>
          </cell>
          <cell r="V1848" t="str">
            <v>2026-1-19</v>
          </cell>
          <cell r="W1848">
            <v>3.86</v>
          </cell>
        </row>
        <row r="1849">
          <cell r="U1849" t="str">
            <v>凤城二路店</v>
          </cell>
          <cell r="V1849" t="str">
            <v>2026-1-19</v>
          </cell>
          <cell r="W1849">
            <v>1.19</v>
          </cell>
        </row>
        <row r="1850">
          <cell r="U1850" t="str">
            <v>洛江店</v>
          </cell>
          <cell r="V1850" t="str">
            <v>2026-1-19</v>
          </cell>
          <cell r="W1850">
            <v>2.67</v>
          </cell>
        </row>
        <row r="1851">
          <cell r="U1851" t="str">
            <v>官渡店</v>
          </cell>
          <cell r="V1851" t="str">
            <v>2026-1-19</v>
          </cell>
          <cell r="W1851">
            <v>21.21</v>
          </cell>
        </row>
        <row r="1852">
          <cell r="U1852" t="str">
            <v>武侯店</v>
          </cell>
          <cell r="V1852" t="str">
            <v>2026-1-19</v>
          </cell>
          <cell r="W1852">
            <v>16.09</v>
          </cell>
        </row>
        <row r="1853">
          <cell r="U1853" t="str">
            <v>黄雁村店</v>
          </cell>
          <cell r="V1853" t="str">
            <v>2026-1-19</v>
          </cell>
          <cell r="W1853">
            <v>43.39</v>
          </cell>
        </row>
        <row r="1854">
          <cell r="U1854" t="str">
            <v>五华店</v>
          </cell>
          <cell r="V1854" t="str">
            <v>2026-1-19</v>
          </cell>
          <cell r="W1854">
            <v>0</v>
          </cell>
        </row>
        <row r="1855">
          <cell r="U1855" t="str">
            <v>长沙店</v>
          </cell>
          <cell r="V1855" t="str">
            <v>2026-1-19</v>
          </cell>
          <cell r="W1855">
            <v>6.09</v>
          </cell>
        </row>
        <row r="1856">
          <cell r="U1856" t="str">
            <v>鼓楼店</v>
          </cell>
          <cell r="V1856" t="str">
            <v>2026-1-19</v>
          </cell>
          <cell r="W1856">
            <v>82.96</v>
          </cell>
        </row>
        <row r="1857">
          <cell r="U1857" t="str">
            <v>文昌店</v>
          </cell>
          <cell r="V1857" t="str">
            <v>2026-1-19</v>
          </cell>
          <cell r="W1857">
            <v>51.2</v>
          </cell>
        </row>
        <row r="1858">
          <cell r="U1858" t="str">
            <v>百丈店</v>
          </cell>
          <cell r="V1858" t="str">
            <v>2026-1-19</v>
          </cell>
          <cell r="W1858">
            <v>42.9</v>
          </cell>
        </row>
        <row r="1859">
          <cell r="U1859" t="str">
            <v>观桥店</v>
          </cell>
          <cell r="V1859" t="str">
            <v>2026-1-19</v>
          </cell>
          <cell r="W1859">
            <v>0.04</v>
          </cell>
        </row>
        <row r="1860">
          <cell r="U1860" t="str">
            <v>余杭店</v>
          </cell>
          <cell r="V1860" t="str">
            <v>2026-1-19</v>
          </cell>
          <cell r="W1860">
            <v>150.78</v>
          </cell>
        </row>
        <row r="1861">
          <cell r="U1861" t="str">
            <v>首山店</v>
          </cell>
          <cell r="V1861" t="str">
            <v>2026-1-19</v>
          </cell>
          <cell r="W1861">
            <v>41.28</v>
          </cell>
        </row>
        <row r="1862">
          <cell r="U1862" t="str">
            <v>首南店</v>
          </cell>
          <cell r="V1862" t="str">
            <v>2026-1-19</v>
          </cell>
          <cell r="W1862">
            <v>156.24</v>
          </cell>
        </row>
        <row r="1863">
          <cell r="U1863" t="str">
            <v>滨江店</v>
          </cell>
          <cell r="V1863" t="str">
            <v>2026-1-19</v>
          </cell>
          <cell r="W1863">
            <v>66.99</v>
          </cell>
        </row>
        <row r="1864">
          <cell r="U1864" t="str">
            <v>启点店</v>
          </cell>
          <cell r="V1864" t="str">
            <v>2026-1-20</v>
          </cell>
          <cell r="W1864">
            <v>87.25</v>
          </cell>
        </row>
        <row r="1865">
          <cell r="U1865" t="str">
            <v>高新店</v>
          </cell>
          <cell r="V1865" t="str">
            <v>2026-1-20</v>
          </cell>
          <cell r="W1865">
            <v>0.39</v>
          </cell>
        </row>
        <row r="1866">
          <cell r="U1866" t="str">
            <v>金牛店</v>
          </cell>
          <cell r="V1866" t="str">
            <v>2026-1-20</v>
          </cell>
          <cell r="W1866">
            <v>20.05</v>
          </cell>
        </row>
        <row r="1867">
          <cell r="U1867" t="str">
            <v>成华店</v>
          </cell>
          <cell r="V1867" t="str">
            <v>2026-1-20</v>
          </cell>
          <cell r="W1867">
            <v>43.08</v>
          </cell>
        </row>
        <row r="1868">
          <cell r="U1868" t="str">
            <v>西山店</v>
          </cell>
          <cell r="V1868" t="str">
            <v>2026-1-20</v>
          </cell>
          <cell r="W1868">
            <v>2.01</v>
          </cell>
        </row>
        <row r="1869">
          <cell r="U1869" t="str">
            <v>百捷店</v>
          </cell>
          <cell r="V1869" t="str">
            <v>2026-1-20</v>
          </cell>
          <cell r="W1869">
            <v>9.15</v>
          </cell>
        </row>
        <row r="1870">
          <cell r="U1870" t="str">
            <v>沙坪坝店</v>
          </cell>
          <cell r="V1870" t="str">
            <v>2026-1-20</v>
          </cell>
          <cell r="W1870">
            <v>2.26</v>
          </cell>
        </row>
        <row r="1871">
          <cell r="U1871" t="str">
            <v>五路口店</v>
          </cell>
          <cell r="V1871" t="str">
            <v>2026-1-20</v>
          </cell>
          <cell r="W1871">
            <v>36.07</v>
          </cell>
        </row>
        <row r="1872">
          <cell r="U1872" t="str">
            <v>济南店</v>
          </cell>
          <cell r="V1872" t="str">
            <v>2026-1-20</v>
          </cell>
          <cell r="W1872">
            <v>113.56</v>
          </cell>
        </row>
        <row r="1873">
          <cell r="U1873" t="str">
            <v>青羊店</v>
          </cell>
          <cell r="V1873" t="str">
            <v>2026-1-20</v>
          </cell>
          <cell r="W1873">
            <v>41.15</v>
          </cell>
        </row>
        <row r="1874">
          <cell r="U1874" t="str">
            <v>观音桥店</v>
          </cell>
          <cell r="V1874" t="str">
            <v>2026-1-20</v>
          </cell>
          <cell r="W1874">
            <v>41.55</v>
          </cell>
        </row>
        <row r="1875">
          <cell r="U1875" t="str">
            <v>西湖店</v>
          </cell>
          <cell r="V1875" t="str">
            <v>2026-1-20</v>
          </cell>
          <cell r="W1875">
            <v>10.82</v>
          </cell>
        </row>
        <row r="1876">
          <cell r="U1876" t="str">
            <v>诚毅店</v>
          </cell>
          <cell r="V1876" t="str">
            <v>2026-1-20</v>
          </cell>
          <cell r="W1876">
            <v>46.28</v>
          </cell>
        </row>
        <row r="1877">
          <cell r="U1877" t="str">
            <v>湖里店</v>
          </cell>
          <cell r="V1877" t="str">
            <v>2026-1-20</v>
          </cell>
          <cell r="W1877">
            <v>90.25</v>
          </cell>
        </row>
        <row r="1878">
          <cell r="U1878" t="str">
            <v>东新店</v>
          </cell>
          <cell r="V1878" t="str">
            <v>2026-1-20</v>
          </cell>
          <cell r="W1878">
            <v>86.01</v>
          </cell>
        </row>
        <row r="1879">
          <cell r="U1879" t="str">
            <v>大坪店</v>
          </cell>
          <cell r="V1879" t="str">
            <v>2026-1-20</v>
          </cell>
          <cell r="W1879">
            <v>0.96</v>
          </cell>
        </row>
        <row r="1880">
          <cell r="U1880" t="str">
            <v>凤城二路店</v>
          </cell>
          <cell r="V1880" t="str">
            <v>2026-1-20</v>
          </cell>
          <cell r="W1880">
            <v>67.15</v>
          </cell>
        </row>
        <row r="1881">
          <cell r="U1881" t="str">
            <v>洛江店</v>
          </cell>
          <cell r="V1881" t="str">
            <v>2026-1-20</v>
          </cell>
          <cell r="W1881">
            <v>0</v>
          </cell>
        </row>
        <row r="1882">
          <cell r="U1882" t="str">
            <v>官渡店</v>
          </cell>
          <cell r="V1882" t="str">
            <v>2026-1-20</v>
          </cell>
          <cell r="W1882">
            <v>22.63</v>
          </cell>
        </row>
        <row r="1883">
          <cell r="U1883" t="str">
            <v>武侯店</v>
          </cell>
          <cell r="V1883" t="str">
            <v>2026-1-20</v>
          </cell>
          <cell r="W1883">
            <v>19.36</v>
          </cell>
        </row>
        <row r="1884">
          <cell r="U1884" t="str">
            <v>黄雁村店</v>
          </cell>
          <cell r="V1884" t="str">
            <v>2026-1-20</v>
          </cell>
          <cell r="W1884">
            <v>92.56</v>
          </cell>
        </row>
        <row r="1885">
          <cell r="U1885" t="str">
            <v>五华店</v>
          </cell>
          <cell r="V1885" t="str">
            <v>2026-1-20</v>
          </cell>
          <cell r="W1885">
            <v>23.78</v>
          </cell>
        </row>
        <row r="1886">
          <cell r="U1886" t="str">
            <v>长沙店</v>
          </cell>
          <cell r="V1886" t="str">
            <v>2026-1-20</v>
          </cell>
          <cell r="W1886">
            <v>142.91</v>
          </cell>
        </row>
        <row r="1887">
          <cell r="U1887" t="str">
            <v>鼓楼店</v>
          </cell>
          <cell r="V1887" t="str">
            <v>2026-1-20</v>
          </cell>
          <cell r="W1887">
            <v>108.89</v>
          </cell>
        </row>
        <row r="1888">
          <cell r="U1888" t="str">
            <v>文昌店</v>
          </cell>
          <cell r="V1888" t="str">
            <v>2026-1-20</v>
          </cell>
          <cell r="W1888">
            <v>10.97</v>
          </cell>
        </row>
        <row r="1889">
          <cell r="U1889" t="str">
            <v>百丈店</v>
          </cell>
          <cell r="V1889" t="str">
            <v>2026-1-20</v>
          </cell>
          <cell r="W1889">
            <v>31.97</v>
          </cell>
        </row>
        <row r="1890">
          <cell r="U1890" t="str">
            <v>观桥店</v>
          </cell>
          <cell r="V1890" t="str">
            <v>2026-1-20</v>
          </cell>
          <cell r="W1890">
            <v>4.9</v>
          </cell>
        </row>
        <row r="1891">
          <cell r="U1891" t="str">
            <v>余杭店</v>
          </cell>
          <cell r="V1891" t="str">
            <v>2026-1-20</v>
          </cell>
          <cell r="W1891">
            <v>77.35</v>
          </cell>
        </row>
        <row r="1892">
          <cell r="U1892" t="str">
            <v>首山店</v>
          </cell>
          <cell r="V1892" t="str">
            <v>2026-1-20</v>
          </cell>
          <cell r="W1892">
            <v>48.98</v>
          </cell>
        </row>
        <row r="1893">
          <cell r="U1893" t="str">
            <v>首南店</v>
          </cell>
          <cell r="V1893" t="str">
            <v>2026-1-20</v>
          </cell>
          <cell r="W1893">
            <v>103.77</v>
          </cell>
        </row>
        <row r="1894">
          <cell r="U1894" t="str">
            <v>滨江店</v>
          </cell>
          <cell r="V1894" t="str">
            <v>2026-1-20</v>
          </cell>
          <cell r="W1894">
            <v>108.25</v>
          </cell>
        </row>
        <row r="1895">
          <cell r="U1895" t="str">
            <v>东海店</v>
          </cell>
          <cell r="V1895" t="str">
            <v>2026-1-20</v>
          </cell>
          <cell r="W1895">
            <v>11.93</v>
          </cell>
        </row>
        <row r="1896">
          <cell r="U1896" t="str">
            <v>东海店</v>
          </cell>
          <cell r="V1896" t="str">
            <v>2026-1-20</v>
          </cell>
          <cell r="W1896">
            <v>0</v>
          </cell>
        </row>
        <row r="1897">
          <cell r="U1897" t="str">
            <v>启点店</v>
          </cell>
          <cell r="V1897" t="str">
            <v>2026-1-21</v>
          </cell>
          <cell r="W1897">
            <v>67.26</v>
          </cell>
        </row>
        <row r="1898">
          <cell r="U1898" t="str">
            <v>高新店</v>
          </cell>
          <cell r="V1898" t="str">
            <v>2026-1-21</v>
          </cell>
          <cell r="W1898">
            <v>59.9</v>
          </cell>
        </row>
        <row r="1899">
          <cell r="U1899" t="str">
            <v>金牛店</v>
          </cell>
          <cell r="V1899" t="str">
            <v>2026-1-21</v>
          </cell>
          <cell r="W1899">
            <v>24.92</v>
          </cell>
        </row>
        <row r="1900">
          <cell r="U1900" t="str">
            <v>成华店</v>
          </cell>
          <cell r="V1900" t="str">
            <v>2026-1-21</v>
          </cell>
          <cell r="W1900">
            <v>29.27</v>
          </cell>
        </row>
        <row r="1901">
          <cell r="U1901" t="str">
            <v>西山店</v>
          </cell>
          <cell r="V1901" t="str">
            <v>2026-1-21</v>
          </cell>
          <cell r="W1901">
            <v>2.06</v>
          </cell>
        </row>
        <row r="1902">
          <cell r="U1902" t="str">
            <v>百捷店</v>
          </cell>
          <cell r="V1902" t="str">
            <v>2026-1-21</v>
          </cell>
          <cell r="W1902">
            <v>24.54</v>
          </cell>
        </row>
        <row r="1903">
          <cell r="U1903" t="str">
            <v>沙坪坝店</v>
          </cell>
          <cell r="V1903" t="str">
            <v>2026-1-21</v>
          </cell>
          <cell r="W1903">
            <v>3.33</v>
          </cell>
        </row>
        <row r="1904">
          <cell r="U1904" t="str">
            <v>五路口店</v>
          </cell>
          <cell r="V1904" t="str">
            <v>2026-1-21</v>
          </cell>
          <cell r="W1904">
            <v>45.76</v>
          </cell>
        </row>
        <row r="1905">
          <cell r="U1905" t="str">
            <v>济南店</v>
          </cell>
          <cell r="V1905" t="str">
            <v>2026-1-21</v>
          </cell>
          <cell r="W1905">
            <v>101.46</v>
          </cell>
        </row>
        <row r="1906">
          <cell r="U1906" t="str">
            <v>青羊店</v>
          </cell>
          <cell r="V1906" t="str">
            <v>2026-1-21</v>
          </cell>
          <cell r="W1906">
            <v>17.84</v>
          </cell>
        </row>
        <row r="1907">
          <cell r="U1907" t="str">
            <v>观音桥店</v>
          </cell>
          <cell r="V1907" t="str">
            <v>2026-1-21</v>
          </cell>
          <cell r="W1907">
            <v>49.22</v>
          </cell>
        </row>
        <row r="1908">
          <cell r="U1908" t="str">
            <v>西湖店</v>
          </cell>
          <cell r="V1908" t="str">
            <v>2026-1-21</v>
          </cell>
          <cell r="W1908">
            <v>91.38</v>
          </cell>
        </row>
        <row r="1909">
          <cell r="U1909" t="str">
            <v>诚毅店</v>
          </cell>
          <cell r="V1909" t="str">
            <v>2026-1-21</v>
          </cell>
          <cell r="W1909">
            <v>43.46</v>
          </cell>
        </row>
        <row r="1910">
          <cell r="U1910" t="str">
            <v>湖里店</v>
          </cell>
          <cell r="V1910" t="str">
            <v>2026-1-21</v>
          </cell>
          <cell r="W1910">
            <v>101.89</v>
          </cell>
        </row>
        <row r="1911">
          <cell r="U1911" t="str">
            <v>东新店</v>
          </cell>
          <cell r="V1911" t="str">
            <v>2026-1-21</v>
          </cell>
          <cell r="W1911">
            <v>89.66</v>
          </cell>
        </row>
        <row r="1912">
          <cell r="U1912" t="str">
            <v>大坪店</v>
          </cell>
          <cell r="V1912" t="str">
            <v>2026-1-21</v>
          </cell>
          <cell r="W1912">
            <v>1.78</v>
          </cell>
        </row>
        <row r="1913">
          <cell r="U1913" t="str">
            <v>凤城二路店</v>
          </cell>
          <cell r="V1913" t="str">
            <v>2026-1-21</v>
          </cell>
          <cell r="W1913">
            <v>35.18</v>
          </cell>
        </row>
        <row r="1914">
          <cell r="U1914" t="str">
            <v>洛江店</v>
          </cell>
          <cell r="V1914" t="str">
            <v>2026-1-21</v>
          </cell>
          <cell r="W1914">
            <v>1.97</v>
          </cell>
        </row>
        <row r="1915">
          <cell r="U1915" t="str">
            <v>官渡店</v>
          </cell>
          <cell r="V1915" t="str">
            <v>2026-1-21</v>
          </cell>
          <cell r="W1915">
            <v>50.43</v>
          </cell>
        </row>
        <row r="1916">
          <cell r="U1916" t="str">
            <v>武侯店</v>
          </cell>
          <cell r="V1916" t="str">
            <v>2026-1-21</v>
          </cell>
          <cell r="W1916">
            <v>16.09</v>
          </cell>
        </row>
        <row r="1917">
          <cell r="U1917" t="str">
            <v>黄雁村店</v>
          </cell>
          <cell r="V1917" t="str">
            <v>2026-1-21</v>
          </cell>
          <cell r="W1917">
            <v>62.81</v>
          </cell>
        </row>
        <row r="1918">
          <cell r="U1918" t="str">
            <v>五华店</v>
          </cell>
          <cell r="V1918" t="str">
            <v>2026-1-21</v>
          </cell>
          <cell r="W1918">
            <v>19.97</v>
          </cell>
        </row>
        <row r="1919">
          <cell r="U1919" t="str">
            <v>长沙店</v>
          </cell>
          <cell r="V1919" t="str">
            <v>2026-1-21</v>
          </cell>
          <cell r="W1919">
            <v>64.04</v>
          </cell>
        </row>
        <row r="1920">
          <cell r="U1920" t="str">
            <v>鼓楼店</v>
          </cell>
          <cell r="V1920" t="str">
            <v>2026-1-21</v>
          </cell>
          <cell r="W1920">
            <v>90.72</v>
          </cell>
        </row>
        <row r="1921">
          <cell r="U1921" t="str">
            <v>文昌店</v>
          </cell>
          <cell r="V1921" t="str">
            <v>2026-1-21</v>
          </cell>
          <cell r="W1921">
            <v>20.09</v>
          </cell>
        </row>
        <row r="1922">
          <cell r="U1922" t="str">
            <v>百丈店</v>
          </cell>
          <cell r="V1922" t="str">
            <v>2026-1-21</v>
          </cell>
          <cell r="W1922">
            <v>68.68</v>
          </cell>
        </row>
        <row r="1923">
          <cell r="U1923" t="str">
            <v>观桥店</v>
          </cell>
          <cell r="V1923" t="str">
            <v>2026-1-21</v>
          </cell>
          <cell r="W1923">
            <v>1.97</v>
          </cell>
        </row>
        <row r="1924">
          <cell r="U1924" t="str">
            <v>余杭店</v>
          </cell>
          <cell r="V1924" t="str">
            <v>2026-1-21</v>
          </cell>
          <cell r="W1924">
            <v>85.34</v>
          </cell>
        </row>
        <row r="1925">
          <cell r="U1925" t="str">
            <v>首山店</v>
          </cell>
          <cell r="V1925" t="str">
            <v>2026-1-21</v>
          </cell>
          <cell r="W1925">
            <v>48.39</v>
          </cell>
        </row>
        <row r="1926">
          <cell r="U1926" t="str">
            <v>首南店</v>
          </cell>
          <cell r="V1926" t="str">
            <v>2026-1-21</v>
          </cell>
          <cell r="W1926">
            <v>73.82</v>
          </cell>
        </row>
        <row r="1927">
          <cell r="U1927" t="str">
            <v>滨江店</v>
          </cell>
          <cell r="V1927" t="str">
            <v>2026-1-21</v>
          </cell>
          <cell r="W1927">
            <v>89.97</v>
          </cell>
        </row>
        <row r="1928">
          <cell r="U1928" t="str">
            <v>东海店</v>
          </cell>
          <cell r="V1928" t="str">
            <v>2026-1-21</v>
          </cell>
          <cell r="W1928">
            <v>16.75</v>
          </cell>
        </row>
        <row r="1929">
          <cell r="U1929" t="str">
            <v>东海店</v>
          </cell>
          <cell r="V1929" t="str">
            <v>2026-1-21</v>
          </cell>
          <cell r="W1929">
            <v>4.68</v>
          </cell>
        </row>
        <row r="1930">
          <cell r="U1930" t="str">
            <v>启点店</v>
          </cell>
          <cell r="V1930" t="str">
            <v>2026-1-22</v>
          </cell>
          <cell r="W1930">
            <v>55</v>
          </cell>
        </row>
        <row r="1931">
          <cell r="U1931" t="str">
            <v>高新店</v>
          </cell>
          <cell r="V1931" t="str">
            <v>2026-1-22</v>
          </cell>
          <cell r="W1931">
            <v>29.97</v>
          </cell>
        </row>
        <row r="1932">
          <cell r="U1932" t="str">
            <v>金牛店</v>
          </cell>
          <cell r="V1932" t="str">
            <v>2026-1-22</v>
          </cell>
          <cell r="W1932">
            <v>40.24</v>
          </cell>
        </row>
        <row r="1933">
          <cell r="U1933" t="str">
            <v>成华店</v>
          </cell>
          <cell r="V1933" t="str">
            <v>2026-1-22</v>
          </cell>
          <cell r="W1933">
            <v>47.96</v>
          </cell>
        </row>
        <row r="1934">
          <cell r="U1934" t="str">
            <v>西山店</v>
          </cell>
          <cell r="V1934" t="str">
            <v>2026-1-22</v>
          </cell>
          <cell r="W1934">
            <v>0.4</v>
          </cell>
        </row>
        <row r="1935">
          <cell r="U1935" t="str">
            <v>百捷店</v>
          </cell>
          <cell r="V1935" t="str">
            <v>2026-1-22</v>
          </cell>
          <cell r="W1935">
            <v>59.83</v>
          </cell>
        </row>
        <row r="1936">
          <cell r="U1936" t="str">
            <v>沙坪坝店</v>
          </cell>
          <cell r="V1936" t="str">
            <v>2026-1-22</v>
          </cell>
          <cell r="W1936">
            <v>0.69</v>
          </cell>
        </row>
        <row r="1937">
          <cell r="U1937" t="str">
            <v>五路口店</v>
          </cell>
          <cell r="V1937" t="str">
            <v>2026-1-22</v>
          </cell>
          <cell r="W1937">
            <v>45.69</v>
          </cell>
        </row>
        <row r="1938">
          <cell r="U1938" t="str">
            <v>济南店</v>
          </cell>
          <cell r="V1938" t="str">
            <v>2026-1-22</v>
          </cell>
          <cell r="W1938">
            <v>82.18</v>
          </cell>
        </row>
        <row r="1939">
          <cell r="U1939" t="str">
            <v>青羊店</v>
          </cell>
          <cell r="V1939" t="str">
            <v>2026-1-22</v>
          </cell>
          <cell r="W1939">
            <v>25.46</v>
          </cell>
        </row>
        <row r="1940">
          <cell r="U1940" t="str">
            <v>观音桥店</v>
          </cell>
          <cell r="V1940" t="str">
            <v>2026-1-22</v>
          </cell>
          <cell r="W1940">
            <v>44.53</v>
          </cell>
        </row>
        <row r="1941">
          <cell r="U1941" t="str">
            <v>西湖店</v>
          </cell>
          <cell r="V1941" t="str">
            <v>2026-1-22</v>
          </cell>
          <cell r="W1941">
            <v>79.39</v>
          </cell>
        </row>
        <row r="1942">
          <cell r="U1942" t="str">
            <v>诚毅店</v>
          </cell>
          <cell r="V1942" t="str">
            <v>2026-1-22</v>
          </cell>
          <cell r="W1942">
            <v>47.07</v>
          </cell>
        </row>
        <row r="1943">
          <cell r="U1943" t="str">
            <v>湖里店</v>
          </cell>
          <cell r="V1943" t="str">
            <v>2026-1-22</v>
          </cell>
          <cell r="W1943">
            <v>123.72</v>
          </cell>
        </row>
        <row r="1944">
          <cell r="U1944" t="str">
            <v>东新店</v>
          </cell>
          <cell r="V1944" t="str">
            <v>2026-1-22</v>
          </cell>
          <cell r="W1944">
            <v>126.07</v>
          </cell>
        </row>
        <row r="1945">
          <cell r="U1945" t="str">
            <v>大坪店</v>
          </cell>
          <cell r="V1945" t="str">
            <v>2026-1-22</v>
          </cell>
          <cell r="W1945">
            <v>1.82</v>
          </cell>
        </row>
        <row r="1946">
          <cell r="U1946" t="str">
            <v>凤城二路店</v>
          </cell>
          <cell r="V1946" t="str">
            <v>2026-1-22</v>
          </cell>
          <cell r="W1946">
            <v>68.99</v>
          </cell>
        </row>
        <row r="1947">
          <cell r="U1947" t="str">
            <v>洛江店</v>
          </cell>
          <cell r="V1947" t="str">
            <v>2026-1-22</v>
          </cell>
          <cell r="W1947">
            <v>0.37</v>
          </cell>
        </row>
        <row r="1948">
          <cell r="U1948" t="str">
            <v>官渡店</v>
          </cell>
          <cell r="V1948" t="str">
            <v>2026-1-22</v>
          </cell>
          <cell r="W1948">
            <v>11.05</v>
          </cell>
        </row>
        <row r="1949">
          <cell r="U1949" t="str">
            <v>武侯店</v>
          </cell>
          <cell r="V1949" t="str">
            <v>2026-1-22</v>
          </cell>
          <cell r="W1949">
            <v>25.86</v>
          </cell>
        </row>
        <row r="1950">
          <cell r="U1950" t="str">
            <v>黄雁村店</v>
          </cell>
          <cell r="V1950" t="str">
            <v>2026-1-22</v>
          </cell>
          <cell r="W1950">
            <v>67.34</v>
          </cell>
        </row>
        <row r="1951">
          <cell r="U1951" t="str">
            <v>五华店</v>
          </cell>
          <cell r="V1951" t="str">
            <v>2026-1-22</v>
          </cell>
          <cell r="W1951">
            <v>22.54</v>
          </cell>
        </row>
        <row r="1952">
          <cell r="U1952" t="str">
            <v>长沙店</v>
          </cell>
          <cell r="V1952" t="str">
            <v>2026-1-22</v>
          </cell>
          <cell r="W1952">
            <v>83.56</v>
          </cell>
        </row>
        <row r="1953">
          <cell r="U1953" t="str">
            <v>鼓楼店</v>
          </cell>
          <cell r="V1953" t="str">
            <v>2026-1-22</v>
          </cell>
          <cell r="W1953">
            <v>100.37</v>
          </cell>
        </row>
        <row r="1954">
          <cell r="U1954" t="str">
            <v>文昌店</v>
          </cell>
          <cell r="V1954" t="str">
            <v>2026-1-22</v>
          </cell>
          <cell r="W1954">
            <v>34.37</v>
          </cell>
        </row>
        <row r="1955">
          <cell r="U1955" t="str">
            <v>百丈店</v>
          </cell>
          <cell r="V1955" t="str">
            <v>2026-1-22</v>
          </cell>
          <cell r="W1955">
            <v>52.72</v>
          </cell>
        </row>
        <row r="1956">
          <cell r="U1956" t="str">
            <v>观桥店</v>
          </cell>
          <cell r="V1956" t="str">
            <v>2026-1-22</v>
          </cell>
          <cell r="W1956">
            <v>1.72</v>
          </cell>
        </row>
        <row r="1957">
          <cell r="U1957" t="str">
            <v>余杭店</v>
          </cell>
          <cell r="V1957" t="str">
            <v>2026-1-22</v>
          </cell>
          <cell r="W1957">
            <v>95.08</v>
          </cell>
        </row>
        <row r="1958">
          <cell r="U1958" t="str">
            <v>首山店</v>
          </cell>
          <cell r="V1958" t="str">
            <v>2026-1-22</v>
          </cell>
          <cell r="W1958">
            <v>111.6</v>
          </cell>
        </row>
        <row r="1959">
          <cell r="U1959" t="str">
            <v>首南店</v>
          </cell>
          <cell r="V1959" t="str">
            <v>2026-1-22</v>
          </cell>
          <cell r="W1959">
            <v>126.72</v>
          </cell>
        </row>
        <row r="1960">
          <cell r="U1960" t="str">
            <v>滨江店</v>
          </cell>
          <cell r="V1960" t="str">
            <v>2026-1-22</v>
          </cell>
          <cell r="W1960">
            <v>84.08</v>
          </cell>
        </row>
        <row r="1961">
          <cell r="U1961" t="str">
            <v>东海店</v>
          </cell>
          <cell r="V1961" t="str">
            <v>2026-1-22</v>
          </cell>
          <cell r="W1961">
            <v>33.68</v>
          </cell>
        </row>
        <row r="1962">
          <cell r="U1962" t="str">
            <v>东海店</v>
          </cell>
          <cell r="V1962" t="str">
            <v>2026-1-22</v>
          </cell>
          <cell r="W1962">
            <v>6.07</v>
          </cell>
        </row>
        <row r="1963">
          <cell r="U1963" t="str">
            <v>启点店</v>
          </cell>
          <cell r="V1963" t="str">
            <v>2026-1-23</v>
          </cell>
          <cell r="W1963">
            <v>45.53</v>
          </cell>
        </row>
        <row r="1964">
          <cell r="U1964" t="str">
            <v>高新店</v>
          </cell>
          <cell r="V1964" t="str">
            <v>2026-1-23</v>
          </cell>
          <cell r="W1964">
            <v>71.75</v>
          </cell>
        </row>
        <row r="1965">
          <cell r="U1965" t="str">
            <v>金牛店</v>
          </cell>
          <cell r="V1965" t="str">
            <v>2026-1-23</v>
          </cell>
          <cell r="W1965">
            <v>22.93</v>
          </cell>
        </row>
        <row r="1966">
          <cell r="U1966" t="str">
            <v>成华店</v>
          </cell>
          <cell r="V1966" t="str">
            <v>2026-1-23</v>
          </cell>
          <cell r="W1966">
            <v>49.27</v>
          </cell>
        </row>
        <row r="1967">
          <cell r="U1967" t="str">
            <v>西山店</v>
          </cell>
          <cell r="V1967" t="str">
            <v>2026-1-23</v>
          </cell>
          <cell r="W1967">
            <v>0.08</v>
          </cell>
        </row>
        <row r="1968">
          <cell r="U1968" t="str">
            <v>百捷店</v>
          </cell>
          <cell r="V1968" t="str">
            <v>2026-1-23</v>
          </cell>
          <cell r="W1968">
            <v>36.94</v>
          </cell>
        </row>
        <row r="1969">
          <cell r="U1969" t="str">
            <v>沙坪坝店</v>
          </cell>
          <cell r="V1969" t="str">
            <v>2026-1-23</v>
          </cell>
          <cell r="W1969">
            <v>1.52</v>
          </cell>
        </row>
        <row r="1970">
          <cell r="U1970" t="str">
            <v>五路口店</v>
          </cell>
          <cell r="V1970" t="str">
            <v>2026-1-23</v>
          </cell>
          <cell r="W1970">
            <v>60.21</v>
          </cell>
        </row>
        <row r="1971">
          <cell r="U1971" t="str">
            <v>济南店</v>
          </cell>
          <cell r="V1971" t="str">
            <v>2026-1-23</v>
          </cell>
          <cell r="W1971">
            <v>83.32</v>
          </cell>
        </row>
        <row r="1972">
          <cell r="U1972" t="str">
            <v>青羊店</v>
          </cell>
          <cell r="V1972" t="str">
            <v>2026-1-23</v>
          </cell>
          <cell r="W1972">
            <v>16.19</v>
          </cell>
        </row>
        <row r="1973">
          <cell r="U1973" t="str">
            <v>观音桥店</v>
          </cell>
          <cell r="V1973" t="str">
            <v>2026-1-23</v>
          </cell>
          <cell r="W1973">
            <v>60.91</v>
          </cell>
        </row>
        <row r="1974">
          <cell r="U1974" t="str">
            <v>西湖店</v>
          </cell>
          <cell r="V1974" t="str">
            <v>2026-1-23</v>
          </cell>
          <cell r="W1974">
            <v>93.26</v>
          </cell>
        </row>
        <row r="1975">
          <cell r="U1975" t="str">
            <v>诚毅店</v>
          </cell>
          <cell r="V1975" t="str">
            <v>2026-1-23</v>
          </cell>
          <cell r="W1975">
            <v>27.1</v>
          </cell>
        </row>
        <row r="1976">
          <cell r="U1976" t="str">
            <v>湖里店</v>
          </cell>
          <cell r="V1976" t="str">
            <v>2026-1-23</v>
          </cell>
          <cell r="W1976">
            <v>108.68</v>
          </cell>
        </row>
        <row r="1977">
          <cell r="U1977" t="str">
            <v>东新店</v>
          </cell>
          <cell r="V1977" t="str">
            <v>2026-1-23</v>
          </cell>
          <cell r="W1977">
            <v>76.63</v>
          </cell>
        </row>
        <row r="1978">
          <cell r="U1978" t="str">
            <v>大坪店</v>
          </cell>
          <cell r="V1978" t="str">
            <v>2026-1-23</v>
          </cell>
          <cell r="W1978">
            <v>0.53</v>
          </cell>
        </row>
        <row r="1979">
          <cell r="U1979" t="str">
            <v>凤城二路店</v>
          </cell>
          <cell r="V1979" t="str">
            <v>2026-1-23</v>
          </cell>
          <cell r="W1979">
            <v>81.17</v>
          </cell>
        </row>
        <row r="1980">
          <cell r="U1980" t="str">
            <v>洛江店</v>
          </cell>
          <cell r="V1980" t="str">
            <v>2026-1-23</v>
          </cell>
          <cell r="W1980">
            <v>5.23</v>
          </cell>
        </row>
        <row r="1981">
          <cell r="U1981" t="str">
            <v>官渡店</v>
          </cell>
          <cell r="V1981" t="str">
            <v>2026-1-23</v>
          </cell>
          <cell r="W1981">
            <v>24.65</v>
          </cell>
        </row>
        <row r="1982">
          <cell r="U1982" t="str">
            <v>武侯店</v>
          </cell>
          <cell r="V1982" t="str">
            <v>2026-1-23</v>
          </cell>
          <cell r="W1982">
            <v>15.36</v>
          </cell>
        </row>
        <row r="1983">
          <cell r="U1983" t="str">
            <v>黄雁村店</v>
          </cell>
          <cell r="V1983" t="str">
            <v>2026-1-23</v>
          </cell>
          <cell r="W1983">
            <v>76.17</v>
          </cell>
        </row>
        <row r="1984">
          <cell r="U1984" t="str">
            <v>五华店</v>
          </cell>
          <cell r="V1984" t="str">
            <v>2026-1-23</v>
          </cell>
          <cell r="W1984">
            <v>15.76</v>
          </cell>
        </row>
        <row r="1985">
          <cell r="U1985" t="str">
            <v>长沙店</v>
          </cell>
          <cell r="V1985" t="str">
            <v>2026-1-23</v>
          </cell>
          <cell r="W1985">
            <v>59.85</v>
          </cell>
        </row>
        <row r="1986">
          <cell r="U1986" t="str">
            <v>鼓楼店</v>
          </cell>
          <cell r="V1986" t="str">
            <v>2026-1-23</v>
          </cell>
          <cell r="W1986">
            <v>120.5</v>
          </cell>
        </row>
        <row r="1987">
          <cell r="U1987" t="str">
            <v>文昌店</v>
          </cell>
          <cell r="V1987" t="str">
            <v>2026-1-23</v>
          </cell>
          <cell r="W1987">
            <v>22.82</v>
          </cell>
        </row>
        <row r="1988">
          <cell r="U1988" t="str">
            <v>百丈店</v>
          </cell>
          <cell r="V1988" t="str">
            <v>2026-1-23</v>
          </cell>
          <cell r="W1988">
            <v>44.22</v>
          </cell>
        </row>
        <row r="1989">
          <cell r="U1989" t="str">
            <v>观桥店</v>
          </cell>
          <cell r="V1989" t="str">
            <v>2026-1-23</v>
          </cell>
          <cell r="W1989">
            <v>5.82</v>
          </cell>
        </row>
        <row r="1990">
          <cell r="U1990" t="str">
            <v>余杭店</v>
          </cell>
          <cell r="V1990" t="str">
            <v>2026-1-23</v>
          </cell>
          <cell r="W1990">
            <v>98.4</v>
          </cell>
        </row>
        <row r="1991">
          <cell r="U1991" t="str">
            <v>首山店</v>
          </cell>
          <cell r="V1991" t="str">
            <v>2026-1-23</v>
          </cell>
          <cell r="W1991">
            <v>41.13</v>
          </cell>
        </row>
        <row r="1992">
          <cell r="U1992" t="str">
            <v>首南店</v>
          </cell>
          <cell r="V1992" t="str">
            <v>2026-1-23</v>
          </cell>
          <cell r="W1992">
            <v>83.11</v>
          </cell>
        </row>
        <row r="1993">
          <cell r="U1993" t="str">
            <v>滨江店</v>
          </cell>
          <cell r="V1993" t="str">
            <v>2026-1-23</v>
          </cell>
          <cell r="W1993">
            <v>75.48</v>
          </cell>
        </row>
        <row r="1994">
          <cell r="U1994" t="str">
            <v>东海店</v>
          </cell>
          <cell r="V1994" t="str">
            <v>2026-1-23</v>
          </cell>
          <cell r="W1994">
            <v>28.1</v>
          </cell>
        </row>
        <row r="1995">
          <cell r="U1995" t="str">
            <v>东海店</v>
          </cell>
          <cell r="V1995" t="str">
            <v>2026-1-23</v>
          </cell>
          <cell r="W1995">
            <v>7.41</v>
          </cell>
        </row>
        <row r="1996">
          <cell r="U1996" t="str">
            <v>启点店</v>
          </cell>
          <cell r="V1996" t="str">
            <v>2026-1-24</v>
          </cell>
          <cell r="W1996">
            <v>53.26</v>
          </cell>
        </row>
        <row r="1997">
          <cell r="U1997" t="str">
            <v>高新店</v>
          </cell>
          <cell r="V1997" t="str">
            <v>2026-1-24</v>
          </cell>
          <cell r="W1997">
            <v>69.89</v>
          </cell>
        </row>
        <row r="1998">
          <cell r="U1998" t="str">
            <v>金牛店</v>
          </cell>
          <cell r="V1998" t="str">
            <v>2026-1-24</v>
          </cell>
          <cell r="W1998">
            <v>19.8</v>
          </cell>
        </row>
        <row r="1999">
          <cell r="U1999" t="str">
            <v>成华店</v>
          </cell>
          <cell r="V1999" t="str">
            <v>2026-1-24</v>
          </cell>
          <cell r="W1999">
            <v>33.97</v>
          </cell>
        </row>
        <row r="2000">
          <cell r="U2000" t="str">
            <v>西山店</v>
          </cell>
          <cell r="V2000" t="str">
            <v>2026-1-24</v>
          </cell>
          <cell r="W2000">
            <v>19.54</v>
          </cell>
        </row>
        <row r="2001">
          <cell r="U2001" t="str">
            <v>百捷店</v>
          </cell>
          <cell r="V2001" t="str">
            <v>2026-1-24</v>
          </cell>
          <cell r="W2001">
            <v>24.43</v>
          </cell>
        </row>
        <row r="2002">
          <cell r="U2002" t="str">
            <v>沙坪坝店</v>
          </cell>
          <cell r="V2002" t="str">
            <v>2026-1-24</v>
          </cell>
          <cell r="W2002">
            <v>2.25</v>
          </cell>
        </row>
        <row r="2003">
          <cell r="U2003" t="str">
            <v>五路口店</v>
          </cell>
          <cell r="V2003" t="str">
            <v>2026-1-24</v>
          </cell>
          <cell r="W2003">
            <v>48.26</v>
          </cell>
        </row>
        <row r="2004">
          <cell r="U2004" t="str">
            <v>济南店</v>
          </cell>
          <cell r="V2004" t="str">
            <v>2026-1-24</v>
          </cell>
          <cell r="W2004">
            <v>70.61</v>
          </cell>
        </row>
        <row r="2005">
          <cell r="U2005" t="str">
            <v>青羊店</v>
          </cell>
          <cell r="V2005" t="str">
            <v>2026-1-24</v>
          </cell>
          <cell r="W2005">
            <v>24.96</v>
          </cell>
        </row>
        <row r="2006">
          <cell r="U2006" t="str">
            <v>观音桥店</v>
          </cell>
          <cell r="V2006" t="str">
            <v>2026-1-24</v>
          </cell>
          <cell r="W2006">
            <v>82.93</v>
          </cell>
        </row>
        <row r="2007">
          <cell r="U2007" t="str">
            <v>西湖店</v>
          </cell>
          <cell r="V2007" t="str">
            <v>2026-1-24</v>
          </cell>
          <cell r="W2007">
            <v>116.71</v>
          </cell>
        </row>
        <row r="2008">
          <cell r="U2008" t="str">
            <v>诚毅店</v>
          </cell>
          <cell r="V2008" t="str">
            <v>2026-1-24</v>
          </cell>
          <cell r="W2008">
            <v>100.28</v>
          </cell>
        </row>
        <row r="2009">
          <cell r="U2009" t="str">
            <v>湖里店</v>
          </cell>
          <cell r="V2009" t="str">
            <v>2026-1-24</v>
          </cell>
          <cell r="W2009">
            <v>145.07</v>
          </cell>
        </row>
        <row r="2010">
          <cell r="U2010" t="str">
            <v>东新店</v>
          </cell>
          <cell r="V2010" t="str">
            <v>2026-1-24</v>
          </cell>
          <cell r="W2010">
            <v>112.23</v>
          </cell>
        </row>
        <row r="2011">
          <cell r="U2011" t="str">
            <v>大坪店</v>
          </cell>
          <cell r="V2011" t="str">
            <v>2026-1-24</v>
          </cell>
          <cell r="W2011">
            <v>12.07</v>
          </cell>
        </row>
        <row r="2012">
          <cell r="U2012" t="str">
            <v>凤城二路店</v>
          </cell>
          <cell r="V2012" t="str">
            <v>2026-1-24</v>
          </cell>
          <cell r="W2012">
            <v>72.23</v>
          </cell>
        </row>
        <row r="2013">
          <cell r="U2013" t="str">
            <v>洛江店</v>
          </cell>
          <cell r="V2013" t="str">
            <v>2026-1-24</v>
          </cell>
          <cell r="W2013">
            <v>23.88</v>
          </cell>
        </row>
        <row r="2014">
          <cell r="U2014" t="str">
            <v>官渡店</v>
          </cell>
          <cell r="V2014" t="str">
            <v>2026-1-24</v>
          </cell>
          <cell r="W2014">
            <v>12.57</v>
          </cell>
        </row>
        <row r="2015">
          <cell r="U2015" t="str">
            <v>武侯店</v>
          </cell>
          <cell r="V2015" t="str">
            <v>2026-1-24</v>
          </cell>
          <cell r="W2015">
            <v>20.58</v>
          </cell>
        </row>
        <row r="2016">
          <cell r="U2016" t="str">
            <v>黄雁村店</v>
          </cell>
          <cell r="V2016" t="str">
            <v>2026-1-24</v>
          </cell>
          <cell r="W2016">
            <v>62.66</v>
          </cell>
        </row>
        <row r="2017">
          <cell r="U2017" t="str">
            <v>五华店</v>
          </cell>
          <cell r="V2017" t="str">
            <v>2026-1-24</v>
          </cell>
          <cell r="W2017">
            <v>30.55</v>
          </cell>
        </row>
        <row r="2018">
          <cell r="U2018" t="str">
            <v>长沙店</v>
          </cell>
          <cell r="V2018" t="str">
            <v>2026-1-24</v>
          </cell>
          <cell r="W2018">
            <v>50.78</v>
          </cell>
        </row>
        <row r="2019">
          <cell r="U2019" t="str">
            <v>鼓楼店</v>
          </cell>
          <cell r="V2019" t="str">
            <v>2026-1-24</v>
          </cell>
          <cell r="W2019">
            <v>119.98</v>
          </cell>
        </row>
        <row r="2020">
          <cell r="U2020" t="str">
            <v>文昌店</v>
          </cell>
          <cell r="V2020" t="str">
            <v>2026-1-24</v>
          </cell>
          <cell r="W2020">
            <v>30.57</v>
          </cell>
        </row>
        <row r="2021">
          <cell r="U2021" t="str">
            <v>百丈店</v>
          </cell>
          <cell r="V2021" t="str">
            <v>2026-1-24</v>
          </cell>
          <cell r="W2021">
            <v>56.98</v>
          </cell>
        </row>
        <row r="2022">
          <cell r="U2022" t="str">
            <v>观桥店</v>
          </cell>
          <cell r="V2022" t="str">
            <v>2026-1-24</v>
          </cell>
          <cell r="W2022">
            <v>74.75</v>
          </cell>
        </row>
        <row r="2023">
          <cell r="U2023" t="str">
            <v>余杭店</v>
          </cell>
          <cell r="V2023" t="str">
            <v>2026-1-24</v>
          </cell>
          <cell r="W2023">
            <v>92.73</v>
          </cell>
        </row>
        <row r="2024">
          <cell r="U2024" t="str">
            <v>首山店</v>
          </cell>
          <cell r="V2024" t="str">
            <v>2026-1-24</v>
          </cell>
          <cell r="W2024">
            <v>54.11</v>
          </cell>
        </row>
        <row r="2025">
          <cell r="U2025" t="str">
            <v>首南店</v>
          </cell>
          <cell r="V2025" t="str">
            <v>2026-1-24</v>
          </cell>
          <cell r="W2025">
            <v>74.18</v>
          </cell>
        </row>
        <row r="2026">
          <cell r="U2026" t="str">
            <v>滨江店</v>
          </cell>
          <cell r="V2026" t="str">
            <v>2026-1-24</v>
          </cell>
          <cell r="W2026">
            <v>51.79</v>
          </cell>
        </row>
        <row r="2027">
          <cell r="U2027" t="str">
            <v>东海店</v>
          </cell>
          <cell r="V2027" t="str">
            <v>2026-1-24</v>
          </cell>
          <cell r="W2027">
            <v>17.02</v>
          </cell>
        </row>
        <row r="2028">
          <cell r="U2028" t="str">
            <v>东海店</v>
          </cell>
          <cell r="V2028" t="str">
            <v>2026-1-24</v>
          </cell>
          <cell r="W2028">
            <v>0</v>
          </cell>
        </row>
        <row r="2029">
          <cell r="U2029" t="str">
            <v>启点店</v>
          </cell>
          <cell r="V2029" t="str">
            <v>2026-1-25</v>
          </cell>
          <cell r="W2029">
            <v>84.55</v>
          </cell>
        </row>
        <row r="2030">
          <cell r="U2030" t="str">
            <v>高新店</v>
          </cell>
          <cell r="V2030" t="str">
            <v>2026-1-25</v>
          </cell>
          <cell r="W2030">
            <v>35.37</v>
          </cell>
        </row>
        <row r="2031">
          <cell r="U2031" t="str">
            <v>金牛店</v>
          </cell>
          <cell r="V2031" t="str">
            <v>2026-1-25</v>
          </cell>
          <cell r="W2031">
            <v>16.21</v>
          </cell>
        </row>
        <row r="2032">
          <cell r="U2032" t="str">
            <v>成华店</v>
          </cell>
          <cell r="V2032" t="str">
            <v>2026-1-25</v>
          </cell>
          <cell r="W2032">
            <v>50.75</v>
          </cell>
        </row>
        <row r="2033">
          <cell r="U2033" t="str">
            <v>西山店</v>
          </cell>
          <cell r="V2033" t="str">
            <v>2026-1-25</v>
          </cell>
          <cell r="W2033">
            <v>33.88</v>
          </cell>
        </row>
        <row r="2034">
          <cell r="U2034" t="str">
            <v>百捷店</v>
          </cell>
          <cell r="V2034" t="str">
            <v>2026-1-25</v>
          </cell>
          <cell r="W2034">
            <v>23.73</v>
          </cell>
        </row>
        <row r="2035">
          <cell r="U2035" t="str">
            <v>沙坪坝店</v>
          </cell>
          <cell r="V2035" t="str">
            <v>2026-1-25</v>
          </cell>
          <cell r="W2035">
            <v>22.18</v>
          </cell>
        </row>
        <row r="2036">
          <cell r="U2036" t="str">
            <v>五路口店</v>
          </cell>
          <cell r="V2036" t="str">
            <v>2026-1-25</v>
          </cell>
          <cell r="W2036">
            <v>49.85</v>
          </cell>
        </row>
        <row r="2037">
          <cell r="U2037" t="str">
            <v>济南店</v>
          </cell>
          <cell r="V2037" t="str">
            <v>2026-1-25</v>
          </cell>
          <cell r="W2037">
            <v>64.86</v>
          </cell>
        </row>
        <row r="2038">
          <cell r="U2038" t="str">
            <v>青羊店</v>
          </cell>
          <cell r="V2038" t="str">
            <v>2026-1-25</v>
          </cell>
          <cell r="W2038">
            <v>40.26</v>
          </cell>
        </row>
        <row r="2039">
          <cell r="U2039" t="str">
            <v>观音桥店</v>
          </cell>
          <cell r="V2039" t="str">
            <v>2026-1-25</v>
          </cell>
          <cell r="W2039">
            <v>53.23</v>
          </cell>
        </row>
        <row r="2040">
          <cell r="U2040" t="str">
            <v>西湖店</v>
          </cell>
          <cell r="V2040" t="str">
            <v>2026-1-25</v>
          </cell>
          <cell r="W2040">
            <v>94.01</v>
          </cell>
        </row>
        <row r="2041">
          <cell r="U2041" t="str">
            <v>诚毅店</v>
          </cell>
          <cell r="V2041" t="str">
            <v>2026-1-25</v>
          </cell>
          <cell r="W2041">
            <v>48.68</v>
          </cell>
        </row>
        <row r="2042">
          <cell r="U2042" t="str">
            <v>湖里店</v>
          </cell>
          <cell r="V2042" t="str">
            <v>2026-1-25</v>
          </cell>
          <cell r="W2042">
            <v>109.68</v>
          </cell>
        </row>
        <row r="2043">
          <cell r="U2043" t="str">
            <v>东新店</v>
          </cell>
          <cell r="V2043" t="str">
            <v>2026-1-25</v>
          </cell>
          <cell r="W2043">
            <v>92.34</v>
          </cell>
        </row>
        <row r="2044">
          <cell r="U2044" t="str">
            <v>大坪店</v>
          </cell>
          <cell r="V2044" t="str">
            <v>2026-1-25</v>
          </cell>
          <cell r="W2044">
            <v>76.18</v>
          </cell>
        </row>
        <row r="2045">
          <cell r="U2045" t="str">
            <v>凤城二路店</v>
          </cell>
          <cell r="V2045" t="str">
            <v>2026-1-25</v>
          </cell>
          <cell r="W2045">
            <v>74.24</v>
          </cell>
        </row>
        <row r="2046">
          <cell r="U2046" t="str">
            <v>洛江店</v>
          </cell>
          <cell r="V2046" t="str">
            <v>2026-1-25</v>
          </cell>
          <cell r="W2046">
            <v>0</v>
          </cell>
        </row>
        <row r="2047">
          <cell r="U2047" t="str">
            <v>官渡店</v>
          </cell>
          <cell r="V2047" t="str">
            <v>2026-1-25</v>
          </cell>
          <cell r="W2047">
            <v>22.45</v>
          </cell>
        </row>
        <row r="2048">
          <cell r="U2048" t="str">
            <v>武侯店</v>
          </cell>
          <cell r="V2048" t="str">
            <v>2026-1-25</v>
          </cell>
          <cell r="W2048">
            <v>27.7</v>
          </cell>
        </row>
        <row r="2049">
          <cell r="U2049" t="str">
            <v>黄雁村店</v>
          </cell>
          <cell r="V2049" t="str">
            <v>2026-1-25</v>
          </cell>
          <cell r="W2049">
            <v>103.72</v>
          </cell>
        </row>
        <row r="2050">
          <cell r="U2050" t="str">
            <v>五华店</v>
          </cell>
          <cell r="V2050" t="str">
            <v>2026-1-25</v>
          </cell>
          <cell r="W2050">
            <v>28.12</v>
          </cell>
        </row>
        <row r="2051">
          <cell r="U2051" t="str">
            <v>长沙店</v>
          </cell>
          <cell r="V2051" t="str">
            <v>2026-1-25</v>
          </cell>
          <cell r="W2051">
            <v>51.42</v>
          </cell>
        </row>
        <row r="2052">
          <cell r="U2052" t="str">
            <v>鼓楼店</v>
          </cell>
          <cell r="V2052" t="str">
            <v>2026-1-25</v>
          </cell>
          <cell r="W2052">
            <v>112.84</v>
          </cell>
        </row>
        <row r="2053">
          <cell r="U2053" t="str">
            <v>文昌店</v>
          </cell>
          <cell r="V2053" t="str">
            <v>2026-1-25</v>
          </cell>
          <cell r="W2053">
            <v>50.02</v>
          </cell>
        </row>
        <row r="2054">
          <cell r="U2054" t="str">
            <v>百丈店</v>
          </cell>
          <cell r="V2054" t="str">
            <v>2026-1-25</v>
          </cell>
          <cell r="W2054">
            <v>71.98</v>
          </cell>
        </row>
        <row r="2055">
          <cell r="U2055" t="str">
            <v>观桥店</v>
          </cell>
          <cell r="V2055" t="str">
            <v>2026-1-25</v>
          </cell>
          <cell r="W2055">
            <v>47.84</v>
          </cell>
        </row>
        <row r="2056">
          <cell r="U2056" t="str">
            <v>余杭店</v>
          </cell>
          <cell r="V2056" t="str">
            <v>2026-1-25</v>
          </cell>
          <cell r="W2056">
            <v>107.68</v>
          </cell>
        </row>
        <row r="2057">
          <cell r="U2057" t="str">
            <v>首山店</v>
          </cell>
          <cell r="V2057" t="str">
            <v>2026-1-25</v>
          </cell>
          <cell r="W2057">
            <v>88.1</v>
          </cell>
        </row>
        <row r="2058">
          <cell r="U2058" t="str">
            <v>首南店</v>
          </cell>
          <cell r="V2058" t="str">
            <v>2026-1-25</v>
          </cell>
          <cell r="W2058">
            <v>114.78</v>
          </cell>
        </row>
        <row r="2059">
          <cell r="U2059" t="str">
            <v>滨江店</v>
          </cell>
          <cell r="V2059" t="str">
            <v>2026-1-25</v>
          </cell>
          <cell r="W2059">
            <v>114.06</v>
          </cell>
        </row>
        <row r="2060">
          <cell r="U2060" t="str">
            <v>下沙店</v>
          </cell>
          <cell r="V2060" t="str">
            <v>2026-1-25</v>
          </cell>
          <cell r="W2060">
            <v>18.67</v>
          </cell>
        </row>
        <row r="2061">
          <cell r="U2061" t="str">
            <v>东海店</v>
          </cell>
          <cell r="V2061" t="str">
            <v>2026-1-25</v>
          </cell>
          <cell r="W2061">
            <v>30.76</v>
          </cell>
        </row>
        <row r="2062">
          <cell r="U2062" t="str">
            <v>东海店</v>
          </cell>
          <cell r="V2062" t="str">
            <v>2026-1-25</v>
          </cell>
          <cell r="W2062">
            <v>6.89</v>
          </cell>
        </row>
        <row r="2063">
          <cell r="U2063" t="str">
            <v>启点店</v>
          </cell>
          <cell r="V2063" t="str">
            <v>2026-1-26</v>
          </cell>
          <cell r="W2063">
            <v>72.49</v>
          </cell>
        </row>
        <row r="2064">
          <cell r="U2064" t="str">
            <v>高新店</v>
          </cell>
          <cell r="V2064" t="str">
            <v>2026-1-26</v>
          </cell>
          <cell r="W2064">
            <v>108.9</v>
          </cell>
        </row>
        <row r="2065">
          <cell r="U2065" t="str">
            <v>金牛店</v>
          </cell>
          <cell r="V2065" t="str">
            <v>2026-1-26</v>
          </cell>
          <cell r="W2065">
            <v>84.67</v>
          </cell>
        </row>
        <row r="2066">
          <cell r="U2066" t="str">
            <v>成华店</v>
          </cell>
          <cell r="V2066" t="str">
            <v>2026-1-26</v>
          </cell>
          <cell r="W2066">
            <v>34.94</v>
          </cell>
        </row>
        <row r="2067">
          <cell r="U2067" t="str">
            <v>西山店</v>
          </cell>
          <cell r="V2067" t="str">
            <v>2026-1-26</v>
          </cell>
          <cell r="W2067">
            <v>18.61</v>
          </cell>
        </row>
        <row r="2068">
          <cell r="U2068" t="str">
            <v>百捷店</v>
          </cell>
          <cell r="V2068" t="str">
            <v>2026-1-26</v>
          </cell>
          <cell r="W2068">
            <v>59.07</v>
          </cell>
        </row>
        <row r="2069">
          <cell r="U2069" t="str">
            <v>沙坪坝店</v>
          </cell>
          <cell r="V2069" t="str">
            <v>2026-1-26</v>
          </cell>
          <cell r="W2069">
            <v>38.21</v>
          </cell>
        </row>
        <row r="2070">
          <cell r="U2070" t="str">
            <v>五路口店</v>
          </cell>
          <cell r="V2070" t="str">
            <v>2026-1-26</v>
          </cell>
          <cell r="W2070">
            <v>44.12</v>
          </cell>
        </row>
        <row r="2071">
          <cell r="U2071" t="str">
            <v>济南店</v>
          </cell>
          <cell r="V2071" t="str">
            <v>2026-1-26</v>
          </cell>
          <cell r="W2071">
            <v>82.96</v>
          </cell>
        </row>
        <row r="2072">
          <cell r="U2072" t="str">
            <v>青羊店</v>
          </cell>
          <cell r="V2072" t="str">
            <v>2026-1-26</v>
          </cell>
          <cell r="W2072">
            <v>36.29</v>
          </cell>
        </row>
        <row r="2073">
          <cell r="U2073" t="str">
            <v>观音桥店</v>
          </cell>
          <cell r="V2073" t="str">
            <v>2026-1-26</v>
          </cell>
          <cell r="W2073">
            <v>58.61</v>
          </cell>
        </row>
        <row r="2074">
          <cell r="U2074" t="str">
            <v>西湖店</v>
          </cell>
          <cell r="V2074" t="str">
            <v>2026-1-26</v>
          </cell>
          <cell r="W2074">
            <v>122.06</v>
          </cell>
        </row>
        <row r="2075">
          <cell r="U2075" t="str">
            <v>诚毅店</v>
          </cell>
          <cell r="V2075" t="str">
            <v>2026-1-26</v>
          </cell>
          <cell r="W2075">
            <v>69.35</v>
          </cell>
        </row>
        <row r="2076">
          <cell r="U2076" t="str">
            <v>湖里店</v>
          </cell>
          <cell r="V2076" t="str">
            <v>2026-1-26</v>
          </cell>
          <cell r="W2076">
            <v>143.94</v>
          </cell>
        </row>
        <row r="2077">
          <cell r="U2077" t="str">
            <v>东新店</v>
          </cell>
          <cell r="V2077" t="str">
            <v>2026-1-26</v>
          </cell>
          <cell r="W2077">
            <v>105.33</v>
          </cell>
        </row>
        <row r="2078">
          <cell r="U2078" t="str">
            <v>大坪店</v>
          </cell>
          <cell r="V2078" t="str">
            <v>2026-1-26</v>
          </cell>
          <cell r="W2078">
            <v>48.77</v>
          </cell>
        </row>
        <row r="2079">
          <cell r="U2079" t="str">
            <v>凤城二路店</v>
          </cell>
          <cell r="V2079" t="str">
            <v>2026-1-26</v>
          </cell>
          <cell r="W2079">
            <v>103.88</v>
          </cell>
        </row>
        <row r="2080">
          <cell r="U2080" t="str">
            <v>洛江店</v>
          </cell>
          <cell r="V2080" t="str">
            <v>2026-1-26</v>
          </cell>
          <cell r="W2080">
            <v>24.69</v>
          </cell>
        </row>
        <row r="2081">
          <cell r="U2081" t="str">
            <v>官渡店</v>
          </cell>
          <cell r="V2081" t="str">
            <v>2026-1-26</v>
          </cell>
          <cell r="W2081">
            <v>43.98</v>
          </cell>
        </row>
        <row r="2082">
          <cell r="U2082" t="str">
            <v>武侯店</v>
          </cell>
          <cell r="V2082" t="str">
            <v>2026-1-26</v>
          </cell>
          <cell r="W2082">
            <v>19.25</v>
          </cell>
        </row>
        <row r="2083">
          <cell r="U2083" t="str">
            <v>黄雁村店</v>
          </cell>
          <cell r="V2083" t="str">
            <v>2026-1-26</v>
          </cell>
          <cell r="W2083">
            <v>85.18</v>
          </cell>
        </row>
        <row r="2084">
          <cell r="U2084" t="str">
            <v>五华店</v>
          </cell>
          <cell r="V2084" t="str">
            <v>2026-1-26</v>
          </cell>
          <cell r="W2084">
            <v>24.02</v>
          </cell>
        </row>
        <row r="2085">
          <cell r="U2085" t="str">
            <v>长沙店</v>
          </cell>
          <cell r="V2085" t="str">
            <v>2026-1-26</v>
          </cell>
          <cell r="W2085">
            <v>64.05</v>
          </cell>
        </row>
        <row r="2086">
          <cell r="U2086" t="str">
            <v>鼓楼店</v>
          </cell>
          <cell r="V2086" t="str">
            <v>2026-1-26</v>
          </cell>
          <cell r="W2086">
            <v>116.87</v>
          </cell>
        </row>
        <row r="2087">
          <cell r="U2087" t="str">
            <v>文昌店</v>
          </cell>
          <cell r="V2087" t="str">
            <v>2026-1-26</v>
          </cell>
          <cell r="W2087">
            <v>52.68</v>
          </cell>
        </row>
        <row r="2088">
          <cell r="U2088" t="str">
            <v>百丈店</v>
          </cell>
          <cell r="V2088" t="str">
            <v>2026-1-26</v>
          </cell>
          <cell r="W2088">
            <v>52.23</v>
          </cell>
        </row>
        <row r="2089">
          <cell r="U2089" t="str">
            <v>观桥店</v>
          </cell>
          <cell r="V2089" t="str">
            <v>2026-1-26</v>
          </cell>
          <cell r="W2089">
            <v>30.43</v>
          </cell>
        </row>
        <row r="2090">
          <cell r="U2090" t="str">
            <v>余杭店</v>
          </cell>
          <cell r="V2090" t="str">
            <v>2026-1-26</v>
          </cell>
          <cell r="W2090">
            <v>107.88</v>
          </cell>
        </row>
        <row r="2091">
          <cell r="U2091" t="str">
            <v>首山店</v>
          </cell>
          <cell r="V2091" t="str">
            <v>2026-1-26</v>
          </cell>
          <cell r="W2091">
            <v>61.61</v>
          </cell>
        </row>
        <row r="2092">
          <cell r="U2092" t="str">
            <v>首南店</v>
          </cell>
          <cell r="V2092" t="str">
            <v>2026-1-26</v>
          </cell>
          <cell r="W2092">
            <v>108.47</v>
          </cell>
        </row>
        <row r="2093">
          <cell r="U2093" t="str">
            <v>滨江店</v>
          </cell>
          <cell r="V2093" t="str">
            <v>2026-1-26</v>
          </cell>
          <cell r="W2093">
            <v>112.56</v>
          </cell>
        </row>
        <row r="2094">
          <cell r="U2094" t="str">
            <v>下沙店</v>
          </cell>
          <cell r="V2094" t="str">
            <v>2026-1-26</v>
          </cell>
          <cell r="W2094">
            <v>30.26</v>
          </cell>
        </row>
        <row r="2095">
          <cell r="U2095" t="str">
            <v>文灶店</v>
          </cell>
          <cell r="V2095" t="str">
            <v>2026-1-26</v>
          </cell>
          <cell r="W2095">
            <v>20.34</v>
          </cell>
        </row>
        <row r="2096">
          <cell r="U2096" t="str">
            <v>文灶店</v>
          </cell>
          <cell r="V2096" t="str">
            <v>2026-1-26</v>
          </cell>
          <cell r="W2096">
            <v>0</v>
          </cell>
        </row>
        <row r="2097">
          <cell r="U2097" t="str">
            <v>东海店</v>
          </cell>
          <cell r="V2097" t="str">
            <v>2026-1-26</v>
          </cell>
          <cell r="W2097">
            <v>12.61</v>
          </cell>
        </row>
        <row r="2098">
          <cell r="U2098" t="str">
            <v>东海店</v>
          </cell>
          <cell r="V2098" t="str">
            <v>2026-1-26</v>
          </cell>
          <cell r="W2098">
            <v>0</v>
          </cell>
        </row>
        <row r="2099">
          <cell r="U2099" t="str">
            <v>启点店</v>
          </cell>
          <cell r="V2099" t="str">
            <v>2026-1-27</v>
          </cell>
          <cell r="W2099">
            <v>47.7</v>
          </cell>
        </row>
        <row r="2100">
          <cell r="U2100" t="str">
            <v>高新店</v>
          </cell>
          <cell r="V2100" t="str">
            <v>2026-1-27</v>
          </cell>
          <cell r="W2100">
            <v>126.42</v>
          </cell>
        </row>
        <row r="2101">
          <cell r="U2101" t="str">
            <v>金牛店</v>
          </cell>
          <cell r="V2101" t="str">
            <v>2026-1-27</v>
          </cell>
          <cell r="W2101">
            <v>60.93</v>
          </cell>
        </row>
        <row r="2102">
          <cell r="U2102" t="str">
            <v>成华店</v>
          </cell>
          <cell r="V2102" t="str">
            <v>2026-1-27</v>
          </cell>
          <cell r="W2102">
            <v>20.06</v>
          </cell>
        </row>
        <row r="2103">
          <cell r="U2103" t="str">
            <v>西山店</v>
          </cell>
          <cell r="V2103" t="str">
            <v>2026-1-27</v>
          </cell>
          <cell r="W2103">
            <v>33.04</v>
          </cell>
        </row>
        <row r="2104">
          <cell r="U2104" t="str">
            <v>百捷店</v>
          </cell>
          <cell r="V2104" t="str">
            <v>2026-1-27</v>
          </cell>
          <cell r="W2104">
            <v>136.63</v>
          </cell>
        </row>
        <row r="2105">
          <cell r="U2105" t="str">
            <v>沙坪坝店</v>
          </cell>
          <cell r="V2105" t="str">
            <v>2026-1-27</v>
          </cell>
          <cell r="W2105">
            <v>49.89</v>
          </cell>
        </row>
        <row r="2106">
          <cell r="U2106" t="str">
            <v>五路口店</v>
          </cell>
          <cell r="V2106" t="str">
            <v>2026-1-27</v>
          </cell>
          <cell r="W2106">
            <v>52.48</v>
          </cell>
        </row>
        <row r="2107">
          <cell r="U2107" t="str">
            <v>济南店</v>
          </cell>
          <cell r="V2107" t="str">
            <v>2026-1-27</v>
          </cell>
          <cell r="W2107">
            <v>164.84</v>
          </cell>
        </row>
        <row r="2108">
          <cell r="U2108" t="str">
            <v>青羊店</v>
          </cell>
          <cell r="V2108" t="str">
            <v>2026-1-27</v>
          </cell>
          <cell r="W2108">
            <v>32.97</v>
          </cell>
        </row>
        <row r="2109">
          <cell r="U2109" t="str">
            <v>观音桥店</v>
          </cell>
          <cell r="V2109" t="str">
            <v>2026-1-27</v>
          </cell>
          <cell r="W2109">
            <v>38</v>
          </cell>
        </row>
        <row r="2110">
          <cell r="U2110" t="str">
            <v>西湖店</v>
          </cell>
          <cell r="V2110" t="str">
            <v>2026-1-27</v>
          </cell>
          <cell r="W2110">
            <v>128.29</v>
          </cell>
        </row>
        <row r="2111">
          <cell r="U2111" t="str">
            <v>诚毅店</v>
          </cell>
          <cell r="V2111" t="str">
            <v>2026-1-27</v>
          </cell>
          <cell r="W2111">
            <v>49.11</v>
          </cell>
        </row>
        <row r="2112">
          <cell r="U2112" t="str">
            <v>湖里店</v>
          </cell>
          <cell r="V2112" t="str">
            <v>2026-1-27</v>
          </cell>
          <cell r="W2112">
            <v>101.56</v>
          </cell>
        </row>
        <row r="2113">
          <cell r="U2113" t="str">
            <v>东新店</v>
          </cell>
          <cell r="V2113" t="str">
            <v>2026-1-27</v>
          </cell>
          <cell r="W2113">
            <v>84.01</v>
          </cell>
        </row>
        <row r="2114">
          <cell r="U2114" t="str">
            <v>大坪店</v>
          </cell>
          <cell r="V2114" t="str">
            <v>2026-1-27</v>
          </cell>
          <cell r="W2114">
            <v>78.16</v>
          </cell>
        </row>
        <row r="2115">
          <cell r="U2115" t="str">
            <v>凤城二路店</v>
          </cell>
          <cell r="V2115" t="str">
            <v>2026-1-27</v>
          </cell>
          <cell r="W2115">
            <v>42.03</v>
          </cell>
        </row>
        <row r="2116">
          <cell r="U2116" t="str">
            <v>洛江店</v>
          </cell>
          <cell r="V2116" t="str">
            <v>2026-1-27</v>
          </cell>
          <cell r="W2116">
            <v>21.84</v>
          </cell>
        </row>
        <row r="2117">
          <cell r="U2117" t="str">
            <v>官渡店</v>
          </cell>
          <cell r="V2117" t="str">
            <v>2026-1-27</v>
          </cell>
          <cell r="W2117">
            <v>18.46</v>
          </cell>
        </row>
        <row r="2118">
          <cell r="U2118" t="str">
            <v>武侯店</v>
          </cell>
          <cell r="V2118" t="str">
            <v>2026-1-27</v>
          </cell>
          <cell r="W2118">
            <v>39.69</v>
          </cell>
        </row>
        <row r="2119">
          <cell r="U2119" t="str">
            <v>黄雁村店</v>
          </cell>
          <cell r="V2119" t="str">
            <v>2026-1-27</v>
          </cell>
          <cell r="W2119">
            <v>73.16</v>
          </cell>
        </row>
        <row r="2120">
          <cell r="U2120" t="str">
            <v>五华店</v>
          </cell>
          <cell r="V2120" t="str">
            <v>2026-1-27</v>
          </cell>
          <cell r="W2120">
            <v>29.13</v>
          </cell>
        </row>
        <row r="2121">
          <cell r="U2121" t="str">
            <v>长沙店</v>
          </cell>
          <cell r="V2121" t="str">
            <v>2026-1-27</v>
          </cell>
          <cell r="W2121">
            <v>65.23</v>
          </cell>
        </row>
        <row r="2122">
          <cell r="U2122" t="str">
            <v>鼓楼店</v>
          </cell>
          <cell r="V2122" t="str">
            <v>2026-1-27</v>
          </cell>
          <cell r="W2122">
            <v>201.12</v>
          </cell>
        </row>
        <row r="2123">
          <cell r="U2123" t="str">
            <v>文昌店</v>
          </cell>
          <cell r="V2123" t="str">
            <v>2026-1-27</v>
          </cell>
          <cell r="W2123">
            <v>47.44</v>
          </cell>
        </row>
        <row r="2124">
          <cell r="U2124" t="str">
            <v>百丈店</v>
          </cell>
          <cell r="V2124" t="str">
            <v>2026-1-27</v>
          </cell>
          <cell r="W2124">
            <v>41.06</v>
          </cell>
        </row>
        <row r="2125">
          <cell r="U2125" t="str">
            <v>观桥店</v>
          </cell>
          <cell r="V2125" t="str">
            <v>2026-1-27</v>
          </cell>
          <cell r="W2125">
            <v>35.97</v>
          </cell>
        </row>
        <row r="2126">
          <cell r="U2126" t="str">
            <v>余杭店</v>
          </cell>
          <cell r="V2126" t="str">
            <v>2026-1-27</v>
          </cell>
          <cell r="W2126">
            <v>134.46</v>
          </cell>
        </row>
        <row r="2127">
          <cell r="U2127" t="str">
            <v>首山店</v>
          </cell>
          <cell r="V2127" t="str">
            <v>2026-1-27</v>
          </cell>
          <cell r="W2127">
            <v>51.12</v>
          </cell>
        </row>
        <row r="2128">
          <cell r="U2128" t="str">
            <v>首南店</v>
          </cell>
          <cell r="V2128" t="str">
            <v>2026-1-27</v>
          </cell>
          <cell r="W2128">
            <v>125.23</v>
          </cell>
        </row>
        <row r="2129">
          <cell r="U2129" t="str">
            <v>滨江店</v>
          </cell>
          <cell r="V2129" t="str">
            <v>2026-1-27</v>
          </cell>
          <cell r="W2129">
            <v>148.43</v>
          </cell>
        </row>
        <row r="2130">
          <cell r="U2130" t="str">
            <v>下沙店</v>
          </cell>
          <cell r="V2130" t="str">
            <v>2026-1-27</v>
          </cell>
          <cell r="W2130">
            <v>50</v>
          </cell>
        </row>
        <row r="2131">
          <cell r="U2131" t="str">
            <v>南安店</v>
          </cell>
          <cell r="V2131" t="str">
            <v>2026-1-27</v>
          </cell>
          <cell r="W2131">
            <v>1.78</v>
          </cell>
        </row>
        <row r="2132">
          <cell r="U2132" t="str">
            <v>南安店</v>
          </cell>
          <cell r="V2132" t="str">
            <v>2026-1-27</v>
          </cell>
          <cell r="W2132">
            <v>0.9</v>
          </cell>
        </row>
        <row r="2133">
          <cell r="U2133" t="str">
            <v>文灶店</v>
          </cell>
          <cell r="V2133" t="str">
            <v>2026-1-27</v>
          </cell>
          <cell r="W2133">
            <v>21.68</v>
          </cell>
        </row>
        <row r="2134">
          <cell r="U2134" t="str">
            <v>文灶店</v>
          </cell>
          <cell r="V2134" t="str">
            <v>2026-1-27</v>
          </cell>
          <cell r="W2134">
            <v>1.19</v>
          </cell>
        </row>
        <row r="2135">
          <cell r="U2135" t="str">
            <v>东海店</v>
          </cell>
          <cell r="V2135" t="str">
            <v>2026-1-27</v>
          </cell>
          <cell r="W2135">
            <v>11.18</v>
          </cell>
        </row>
        <row r="2136">
          <cell r="U2136" t="str">
            <v>东海店</v>
          </cell>
          <cell r="V2136" t="str">
            <v>2026-1-27</v>
          </cell>
          <cell r="W2136">
            <v>0</v>
          </cell>
        </row>
        <row r="2137">
          <cell r="U2137" t="str">
            <v>启点店</v>
          </cell>
          <cell r="V2137" t="str">
            <v>2026-1-28</v>
          </cell>
          <cell r="W2137">
            <v>68.1</v>
          </cell>
        </row>
        <row r="2138">
          <cell r="U2138" t="str">
            <v>高新店</v>
          </cell>
          <cell r="V2138" t="str">
            <v>2026-1-28</v>
          </cell>
          <cell r="W2138">
            <v>97.78</v>
          </cell>
        </row>
        <row r="2139">
          <cell r="U2139" t="str">
            <v>金牛店</v>
          </cell>
          <cell r="V2139" t="str">
            <v>2026-1-28</v>
          </cell>
          <cell r="W2139">
            <v>49.96</v>
          </cell>
        </row>
        <row r="2140">
          <cell r="U2140" t="str">
            <v>成华店</v>
          </cell>
          <cell r="V2140" t="str">
            <v>2026-1-28</v>
          </cell>
          <cell r="W2140">
            <v>32.89</v>
          </cell>
        </row>
        <row r="2141">
          <cell r="U2141" t="str">
            <v>西山店</v>
          </cell>
          <cell r="V2141" t="str">
            <v>2026-1-28</v>
          </cell>
          <cell r="W2141">
            <v>24.62</v>
          </cell>
        </row>
        <row r="2142">
          <cell r="U2142" t="str">
            <v>百捷店</v>
          </cell>
          <cell r="V2142" t="str">
            <v>2026-1-28</v>
          </cell>
          <cell r="W2142">
            <v>94.37</v>
          </cell>
        </row>
        <row r="2143">
          <cell r="U2143" t="str">
            <v>沙坪坝店</v>
          </cell>
          <cell r="V2143" t="str">
            <v>2026-1-28</v>
          </cell>
          <cell r="W2143">
            <v>49.51</v>
          </cell>
        </row>
        <row r="2144">
          <cell r="U2144" t="str">
            <v>五路口店</v>
          </cell>
          <cell r="V2144" t="str">
            <v>2026-1-28</v>
          </cell>
          <cell r="W2144">
            <v>33.23</v>
          </cell>
        </row>
        <row r="2145">
          <cell r="U2145" t="str">
            <v>济南店</v>
          </cell>
          <cell r="V2145" t="str">
            <v>2026-1-28</v>
          </cell>
          <cell r="W2145">
            <v>112.14</v>
          </cell>
        </row>
        <row r="2146">
          <cell r="U2146" t="str">
            <v>青羊店</v>
          </cell>
          <cell r="V2146" t="str">
            <v>2026-1-28</v>
          </cell>
          <cell r="W2146">
            <v>43.02</v>
          </cell>
        </row>
        <row r="2147">
          <cell r="U2147" t="str">
            <v>观音桥店</v>
          </cell>
          <cell r="V2147" t="str">
            <v>2026-1-28</v>
          </cell>
          <cell r="W2147">
            <v>53.13</v>
          </cell>
        </row>
        <row r="2148">
          <cell r="U2148" t="str">
            <v>西湖店</v>
          </cell>
          <cell r="V2148" t="str">
            <v>2026-1-28</v>
          </cell>
          <cell r="W2148">
            <v>147.67</v>
          </cell>
        </row>
        <row r="2149">
          <cell r="U2149" t="str">
            <v>诚毅店</v>
          </cell>
          <cell r="V2149" t="str">
            <v>2026-1-28</v>
          </cell>
          <cell r="W2149">
            <v>50.81</v>
          </cell>
        </row>
        <row r="2150">
          <cell r="U2150" t="str">
            <v>湖里店</v>
          </cell>
          <cell r="V2150" t="str">
            <v>2026-1-28</v>
          </cell>
          <cell r="W2150">
            <v>100.99</v>
          </cell>
        </row>
        <row r="2151">
          <cell r="U2151" t="str">
            <v>东新店</v>
          </cell>
          <cell r="V2151" t="str">
            <v>2026-1-28</v>
          </cell>
          <cell r="W2151">
            <v>63.08</v>
          </cell>
        </row>
        <row r="2152">
          <cell r="U2152" t="str">
            <v>大坪店</v>
          </cell>
          <cell r="V2152" t="str">
            <v>2026-1-28</v>
          </cell>
          <cell r="W2152">
            <v>79.71</v>
          </cell>
        </row>
        <row r="2153">
          <cell r="U2153" t="str">
            <v>凤城二路店</v>
          </cell>
          <cell r="V2153" t="str">
            <v>2026-1-28</v>
          </cell>
          <cell r="W2153">
            <v>50.19</v>
          </cell>
        </row>
        <row r="2154">
          <cell r="U2154" t="str">
            <v>洛江店</v>
          </cell>
          <cell r="V2154" t="str">
            <v>2026-1-28</v>
          </cell>
          <cell r="W2154">
            <v>19.18</v>
          </cell>
        </row>
        <row r="2155">
          <cell r="U2155" t="str">
            <v>官渡店</v>
          </cell>
          <cell r="V2155" t="str">
            <v>2026-1-28</v>
          </cell>
          <cell r="W2155">
            <v>36.8</v>
          </cell>
        </row>
        <row r="2156">
          <cell r="U2156" t="str">
            <v>武侯店</v>
          </cell>
          <cell r="V2156" t="str">
            <v>2026-1-28</v>
          </cell>
          <cell r="W2156">
            <v>40.28</v>
          </cell>
        </row>
        <row r="2157">
          <cell r="U2157" t="str">
            <v>黄雁村店</v>
          </cell>
          <cell r="V2157" t="str">
            <v>2026-1-28</v>
          </cell>
          <cell r="W2157">
            <v>33.3</v>
          </cell>
        </row>
        <row r="2158">
          <cell r="U2158" t="str">
            <v>五华店</v>
          </cell>
          <cell r="V2158" t="str">
            <v>2026-1-28</v>
          </cell>
          <cell r="W2158">
            <v>13.26</v>
          </cell>
        </row>
        <row r="2159">
          <cell r="U2159" t="str">
            <v>长沙店</v>
          </cell>
          <cell r="V2159" t="str">
            <v>2026-1-28</v>
          </cell>
          <cell r="W2159">
            <v>87.61</v>
          </cell>
        </row>
        <row r="2160">
          <cell r="U2160" t="str">
            <v>鼓楼店</v>
          </cell>
          <cell r="V2160" t="str">
            <v>2026-1-28</v>
          </cell>
          <cell r="W2160">
            <v>200</v>
          </cell>
        </row>
        <row r="2161">
          <cell r="U2161" t="str">
            <v>文昌店</v>
          </cell>
          <cell r="V2161" t="str">
            <v>2026-1-28</v>
          </cell>
          <cell r="W2161">
            <v>53.76</v>
          </cell>
        </row>
        <row r="2162">
          <cell r="U2162" t="str">
            <v>百丈店</v>
          </cell>
          <cell r="V2162" t="str">
            <v>2026-1-28</v>
          </cell>
          <cell r="W2162">
            <v>83.09</v>
          </cell>
        </row>
        <row r="2163">
          <cell r="U2163" t="str">
            <v>观桥店</v>
          </cell>
          <cell r="V2163" t="str">
            <v>2026-1-28</v>
          </cell>
          <cell r="W2163">
            <v>40.2</v>
          </cell>
        </row>
        <row r="2164">
          <cell r="U2164" t="str">
            <v>余杭店</v>
          </cell>
          <cell r="V2164" t="str">
            <v>2026-1-28</v>
          </cell>
          <cell r="W2164">
            <v>223.05</v>
          </cell>
        </row>
        <row r="2165">
          <cell r="U2165" t="str">
            <v>首山店</v>
          </cell>
          <cell r="V2165" t="str">
            <v>2026-1-28</v>
          </cell>
          <cell r="W2165">
            <v>49.18</v>
          </cell>
        </row>
        <row r="2166">
          <cell r="U2166" t="str">
            <v>首南店</v>
          </cell>
          <cell r="V2166" t="str">
            <v>2026-1-28</v>
          </cell>
          <cell r="W2166">
            <v>172.01</v>
          </cell>
        </row>
        <row r="2167">
          <cell r="U2167" t="str">
            <v>滨江店</v>
          </cell>
          <cell r="V2167" t="str">
            <v>2026-1-28</v>
          </cell>
          <cell r="W2167">
            <v>191.79</v>
          </cell>
        </row>
        <row r="2168">
          <cell r="U2168" t="str">
            <v>下沙店</v>
          </cell>
          <cell r="V2168" t="str">
            <v>2026-1-28</v>
          </cell>
          <cell r="W2168">
            <v>50</v>
          </cell>
        </row>
        <row r="2169">
          <cell r="U2169" t="str">
            <v>南安店</v>
          </cell>
          <cell r="V2169" t="str">
            <v>2026-1-28</v>
          </cell>
          <cell r="W2169">
            <v>0.68</v>
          </cell>
        </row>
        <row r="2170">
          <cell r="U2170" t="str">
            <v>南安店</v>
          </cell>
          <cell r="V2170" t="str">
            <v>2026-1-28</v>
          </cell>
          <cell r="W2170">
            <v>3.05</v>
          </cell>
        </row>
        <row r="2171">
          <cell r="U2171" t="str">
            <v>文灶店</v>
          </cell>
          <cell r="V2171" t="str">
            <v>2026-1-28</v>
          </cell>
          <cell r="W2171">
            <v>3.23</v>
          </cell>
        </row>
        <row r="2172">
          <cell r="U2172" t="str">
            <v>文灶店</v>
          </cell>
          <cell r="V2172" t="str">
            <v>2026-1-28</v>
          </cell>
          <cell r="W2172">
            <v>0</v>
          </cell>
        </row>
        <row r="2173">
          <cell r="U2173" t="str">
            <v>东海店</v>
          </cell>
          <cell r="V2173" t="str">
            <v>2026-1-28</v>
          </cell>
          <cell r="W2173">
            <v>34.66</v>
          </cell>
        </row>
        <row r="2174">
          <cell r="U2174" t="str">
            <v>东海店</v>
          </cell>
          <cell r="V2174" t="str">
            <v>2026-1-28</v>
          </cell>
          <cell r="W2174">
            <v>1.55</v>
          </cell>
        </row>
        <row r="2175">
          <cell r="U2175" t="str">
            <v>启点店</v>
          </cell>
          <cell r="V2175" t="str">
            <v>2026-1-29</v>
          </cell>
          <cell r="W2175">
            <v>57.23</v>
          </cell>
        </row>
        <row r="2176">
          <cell r="U2176" t="str">
            <v>高新店</v>
          </cell>
          <cell r="V2176" t="str">
            <v>2026-1-29</v>
          </cell>
          <cell r="W2176">
            <v>79.85</v>
          </cell>
        </row>
        <row r="2177">
          <cell r="U2177" t="str">
            <v>金牛店</v>
          </cell>
          <cell r="V2177" t="str">
            <v>2026-1-29</v>
          </cell>
          <cell r="W2177">
            <v>24.22</v>
          </cell>
        </row>
        <row r="2178">
          <cell r="U2178" t="str">
            <v>成华店</v>
          </cell>
          <cell r="V2178" t="str">
            <v>2026-1-29</v>
          </cell>
          <cell r="W2178">
            <v>36.66</v>
          </cell>
        </row>
        <row r="2179">
          <cell r="U2179" t="str">
            <v>西山店</v>
          </cell>
          <cell r="V2179" t="str">
            <v>2026-1-29</v>
          </cell>
          <cell r="W2179">
            <v>35.99</v>
          </cell>
        </row>
        <row r="2180">
          <cell r="U2180" t="str">
            <v>百捷店</v>
          </cell>
          <cell r="V2180" t="str">
            <v>2026-1-29</v>
          </cell>
          <cell r="W2180">
            <v>79.41</v>
          </cell>
        </row>
        <row r="2181">
          <cell r="U2181" t="str">
            <v>沙坪坝店</v>
          </cell>
          <cell r="V2181" t="str">
            <v>2026-1-29</v>
          </cell>
          <cell r="W2181">
            <v>48.06</v>
          </cell>
        </row>
        <row r="2182">
          <cell r="U2182" t="str">
            <v>五路口店</v>
          </cell>
          <cell r="V2182" t="str">
            <v>2026-1-29</v>
          </cell>
          <cell r="W2182">
            <v>60.21</v>
          </cell>
        </row>
        <row r="2183">
          <cell r="U2183" t="str">
            <v>济南店</v>
          </cell>
          <cell r="V2183" t="str">
            <v>2026-1-29</v>
          </cell>
          <cell r="W2183">
            <v>115.76</v>
          </cell>
        </row>
        <row r="2184">
          <cell r="U2184" t="str">
            <v>青羊店</v>
          </cell>
          <cell r="V2184" t="str">
            <v>2026-1-29</v>
          </cell>
          <cell r="W2184">
            <v>34.03</v>
          </cell>
        </row>
        <row r="2185">
          <cell r="U2185" t="str">
            <v>观音桥店</v>
          </cell>
          <cell r="V2185" t="str">
            <v>2026-1-29</v>
          </cell>
          <cell r="W2185">
            <v>57.52</v>
          </cell>
        </row>
        <row r="2186">
          <cell r="U2186" t="str">
            <v>西湖店</v>
          </cell>
          <cell r="V2186" t="str">
            <v>2026-1-29</v>
          </cell>
          <cell r="W2186">
            <v>74.53</v>
          </cell>
        </row>
        <row r="2187">
          <cell r="U2187" t="str">
            <v>诚毅店</v>
          </cell>
          <cell r="V2187" t="str">
            <v>2026-1-29</v>
          </cell>
          <cell r="W2187">
            <v>50.08</v>
          </cell>
        </row>
        <row r="2188">
          <cell r="U2188" t="str">
            <v>湖里店</v>
          </cell>
          <cell r="V2188" t="str">
            <v>2026-1-29</v>
          </cell>
          <cell r="W2188">
            <v>63.94</v>
          </cell>
        </row>
        <row r="2189">
          <cell r="U2189" t="str">
            <v>东新店</v>
          </cell>
          <cell r="V2189" t="str">
            <v>2026-1-29</v>
          </cell>
          <cell r="W2189">
            <v>98.02</v>
          </cell>
        </row>
        <row r="2190">
          <cell r="U2190" t="str">
            <v>大坪店</v>
          </cell>
          <cell r="V2190" t="str">
            <v>2026-1-29</v>
          </cell>
          <cell r="W2190">
            <v>76.92</v>
          </cell>
        </row>
        <row r="2191">
          <cell r="U2191" t="str">
            <v>凤城二路店</v>
          </cell>
          <cell r="V2191" t="str">
            <v>2026-1-29</v>
          </cell>
          <cell r="W2191">
            <v>69.17</v>
          </cell>
        </row>
        <row r="2192">
          <cell r="U2192" t="str">
            <v>洛江店</v>
          </cell>
          <cell r="V2192" t="str">
            <v>2026-1-29</v>
          </cell>
          <cell r="W2192">
            <v>14.9</v>
          </cell>
        </row>
        <row r="2193">
          <cell r="U2193" t="str">
            <v>官渡店</v>
          </cell>
          <cell r="V2193" t="str">
            <v>2026-1-29</v>
          </cell>
          <cell r="W2193">
            <v>44.6</v>
          </cell>
        </row>
        <row r="2194">
          <cell r="U2194" t="str">
            <v>武侯店</v>
          </cell>
          <cell r="V2194" t="str">
            <v>2026-1-29</v>
          </cell>
          <cell r="W2194">
            <v>15.63</v>
          </cell>
        </row>
        <row r="2195">
          <cell r="U2195" t="str">
            <v>黄雁村店</v>
          </cell>
          <cell r="V2195" t="str">
            <v>2026-1-29</v>
          </cell>
          <cell r="W2195">
            <v>45.62</v>
          </cell>
        </row>
        <row r="2196">
          <cell r="U2196" t="str">
            <v>五华店</v>
          </cell>
          <cell r="V2196" t="str">
            <v>2026-1-29</v>
          </cell>
          <cell r="W2196">
            <v>20.06</v>
          </cell>
        </row>
        <row r="2197">
          <cell r="U2197" t="str">
            <v>长沙店</v>
          </cell>
          <cell r="V2197" t="str">
            <v>2026-1-29</v>
          </cell>
          <cell r="W2197">
            <v>67.4</v>
          </cell>
        </row>
        <row r="2198">
          <cell r="U2198" t="str">
            <v>鼓楼店</v>
          </cell>
          <cell r="V2198" t="str">
            <v>2026-1-29</v>
          </cell>
          <cell r="W2198">
            <v>180</v>
          </cell>
        </row>
        <row r="2199">
          <cell r="U2199" t="str">
            <v>文昌店</v>
          </cell>
          <cell r="V2199" t="str">
            <v>2026-1-29</v>
          </cell>
          <cell r="W2199">
            <v>88.75</v>
          </cell>
        </row>
        <row r="2200">
          <cell r="U2200" t="str">
            <v>百丈店</v>
          </cell>
          <cell r="V2200" t="str">
            <v>2026-1-29</v>
          </cell>
          <cell r="W2200">
            <v>72.77</v>
          </cell>
        </row>
        <row r="2201">
          <cell r="U2201" t="str">
            <v>观桥店</v>
          </cell>
          <cell r="V2201" t="str">
            <v>2026-1-29</v>
          </cell>
          <cell r="W2201">
            <v>35.77</v>
          </cell>
        </row>
        <row r="2202">
          <cell r="U2202" t="str">
            <v>余杭店</v>
          </cell>
          <cell r="V2202" t="str">
            <v>2026-1-29</v>
          </cell>
          <cell r="W2202">
            <v>215.48</v>
          </cell>
        </row>
        <row r="2203">
          <cell r="U2203" t="str">
            <v>首山店</v>
          </cell>
          <cell r="V2203" t="str">
            <v>2026-1-29</v>
          </cell>
          <cell r="W2203">
            <v>61.96</v>
          </cell>
        </row>
        <row r="2204">
          <cell r="U2204" t="str">
            <v>首南店</v>
          </cell>
          <cell r="V2204" t="str">
            <v>2026-1-29</v>
          </cell>
          <cell r="W2204">
            <v>184.07</v>
          </cell>
        </row>
        <row r="2205">
          <cell r="U2205" t="str">
            <v>滨江店</v>
          </cell>
          <cell r="V2205" t="str">
            <v>2026-1-29</v>
          </cell>
          <cell r="W2205">
            <v>223.51</v>
          </cell>
        </row>
        <row r="2206">
          <cell r="U2206" t="str">
            <v>下沙店</v>
          </cell>
          <cell r="V2206" t="str">
            <v>2026-1-29</v>
          </cell>
          <cell r="W2206">
            <v>50</v>
          </cell>
        </row>
        <row r="2207">
          <cell r="U2207" t="str">
            <v>南安店</v>
          </cell>
          <cell r="V2207" t="str">
            <v>2026-1-29</v>
          </cell>
          <cell r="W2207">
            <v>0.25</v>
          </cell>
        </row>
        <row r="2208">
          <cell r="U2208" t="str">
            <v>南安店</v>
          </cell>
          <cell r="V2208" t="str">
            <v>2026-1-29</v>
          </cell>
          <cell r="W2208">
            <v>9.11</v>
          </cell>
        </row>
        <row r="2209">
          <cell r="U2209" t="str">
            <v>文灶店</v>
          </cell>
          <cell r="V2209" t="str">
            <v>2026-1-29</v>
          </cell>
          <cell r="W2209">
            <v>4.86</v>
          </cell>
        </row>
        <row r="2210">
          <cell r="U2210" t="str">
            <v>文灶店</v>
          </cell>
          <cell r="V2210" t="str">
            <v>2026-1-29</v>
          </cell>
          <cell r="W2210">
            <v>0</v>
          </cell>
        </row>
        <row r="2211">
          <cell r="U2211" t="str">
            <v>东海店</v>
          </cell>
          <cell r="V2211" t="str">
            <v>2026-1-29</v>
          </cell>
          <cell r="W2211">
            <v>17.91</v>
          </cell>
        </row>
        <row r="2212">
          <cell r="U2212" t="str">
            <v>东海店</v>
          </cell>
          <cell r="V2212" t="str">
            <v>2026-1-29</v>
          </cell>
          <cell r="W2212">
            <v>8.44</v>
          </cell>
        </row>
        <row r="2213">
          <cell r="U2213" t="str">
            <v>启点店</v>
          </cell>
          <cell r="V2213" t="str">
            <v>2026-1-30</v>
          </cell>
          <cell r="W2213">
            <v>37.32</v>
          </cell>
        </row>
        <row r="2214">
          <cell r="U2214" t="str">
            <v>高新店</v>
          </cell>
          <cell r="V2214" t="str">
            <v>2026-1-30</v>
          </cell>
          <cell r="W2214">
            <v>89.2</v>
          </cell>
        </row>
        <row r="2215">
          <cell r="U2215" t="str">
            <v>金牛店</v>
          </cell>
          <cell r="V2215" t="str">
            <v>2026-1-30</v>
          </cell>
          <cell r="W2215">
            <v>76.41</v>
          </cell>
        </row>
        <row r="2216">
          <cell r="U2216" t="str">
            <v>成华店</v>
          </cell>
          <cell r="V2216" t="str">
            <v>2026-1-30</v>
          </cell>
          <cell r="W2216">
            <v>38.71</v>
          </cell>
        </row>
        <row r="2217">
          <cell r="U2217" t="str">
            <v>西山店</v>
          </cell>
          <cell r="V2217" t="str">
            <v>2026-1-30</v>
          </cell>
          <cell r="W2217">
            <v>35.88</v>
          </cell>
        </row>
        <row r="2218">
          <cell r="U2218" t="str">
            <v>百捷店</v>
          </cell>
          <cell r="V2218" t="str">
            <v>2026-1-30</v>
          </cell>
          <cell r="W2218">
            <v>79.05</v>
          </cell>
        </row>
        <row r="2219">
          <cell r="U2219" t="str">
            <v>沙坪坝店</v>
          </cell>
          <cell r="V2219" t="str">
            <v>2026-1-30</v>
          </cell>
          <cell r="W2219">
            <v>45.46</v>
          </cell>
        </row>
        <row r="2220">
          <cell r="U2220" t="str">
            <v>五路口店</v>
          </cell>
          <cell r="V2220" t="str">
            <v>2026-1-30</v>
          </cell>
          <cell r="W2220">
            <v>53.21</v>
          </cell>
        </row>
        <row r="2221">
          <cell r="U2221" t="str">
            <v>济南店</v>
          </cell>
          <cell r="V2221" t="str">
            <v>2026-1-30</v>
          </cell>
          <cell r="W2221">
            <v>176.75</v>
          </cell>
        </row>
        <row r="2222">
          <cell r="U2222" t="str">
            <v>青羊店</v>
          </cell>
          <cell r="V2222" t="str">
            <v>2026-1-30</v>
          </cell>
          <cell r="W2222">
            <v>33.57</v>
          </cell>
        </row>
        <row r="2223">
          <cell r="U2223" t="str">
            <v>观音桥店</v>
          </cell>
          <cell r="V2223" t="str">
            <v>2026-1-30</v>
          </cell>
          <cell r="W2223">
            <v>47.68</v>
          </cell>
        </row>
        <row r="2224">
          <cell r="U2224" t="str">
            <v>西湖店</v>
          </cell>
          <cell r="V2224" t="str">
            <v>2026-1-30</v>
          </cell>
          <cell r="W2224">
            <v>138.5</v>
          </cell>
        </row>
        <row r="2225">
          <cell r="U2225" t="str">
            <v>诚毅店</v>
          </cell>
          <cell r="V2225" t="str">
            <v>2026-1-30</v>
          </cell>
          <cell r="W2225">
            <v>64.49</v>
          </cell>
        </row>
        <row r="2226">
          <cell r="U2226" t="str">
            <v>湖里店</v>
          </cell>
          <cell r="V2226" t="str">
            <v>2026-1-30</v>
          </cell>
          <cell r="W2226">
            <v>107.3</v>
          </cell>
        </row>
        <row r="2227">
          <cell r="U2227" t="str">
            <v>东新店</v>
          </cell>
          <cell r="V2227" t="str">
            <v>2026-1-30</v>
          </cell>
          <cell r="W2227">
            <v>66.94</v>
          </cell>
        </row>
        <row r="2228">
          <cell r="U2228" t="str">
            <v>大坪店</v>
          </cell>
          <cell r="V2228" t="str">
            <v>2026-1-30</v>
          </cell>
          <cell r="W2228">
            <v>92.07</v>
          </cell>
        </row>
        <row r="2229">
          <cell r="U2229" t="str">
            <v>凤城二路店</v>
          </cell>
          <cell r="V2229" t="str">
            <v>2026-1-30</v>
          </cell>
          <cell r="W2229">
            <v>51.64</v>
          </cell>
        </row>
        <row r="2230">
          <cell r="U2230" t="str">
            <v>洛江店</v>
          </cell>
          <cell r="V2230" t="str">
            <v>2026-1-30</v>
          </cell>
          <cell r="W2230">
            <v>31.75</v>
          </cell>
        </row>
        <row r="2231">
          <cell r="U2231" t="str">
            <v>官渡店</v>
          </cell>
          <cell r="V2231" t="str">
            <v>2026-1-30</v>
          </cell>
          <cell r="W2231">
            <v>14.05</v>
          </cell>
        </row>
        <row r="2232">
          <cell r="U2232" t="str">
            <v>武侯店</v>
          </cell>
          <cell r="V2232" t="str">
            <v>2026-1-30</v>
          </cell>
          <cell r="W2232">
            <v>23.24</v>
          </cell>
        </row>
        <row r="2233">
          <cell r="U2233" t="str">
            <v>黄雁村店</v>
          </cell>
          <cell r="V2233" t="str">
            <v>2026-1-30</v>
          </cell>
          <cell r="W2233">
            <v>109.28</v>
          </cell>
        </row>
        <row r="2234">
          <cell r="U2234" t="str">
            <v>五华店</v>
          </cell>
          <cell r="V2234" t="str">
            <v>2026-1-30</v>
          </cell>
          <cell r="W2234">
            <v>23.07</v>
          </cell>
        </row>
        <row r="2235">
          <cell r="U2235" t="str">
            <v>长沙店</v>
          </cell>
          <cell r="V2235" t="str">
            <v>2026-1-30</v>
          </cell>
          <cell r="W2235">
            <v>71.59</v>
          </cell>
        </row>
        <row r="2236">
          <cell r="U2236" t="str">
            <v>鼓楼店</v>
          </cell>
          <cell r="V2236" t="str">
            <v>2026-1-30</v>
          </cell>
          <cell r="W2236">
            <v>224.67</v>
          </cell>
        </row>
        <row r="2237">
          <cell r="U2237" t="str">
            <v>文昌店</v>
          </cell>
          <cell r="V2237" t="str">
            <v>2026-1-30</v>
          </cell>
          <cell r="W2237">
            <v>59.76</v>
          </cell>
        </row>
        <row r="2238">
          <cell r="U2238" t="str">
            <v>百丈店</v>
          </cell>
          <cell r="V2238" t="str">
            <v>2026-1-30</v>
          </cell>
          <cell r="W2238">
            <v>34.27</v>
          </cell>
        </row>
        <row r="2239">
          <cell r="U2239" t="str">
            <v>观桥店</v>
          </cell>
          <cell r="V2239" t="str">
            <v>2026-1-30</v>
          </cell>
          <cell r="W2239">
            <v>46.02</v>
          </cell>
        </row>
        <row r="2240">
          <cell r="U2240" t="str">
            <v>余杭店</v>
          </cell>
          <cell r="V2240" t="str">
            <v>2026-1-30</v>
          </cell>
          <cell r="W2240">
            <v>179.95</v>
          </cell>
        </row>
        <row r="2241">
          <cell r="U2241" t="str">
            <v>首山店</v>
          </cell>
          <cell r="V2241" t="str">
            <v>2026-1-30</v>
          </cell>
          <cell r="W2241">
            <v>84.94</v>
          </cell>
        </row>
        <row r="2242">
          <cell r="U2242" t="str">
            <v>首南店</v>
          </cell>
          <cell r="V2242" t="str">
            <v>2026-1-30</v>
          </cell>
          <cell r="W2242">
            <v>143.09</v>
          </cell>
        </row>
        <row r="2243">
          <cell r="U2243" t="str">
            <v>滨江店</v>
          </cell>
          <cell r="V2243" t="str">
            <v>2026-1-30</v>
          </cell>
          <cell r="W2243">
            <v>135.77</v>
          </cell>
        </row>
        <row r="2244">
          <cell r="U2244" t="str">
            <v>下沙店</v>
          </cell>
          <cell r="V2244" t="str">
            <v>2026-1-30</v>
          </cell>
          <cell r="W2244">
            <v>58.02</v>
          </cell>
        </row>
        <row r="2245">
          <cell r="U2245" t="str">
            <v>南安店</v>
          </cell>
          <cell r="V2245" t="str">
            <v>2026-1-30</v>
          </cell>
          <cell r="W2245">
            <v>0.49</v>
          </cell>
        </row>
        <row r="2246">
          <cell r="U2246" t="str">
            <v>南安店</v>
          </cell>
          <cell r="V2246" t="str">
            <v>2026-1-30</v>
          </cell>
          <cell r="W2246">
            <v>0.91</v>
          </cell>
        </row>
        <row r="2247">
          <cell r="U2247" t="str">
            <v>文灶店</v>
          </cell>
          <cell r="V2247" t="str">
            <v>2026-1-30</v>
          </cell>
          <cell r="W2247">
            <v>17.52</v>
          </cell>
        </row>
        <row r="2248">
          <cell r="U2248" t="str">
            <v>文灶店</v>
          </cell>
          <cell r="V2248" t="str">
            <v>2026-1-30</v>
          </cell>
          <cell r="W2248">
            <v>1.49</v>
          </cell>
        </row>
        <row r="2249">
          <cell r="U2249" t="str">
            <v>东海店</v>
          </cell>
          <cell r="V2249" t="str">
            <v>2026-1-30</v>
          </cell>
          <cell r="W2249">
            <v>18.08</v>
          </cell>
        </row>
        <row r="2250">
          <cell r="U2250" t="str">
            <v>东海店</v>
          </cell>
          <cell r="V2250" t="str">
            <v>2026-1-30</v>
          </cell>
          <cell r="W2250">
            <v>1.87</v>
          </cell>
        </row>
        <row r="2251">
          <cell r="U2251" t="str">
            <v>启点店</v>
          </cell>
          <cell r="V2251" t="str">
            <v>2026-1-31</v>
          </cell>
          <cell r="W2251">
            <v>57.13</v>
          </cell>
        </row>
        <row r="2252">
          <cell r="U2252" t="str">
            <v>高新店</v>
          </cell>
          <cell r="V2252" t="str">
            <v>2026-1-31</v>
          </cell>
          <cell r="W2252">
            <v>149.84</v>
          </cell>
        </row>
        <row r="2253">
          <cell r="U2253" t="str">
            <v>金牛店</v>
          </cell>
          <cell r="V2253" t="str">
            <v>2026-1-31</v>
          </cell>
          <cell r="W2253">
            <v>76.99</v>
          </cell>
        </row>
        <row r="2254">
          <cell r="U2254" t="str">
            <v>成华店</v>
          </cell>
          <cell r="V2254" t="str">
            <v>2026-1-31</v>
          </cell>
          <cell r="W2254">
            <v>31.49</v>
          </cell>
        </row>
        <row r="2255">
          <cell r="U2255" t="str">
            <v>西山店</v>
          </cell>
          <cell r="V2255" t="str">
            <v>2026-1-31</v>
          </cell>
          <cell r="W2255">
            <v>29.69</v>
          </cell>
        </row>
        <row r="2256">
          <cell r="U2256" t="str">
            <v>百捷店</v>
          </cell>
          <cell r="V2256" t="str">
            <v>2026-1-31</v>
          </cell>
          <cell r="W2256">
            <v>104.07</v>
          </cell>
        </row>
        <row r="2257">
          <cell r="U2257" t="str">
            <v>沙坪坝店</v>
          </cell>
          <cell r="V2257" t="str">
            <v>2026-1-31</v>
          </cell>
          <cell r="W2257">
            <v>31.32</v>
          </cell>
        </row>
        <row r="2258">
          <cell r="U2258" t="str">
            <v>五路口店</v>
          </cell>
          <cell r="V2258" t="str">
            <v>2026-1-31</v>
          </cell>
          <cell r="W2258">
            <v>62.81</v>
          </cell>
        </row>
        <row r="2259">
          <cell r="U2259" t="str">
            <v>济南店</v>
          </cell>
          <cell r="V2259" t="str">
            <v>2026-1-31</v>
          </cell>
          <cell r="W2259">
            <v>182.46</v>
          </cell>
        </row>
        <row r="2260">
          <cell r="U2260" t="str">
            <v>青羊店</v>
          </cell>
          <cell r="V2260" t="str">
            <v>2026-1-31</v>
          </cell>
          <cell r="W2260">
            <v>23.66</v>
          </cell>
        </row>
        <row r="2261">
          <cell r="U2261" t="str">
            <v>观音桥店</v>
          </cell>
          <cell r="V2261" t="str">
            <v>2026-1-31</v>
          </cell>
          <cell r="W2261">
            <v>50.25</v>
          </cell>
        </row>
        <row r="2262">
          <cell r="U2262" t="str">
            <v>西湖店</v>
          </cell>
          <cell r="V2262" t="str">
            <v>2026-1-31</v>
          </cell>
          <cell r="W2262">
            <v>246.01</v>
          </cell>
        </row>
        <row r="2263">
          <cell r="U2263" t="str">
            <v>诚毅店</v>
          </cell>
          <cell r="V2263" t="str">
            <v>2026-1-31</v>
          </cell>
          <cell r="W2263">
            <v>59.07</v>
          </cell>
        </row>
        <row r="2264">
          <cell r="U2264" t="str">
            <v>湖里店</v>
          </cell>
          <cell r="V2264" t="str">
            <v>2026-1-31</v>
          </cell>
          <cell r="W2264">
            <v>121.52</v>
          </cell>
        </row>
        <row r="2265">
          <cell r="U2265" t="str">
            <v>东新店</v>
          </cell>
          <cell r="V2265" t="str">
            <v>2026-1-31</v>
          </cell>
          <cell r="W2265">
            <v>37.56</v>
          </cell>
        </row>
        <row r="2266">
          <cell r="U2266" t="str">
            <v>大坪店</v>
          </cell>
          <cell r="V2266" t="str">
            <v>2026-1-31</v>
          </cell>
          <cell r="W2266">
            <v>121.74</v>
          </cell>
        </row>
        <row r="2267">
          <cell r="U2267" t="str">
            <v>凤城二路店</v>
          </cell>
          <cell r="V2267" t="str">
            <v>2026-1-31</v>
          </cell>
          <cell r="W2267">
            <v>67.26</v>
          </cell>
        </row>
        <row r="2268">
          <cell r="U2268" t="str">
            <v>洛江店</v>
          </cell>
          <cell r="V2268" t="str">
            <v>2026-1-31</v>
          </cell>
          <cell r="W2268">
            <v>38.09</v>
          </cell>
        </row>
        <row r="2269">
          <cell r="U2269" t="str">
            <v>官渡店</v>
          </cell>
          <cell r="V2269" t="str">
            <v>2026-1-31</v>
          </cell>
          <cell r="W2269">
            <v>25.74</v>
          </cell>
        </row>
        <row r="2270">
          <cell r="U2270" t="str">
            <v>武侯店</v>
          </cell>
          <cell r="V2270" t="str">
            <v>2026-1-31</v>
          </cell>
          <cell r="W2270">
            <v>15.69</v>
          </cell>
        </row>
        <row r="2271">
          <cell r="U2271" t="str">
            <v>黄雁村店</v>
          </cell>
          <cell r="V2271" t="str">
            <v>2026-1-31</v>
          </cell>
          <cell r="W2271">
            <v>33.49</v>
          </cell>
        </row>
        <row r="2272">
          <cell r="U2272" t="str">
            <v>五华店</v>
          </cell>
          <cell r="V2272" t="str">
            <v>2026-1-31</v>
          </cell>
          <cell r="W2272">
            <v>20.34</v>
          </cell>
        </row>
        <row r="2273">
          <cell r="U2273" t="str">
            <v>长沙店</v>
          </cell>
          <cell r="V2273" t="str">
            <v>2026-1-31</v>
          </cell>
          <cell r="W2273">
            <v>131.59</v>
          </cell>
        </row>
        <row r="2274">
          <cell r="U2274" t="str">
            <v>鼓楼店</v>
          </cell>
          <cell r="V2274" t="str">
            <v>2026-1-31</v>
          </cell>
          <cell r="W2274">
            <v>194.56</v>
          </cell>
        </row>
        <row r="2275">
          <cell r="U2275" t="str">
            <v>文昌店</v>
          </cell>
          <cell r="V2275" t="str">
            <v>2026-1-31</v>
          </cell>
          <cell r="W2275">
            <v>58.27</v>
          </cell>
        </row>
        <row r="2276">
          <cell r="U2276" t="str">
            <v>百丈店</v>
          </cell>
          <cell r="V2276" t="str">
            <v>2026-1-31</v>
          </cell>
          <cell r="W2276">
            <v>49.2</v>
          </cell>
        </row>
        <row r="2277">
          <cell r="U2277" t="str">
            <v>观桥店</v>
          </cell>
          <cell r="V2277" t="str">
            <v>2026-1-31</v>
          </cell>
          <cell r="W2277">
            <v>42.19</v>
          </cell>
        </row>
        <row r="2278">
          <cell r="U2278" t="str">
            <v>余杭店</v>
          </cell>
          <cell r="V2278" t="str">
            <v>2026-1-31</v>
          </cell>
          <cell r="W2278">
            <v>221.55</v>
          </cell>
        </row>
        <row r="2279">
          <cell r="U2279" t="str">
            <v>首山店</v>
          </cell>
          <cell r="V2279" t="str">
            <v>2026-1-31</v>
          </cell>
          <cell r="W2279">
            <v>93.29</v>
          </cell>
        </row>
        <row r="2280">
          <cell r="U2280" t="str">
            <v>首南店</v>
          </cell>
          <cell r="V2280" t="str">
            <v>2026-1-31</v>
          </cell>
          <cell r="W2280">
            <v>138.69</v>
          </cell>
        </row>
        <row r="2281">
          <cell r="U2281" t="str">
            <v>滨江店</v>
          </cell>
          <cell r="V2281" t="str">
            <v>2026-1-31</v>
          </cell>
          <cell r="W2281">
            <v>205.87</v>
          </cell>
        </row>
        <row r="2282">
          <cell r="U2282" t="str">
            <v>下沙店</v>
          </cell>
          <cell r="V2282" t="str">
            <v>2026-1-31</v>
          </cell>
          <cell r="W2282">
            <v>74.5</v>
          </cell>
        </row>
        <row r="2283">
          <cell r="U2283" t="str">
            <v>南安店</v>
          </cell>
          <cell r="V2283" t="str">
            <v>2026-1-31</v>
          </cell>
          <cell r="W2283">
            <v>0.66</v>
          </cell>
        </row>
        <row r="2284">
          <cell r="U2284" t="str">
            <v>南安店</v>
          </cell>
          <cell r="V2284" t="str">
            <v>2026-1-31</v>
          </cell>
          <cell r="W2284">
            <v>0.45</v>
          </cell>
        </row>
        <row r="2285">
          <cell r="U2285" t="str">
            <v>文灶店</v>
          </cell>
          <cell r="V2285" t="str">
            <v>2026-1-31</v>
          </cell>
          <cell r="W2285">
            <v>8.93</v>
          </cell>
        </row>
        <row r="2286">
          <cell r="U2286" t="str">
            <v>文灶店</v>
          </cell>
          <cell r="V2286" t="str">
            <v>2026-1-31</v>
          </cell>
          <cell r="W2286">
            <v>1.61</v>
          </cell>
        </row>
        <row r="2287">
          <cell r="U2287" t="str">
            <v>东海店</v>
          </cell>
          <cell r="V2287" t="str">
            <v>2026-1-31</v>
          </cell>
          <cell r="W2287">
            <v>8.12</v>
          </cell>
        </row>
        <row r="2288">
          <cell r="U2288" t="str">
            <v>东海店</v>
          </cell>
          <cell r="V2288" t="str">
            <v>2026-1-31</v>
          </cell>
          <cell r="W2288">
            <v>0</v>
          </cell>
        </row>
        <row r="2289">
          <cell r="U2289" t="str">
            <v>启点店</v>
          </cell>
          <cell r="V2289" t="str">
            <v>2026-2-01</v>
          </cell>
          <cell r="W2289">
            <v>83.98</v>
          </cell>
        </row>
        <row r="2290">
          <cell r="U2290" t="str">
            <v>高新店</v>
          </cell>
          <cell r="V2290" t="str">
            <v>2026-2-01</v>
          </cell>
          <cell r="W2290">
            <v>59.82</v>
          </cell>
        </row>
        <row r="2291">
          <cell r="U2291" t="str">
            <v>金牛店</v>
          </cell>
          <cell r="V2291" t="str">
            <v>2026-2-01</v>
          </cell>
          <cell r="W2291">
            <v>68.91</v>
          </cell>
        </row>
        <row r="2292">
          <cell r="U2292" t="str">
            <v>成华店</v>
          </cell>
          <cell r="V2292" t="str">
            <v>2026-2-01</v>
          </cell>
          <cell r="W2292">
            <v>49.01</v>
          </cell>
        </row>
        <row r="2293">
          <cell r="U2293" t="str">
            <v>西山店</v>
          </cell>
          <cell r="V2293" t="str">
            <v>2026-2-01</v>
          </cell>
          <cell r="W2293">
            <v>16.12</v>
          </cell>
        </row>
        <row r="2294">
          <cell r="U2294" t="str">
            <v>百捷店</v>
          </cell>
          <cell r="V2294" t="str">
            <v>2026-2-01</v>
          </cell>
          <cell r="W2294">
            <v>94.79</v>
          </cell>
        </row>
        <row r="2295">
          <cell r="U2295" t="str">
            <v>沙坪坝店</v>
          </cell>
          <cell r="V2295" t="str">
            <v>2026-2-01</v>
          </cell>
          <cell r="W2295">
            <v>39.23</v>
          </cell>
        </row>
        <row r="2296">
          <cell r="U2296" t="str">
            <v>五路口店</v>
          </cell>
          <cell r="V2296" t="str">
            <v>2026-2-01</v>
          </cell>
          <cell r="W2296">
            <v>48.15</v>
          </cell>
        </row>
        <row r="2297">
          <cell r="U2297" t="str">
            <v>济南店</v>
          </cell>
          <cell r="V2297" t="str">
            <v>2026-2-01</v>
          </cell>
          <cell r="W2297">
            <v>165.65</v>
          </cell>
        </row>
        <row r="2298">
          <cell r="U2298" t="str">
            <v>青羊店</v>
          </cell>
          <cell r="V2298" t="str">
            <v>2026-2-01</v>
          </cell>
          <cell r="W2298">
            <v>22.21</v>
          </cell>
        </row>
        <row r="2299">
          <cell r="U2299" t="str">
            <v>观音桥店</v>
          </cell>
          <cell r="V2299" t="str">
            <v>2026-2-01</v>
          </cell>
          <cell r="W2299">
            <v>50.35</v>
          </cell>
        </row>
        <row r="2300">
          <cell r="U2300" t="str">
            <v>西湖店</v>
          </cell>
          <cell r="V2300" t="str">
            <v>2026-2-01</v>
          </cell>
          <cell r="W2300">
            <v>169.83</v>
          </cell>
        </row>
        <row r="2301">
          <cell r="U2301" t="str">
            <v>诚毅店</v>
          </cell>
          <cell r="V2301" t="str">
            <v>2026-2-01</v>
          </cell>
          <cell r="W2301">
            <v>63.09</v>
          </cell>
        </row>
        <row r="2302">
          <cell r="U2302" t="str">
            <v>湖里店</v>
          </cell>
          <cell r="V2302" t="str">
            <v>2026-2-01</v>
          </cell>
          <cell r="W2302">
            <v>105.06</v>
          </cell>
        </row>
        <row r="2303">
          <cell r="U2303" t="str">
            <v>东新店</v>
          </cell>
          <cell r="V2303" t="str">
            <v>2026-2-01</v>
          </cell>
          <cell r="W2303">
            <v>80.61</v>
          </cell>
        </row>
        <row r="2304">
          <cell r="U2304" t="str">
            <v>大坪店</v>
          </cell>
          <cell r="V2304" t="str">
            <v>2026-2-01</v>
          </cell>
          <cell r="W2304">
            <v>146.27</v>
          </cell>
        </row>
        <row r="2305">
          <cell r="U2305" t="str">
            <v>凤城二路店</v>
          </cell>
          <cell r="V2305" t="str">
            <v>2026-2-01</v>
          </cell>
          <cell r="W2305">
            <v>36.33</v>
          </cell>
        </row>
        <row r="2306">
          <cell r="U2306" t="str">
            <v>洛江店</v>
          </cell>
          <cell r="V2306" t="str">
            <v>2026-2-01</v>
          </cell>
          <cell r="W2306">
            <v>0</v>
          </cell>
        </row>
        <row r="2307">
          <cell r="U2307" t="str">
            <v>官渡店</v>
          </cell>
          <cell r="V2307" t="str">
            <v>2026-2-01</v>
          </cell>
          <cell r="W2307">
            <v>23.64</v>
          </cell>
        </row>
        <row r="2308">
          <cell r="U2308" t="str">
            <v>武侯店</v>
          </cell>
          <cell r="V2308" t="str">
            <v>2026-2-01</v>
          </cell>
          <cell r="W2308">
            <v>14.95</v>
          </cell>
        </row>
        <row r="2309">
          <cell r="U2309" t="str">
            <v>黄雁村店</v>
          </cell>
          <cell r="V2309" t="str">
            <v>2026-2-01</v>
          </cell>
          <cell r="W2309">
            <v>59.45</v>
          </cell>
        </row>
        <row r="2310">
          <cell r="U2310" t="str">
            <v>五华店</v>
          </cell>
          <cell r="V2310" t="str">
            <v>2026-2-01</v>
          </cell>
          <cell r="W2310">
            <v>31.21</v>
          </cell>
        </row>
        <row r="2311">
          <cell r="U2311" t="str">
            <v>长沙店</v>
          </cell>
          <cell r="V2311" t="str">
            <v>2026-2-01</v>
          </cell>
          <cell r="W2311">
            <v>52.91</v>
          </cell>
        </row>
        <row r="2312">
          <cell r="U2312" t="str">
            <v>鼓楼店</v>
          </cell>
          <cell r="V2312" t="str">
            <v>2026-2-01</v>
          </cell>
          <cell r="W2312">
            <v>150</v>
          </cell>
        </row>
        <row r="2313">
          <cell r="U2313" t="str">
            <v>文昌店</v>
          </cell>
          <cell r="V2313" t="str">
            <v>2026-2-01</v>
          </cell>
          <cell r="W2313">
            <v>43.58</v>
          </cell>
        </row>
        <row r="2314">
          <cell r="U2314" t="str">
            <v>百丈店</v>
          </cell>
          <cell r="V2314" t="str">
            <v>2026-2-01</v>
          </cell>
          <cell r="W2314">
            <v>41.12</v>
          </cell>
        </row>
        <row r="2315">
          <cell r="U2315" t="str">
            <v>观桥店</v>
          </cell>
          <cell r="V2315" t="str">
            <v>2026-2-01</v>
          </cell>
          <cell r="W2315">
            <v>7.47</v>
          </cell>
        </row>
        <row r="2316">
          <cell r="U2316" t="str">
            <v>余杭店</v>
          </cell>
          <cell r="V2316" t="str">
            <v>2026-2-01</v>
          </cell>
          <cell r="W2316">
            <v>317.07</v>
          </cell>
        </row>
        <row r="2317">
          <cell r="U2317" t="str">
            <v>首山店</v>
          </cell>
          <cell r="V2317" t="str">
            <v>2026-2-01</v>
          </cell>
          <cell r="W2317">
            <v>65.46</v>
          </cell>
        </row>
        <row r="2318">
          <cell r="U2318" t="str">
            <v>首南店</v>
          </cell>
          <cell r="V2318" t="str">
            <v>2026-2-01</v>
          </cell>
          <cell r="W2318">
            <v>134.43</v>
          </cell>
        </row>
        <row r="2319">
          <cell r="U2319" t="str">
            <v>滨江店</v>
          </cell>
          <cell r="V2319" t="str">
            <v>2026-2-01</v>
          </cell>
          <cell r="W2319">
            <v>162.09</v>
          </cell>
        </row>
        <row r="2320">
          <cell r="U2320" t="str">
            <v>下沙店</v>
          </cell>
          <cell r="V2320" t="str">
            <v>2026-2-01</v>
          </cell>
          <cell r="W2320">
            <v>86.49</v>
          </cell>
        </row>
        <row r="2321">
          <cell r="U2321" t="str">
            <v>南安店</v>
          </cell>
          <cell r="V2321" t="str">
            <v>2026-2-01</v>
          </cell>
          <cell r="W2321">
            <v>0</v>
          </cell>
        </row>
        <row r="2322">
          <cell r="U2322" t="str">
            <v>南安店</v>
          </cell>
          <cell r="V2322" t="str">
            <v>2026-2-01</v>
          </cell>
          <cell r="W2322">
            <v>5.03</v>
          </cell>
        </row>
        <row r="2323">
          <cell r="U2323" t="str">
            <v>文灶店</v>
          </cell>
          <cell r="V2323" t="str">
            <v>2026-2-01</v>
          </cell>
          <cell r="W2323">
            <v>22.88</v>
          </cell>
        </row>
        <row r="2324">
          <cell r="U2324" t="str">
            <v>文灶店</v>
          </cell>
          <cell r="V2324" t="str">
            <v>2026-2-01</v>
          </cell>
          <cell r="W2324">
            <v>1.23</v>
          </cell>
        </row>
        <row r="2325">
          <cell r="U2325" t="str">
            <v>东海店</v>
          </cell>
          <cell r="V2325" t="str">
            <v>2026-2-01</v>
          </cell>
          <cell r="W2325">
            <v>15.22</v>
          </cell>
        </row>
        <row r="2326">
          <cell r="U2326" t="str">
            <v>东海店</v>
          </cell>
          <cell r="V2326" t="str">
            <v>2026-2-01</v>
          </cell>
          <cell r="W2326">
            <v>4.27</v>
          </cell>
        </row>
        <row r="2327">
          <cell r="U2327" t="str">
            <v>启点店</v>
          </cell>
          <cell r="V2327" t="str">
            <v>2026-2-02</v>
          </cell>
          <cell r="W2327">
            <v>47.09</v>
          </cell>
        </row>
        <row r="2328">
          <cell r="U2328" t="str">
            <v>高新店</v>
          </cell>
          <cell r="V2328" t="str">
            <v>2026-2-02</v>
          </cell>
          <cell r="W2328">
            <v>116.1</v>
          </cell>
        </row>
        <row r="2329">
          <cell r="U2329" t="str">
            <v>金牛店</v>
          </cell>
          <cell r="V2329" t="str">
            <v>2026-2-02</v>
          </cell>
          <cell r="W2329">
            <v>52.32</v>
          </cell>
        </row>
        <row r="2330">
          <cell r="U2330" t="str">
            <v>成华店</v>
          </cell>
          <cell r="V2330" t="str">
            <v>2026-2-02</v>
          </cell>
          <cell r="W2330">
            <v>37.53</v>
          </cell>
        </row>
        <row r="2331">
          <cell r="U2331" t="str">
            <v>西山店</v>
          </cell>
          <cell r="V2331" t="str">
            <v>2026-2-02</v>
          </cell>
          <cell r="W2331">
            <v>31.86</v>
          </cell>
        </row>
        <row r="2332">
          <cell r="U2332" t="str">
            <v>百捷店</v>
          </cell>
          <cell r="V2332" t="str">
            <v>2026-2-02</v>
          </cell>
          <cell r="W2332">
            <v>114.65</v>
          </cell>
        </row>
        <row r="2333">
          <cell r="U2333" t="str">
            <v>沙坪坝店</v>
          </cell>
          <cell r="V2333" t="str">
            <v>2026-2-02</v>
          </cell>
          <cell r="W2333">
            <v>34.63</v>
          </cell>
        </row>
        <row r="2334">
          <cell r="U2334" t="str">
            <v>五路口店</v>
          </cell>
          <cell r="V2334" t="str">
            <v>2026-2-02</v>
          </cell>
          <cell r="W2334">
            <v>39.33</v>
          </cell>
        </row>
        <row r="2335">
          <cell r="U2335" t="str">
            <v>济南店</v>
          </cell>
          <cell r="V2335" t="str">
            <v>2026-2-02</v>
          </cell>
          <cell r="W2335">
            <v>94.19</v>
          </cell>
        </row>
        <row r="2336">
          <cell r="U2336" t="str">
            <v>青羊店</v>
          </cell>
          <cell r="V2336" t="str">
            <v>2026-2-02</v>
          </cell>
          <cell r="W2336">
            <v>12.91</v>
          </cell>
        </row>
        <row r="2337">
          <cell r="U2337" t="str">
            <v>观音桥店</v>
          </cell>
          <cell r="V2337" t="str">
            <v>2026-2-02</v>
          </cell>
          <cell r="W2337">
            <v>46.78</v>
          </cell>
        </row>
        <row r="2338">
          <cell r="U2338" t="str">
            <v>西湖店</v>
          </cell>
          <cell r="V2338" t="str">
            <v>2026-2-02</v>
          </cell>
          <cell r="W2338">
            <v>282.91</v>
          </cell>
        </row>
        <row r="2339">
          <cell r="U2339" t="str">
            <v>诚毅店</v>
          </cell>
          <cell r="V2339" t="str">
            <v>2026-2-02</v>
          </cell>
          <cell r="W2339">
            <v>41.75</v>
          </cell>
        </row>
        <row r="2340">
          <cell r="U2340" t="str">
            <v>湖里店</v>
          </cell>
          <cell r="V2340" t="str">
            <v>2026-2-02</v>
          </cell>
          <cell r="W2340">
            <v>156.27</v>
          </cell>
        </row>
        <row r="2341">
          <cell r="U2341" t="str">
            <v>东新店</v>
          </cell>
          <cell r="V2341" t="str">
            <v>2026-2-02</v>
          </cell>
          <cell r="W2341">
            <v>102.33</v>
          </cell>
        </row>
        <row r="2342">
          <cell r="U2342" t="str">
            <v>大坪店</v>
          </cell>
          <cell r="V2342" t="str">
            <v>2026-2-02</v>
          </cell>
          <cell r="W2342">
            <v>101.18</v>
          </cell>
        </row>
        <row r="2343">
          <cell r="U2343" t="str">
            <v>凤城二路店</v>
          </cell>
          <cell r="V2343" t="str">
            <v>2026-2-02</v>
          </cell>
          <cell r="W2343">
            <v>50.08</v>
          </cell>
        </row>
        <row r="2344">
          <cell r="U2344" t="str">
            <v>洛江店</v>
          </cell>
          <cell r="V2344" t="str">
            <v>2026-2-02</v>
          </cell>
          <cell r="W2344">
            <v>10.25</v>
          </cell>
        </row>
        <row r="2345">
          <cell r="U2345" t="str">
            <v>官渡店</v>
          </cell>
          <cell r="V2345" t="str">
            <v>2026-2-02</v>
          </cell>
          <cell r="W2345">
            <v>33.49</v>
          </cell>
        </row>
        <row r="2346">
          <cell r="U2346" t="str">
            <v>武侯店</v>
          </cell>
          <cell r="V2346" t="str">
            <v>2026-2-02</v>
          </cell>
          <cell r="W2346">
            <v>27.69</v>
          </cell>
        </row>
        <row r="2347">
          <cell r="U2347" t="str">
            <v>黄雁村店</v>
          </cell>
          <cell r="V2347" t="str">
            <v>2026-2-02</v>
          </cell>
          <cell r="W2347">
            <v>83.42</v>
          </cell>
        </row>
        <row r="2348">
          <cell r="U2348" t="str">
            <v>五华店</v>
          </cell>
          <cell r="V2348" t="str">
            <v>2026-2-02</v>
          </cell>
          <cell r="W2348">
            <v>27.19</v>
          </cell>
        </row>
        <row r="2349">
          <cell r="U2349" t="str">
            <v>长沙店</v>
          </cell>
          <cell r="V2349" t="str">
            <v>2026-2-02</v>
          </cell>
          <cell r="W2349">
            <v>53</v>
          </cell>
        </row>
        <row r="2350">
          <cell r="U2350" t="str">
            <v>鼓楼店</v>
          </cell>
          <cell r="V2350" t="str">
            <v>2026-2-02</v>
          </cell>
          <cell r="W2350">
            <v>150</v>
          </cell>
        </row>
        <row r="2351">
          <cell r="U2351" t="str">
            <v>文昌店</v>
          </cell>
          <cell r="V2351" t="str">
            <v>2026-2-02</v>
          </cell>
          <cell r="W2351">
            <v>121.51</v>
          </cell>
        </row>
        <row r="2352">
          <cell r="U2352" t="str">
            <v>百丈店</v>
          </cell>
          <cell r="V2352" t="str">
            <v>2026-2-02</v>
          </cell>
          <cell r="W2352">
            <v>58.23</v>
          </cell>
        </row>
        <row r="2353">
          <cell r="U2353" t="str">
            <v>观桥店</v>
          </cell>
          <cell r="V2353" t="str">
            <v>2026-2-02</v>
          </cell>
          <cell r="W2353">
            <v>44.18</v>
          </cell>
        </row>
        <row r="2354">
          <cell r="U2354" t="str">
            <v>余杭店</v>
          </cell>
          <cell r="V2354" t="str">
            <v>2026-2-02</v>
          </cell>
          <cell r="W2354">
            <v>295.81</v>
          </cell>
        </row>
        <row r="2355">
          <cell r="U2355" t="str">
            <v>首山店</v>
          </cell>
          <cell r="V2355" t="str">
            <v>2026-2-02</v>
          </cell>
          <cell r="W2355">
            <v>116.66</v>
          </cell>
        </row>
        <row r="2356">
          <cell r="U2356" t="str">
            <v>首南店</v>
          </cell>
          <cell r="V2356" t="str">
            <v>2026-2-02</v>
          </cell>
          <cell r="W2356">
            <v>97.21</v>
          </cell>
        </row>
        <row r="2357">
          <cell r="U2357" t="str">
            <v>滨江店</v>
          </cell>
          <cell r="V2357" t="str">
            <v>2026-2-02</v>
          </cell>
          <cell r="W2357">
            <v>217.78</v>
          </cell>
        </row>
        <row r="2358">
          <cell r="U2358" t="str">
            <v>下沙店</v>
          </cell>
          <cell r="V2358" t="str">
            <v>2026-2-02</v>
          </cell>
          <cell r="W2358">
            <v>67.25</v>
          </cell>
        </row>
        <row r="2359">
          <cell r="U2359" t="str">
            <v>南安店</v>
          </cell>
          <cell r="V2359" t="str">
            <v>2026-2-02</v>
          </cell>
          <cell r="W2359">
            <v>0.28</v>
          </cell>
        </row>
        <row r="2360">
          <cell r="U2360" t="str">
            <v>南安店</v>
          </cell>
          <cell r="V2360" t="str">
            <v>2026-2-02</v>
          </cell>
          <cell r="W2360">
            <v>2.33</v>
          </cell>
        </row>
        <row r="2361">
          <cell r="U2361" t="str">
            <v>文灶店</v>
          </cell>
          <cell r="V2361" t="str">
            <v>2026-2-02</v>
          </cell>
          <cell r="W2361">
            <v>12.22</v>
          </cell>
        </row>
        <row r="2362">
          <cell r="U2362" t="str">
            <v>文灶店</v>
          </cell>
          <cell r="V2362" t="str">
            <v>2026-2-02</v>
          </cell>
          <cell r="W2362">
            <v>0</v>
          </cell>
        </row>
        <row r="2363">
          <cell r="U2363" t="str">
            <v>东海店</v>
          </cell>
          <cell r="V2363" t="str">
            <v>2026-2-02</v>
          </cell>
          <cell r="W2363">
            <v>16.59</v>
          </cell>
        </row>
        <row r="2364">
          <cell r="U2364" t="str">
            <v>东海店</v>
          </cell>
          <cell r="V2364" t="str">
            <v>2026-2-02</v>
          </cell>
          <cell r="W2364">
            <v>1.28</v>
          </cell>
        </row>
        <row r="2365">
          <cell r="U2365" t="str">
            <v>启点店</v>
          </cell>
          <cell r="V2365" t="str">
            <v>2026-2-03</v>
          </cell>
          <cell r="W2365">
            <v>32.7</v>
          </cell>
        </row>
        <row r="2366">
          <cell r="U2366" t="str">
            <v>高新店</v>
          </cell>
          <cell r="V2366" t="str">
            <v>2026-2-03</v>
          </cell>
          <cell r="W2366">
            <v>95.06</v>
          </cell>
        </row>
        <row r="2367">
          <cell r="U2367" t="str">
            <v>金牛店</v>
          </cell>
          <cell r="V2367" t="str">
            <v>2026-2-03</v>
          </cell>
          <cell r="W2367">
            <v>130.53</v>
          </cell>
        </row>
        <row r="2368">
          <cell r="U2368" t="str">
            <v>成华店</v>
          </cell>
          <cell r="V2368" t="str">
            <v>2026-2-03</v>
          </cell>
          <cell r="W2368">
            <v>30.38</v>
          </cell>
        </row>
        <row r="2369">
          <cell r="U2369" t="str">
            <v>西山店</v>
          </cell>
          <cell r="V2369" t="str">
            <v>2026-2-03</v>
          </cell>
          <cell r="W2369">
            <v>15.81</v>
          </cell>
        </row>
        <row r="2370">
          <cell r="U2370" t="str">
            <v>百捷店</v>
          </cell>
          <cell r="V2370" t="str">
            <v>2026-2-03</v>
          </cell>
          <cell r="W2370">
            <v>104.87</v>
          </cell>
        </row>
        <row r="2371">
          <cell r="U2371" t="str">
            <v>沙坪坝店</v>
          </cell>
          <cell r="V2371" t="str">
            <v>2026-2-03</v>
          </cell>
          <cell r="W2371">
            <v>50.48</v>
          </cell>
        </row>
        <row r="2372">
          <cell r="U2372" t="str">
            <v>五路口店</v>
          </cell>
          <cell r="V2372" t="str">
            <v>2026-2-03</v>
          </cell>
          <cell r="W2372">
            <v>36.55</v>
          </cell>
        </row>
        <row r="2373">
          <cell r="U2373" t="str">
            <v>济南店</v>
          </cell>
          <cell r="V2373" t="str">
            <v>2026-2-03</v>
          </cell>
          <cell r="W2373">
            <v>123.14</v>
          </cell>
        </row>
        <row r="2374">
          <cell r="U2374" t="str">
            <v>青羊店</v>
          </cell>
          <cell r="V2374" t="str">
            <v>2026-2-03</v>
          </cell>
          <cell r="W2374">
            <v>27.77</v>
          </cell>
        </row>
        <row r="2375">
          <cell r="U2375" t="str">
            <v>观音桥店</v>
          </cell>
          <cell r="V2375" t="str">
            <v>2026-2-03</v>
          </cell>
          <cell r="W2375">
            <v>41.15</v>
          </cell>
        </row>
        <row r="2376">
          <cell r="U2376" t="str">
            <v>西湖店</v>
          </cell>
          <cell r="V2376" t="str">
            <v>2026-2-03</v>
          </cell>
          <cell r="W2376">
            <v>199.11</v>
          </cell>
        </row>
        <row r="2377">
          <cell r="U2377" t="str">
            <v>诚毅店</v>
          </cell>
          <cell r="V2377" t="str">
            <v>2026-2-03</v>
          </cell>
          <cell r="W2377">
            <v>53.35</v>
          </cell>
        </row>
        <row r="2378">
          <cell r="U2378" t="str">
            <v>湖里店</v>
          </cell>
          <cell r="V2378" t="str">
            <v>2026-2-03</v>
          </cell>
          <cell r="W2378">
            <v>80.31</v>
          </cell>
        </row>
        <row r="2379">
          <cell r="U2379" t="str">
            <v>东新店</v>
          </cell>
          <cell r="V2379" t="str">
            <v>2026-2-03</v>
          </cell>
          <cell r="W2379">
            <v>96.78</v>
          </cell>
        </row>
        <row r="2380">
          <cell r="U2380" t="str">
            <v>大坪店</v>
          </cell>
          <cell r="V2380" t="str">
            <v>2026-2-03</v>
          </cell>
          <cell r="W2380">
            <v>104.87</v>
          </cell>
        </row>
        <row r="2381">
          <cell r="U2381" t="str">
            <v>凤城二路店</v>
          </cell>
          <cell r="V2381" t="str">
            <v>2026-2-03</v>
          </cell>
          <cell r="W2381">
            <v>46.51</v>
          </cell>
        </row>
        <row r="2382">
          <cell r="U2382" t="str">
            <v>洛江店</v>
          </cell>
          <cell r="V2382" t="str">
            <v>2026-2-03</v>
          </cell>
          <cell r="W2382">
            <v>26.35</v>
          </cell>
        </row>
        <row r="2383">
          <cell r="U2383" t="str">
            <v>官渡店</v>
          </cell>
          <cell r="V2383" t="str">
            <v>2026-2-03</v>
          </cell>
          <cell r="W2383">
            <v>19.61</v>
          </cell>
        </row>
        <row r="2384">
          <cell r="U2384" t="str">
            <v>武侯店</v>
          </cell>
          <cell r="V2384" t="str">
            <v>2026-2-03</v>
          </cell>
          <cell r="W2384">
            <v>8.92</v>
          </cell>
        </row>
        <row r="2385">
          <cell r="U2385" t="str">
            <v>黄雁村店</v>
          </cell>
          <cell r="V2385" t="str">
            <v>2026-2-03</v>
          </cell>
          <cell r="W2385">
            <v>100.76</v>
          </cell>
        </row>
        <row r="2386">
          <cell r="U2386" t="str">
            <v>五华店</v>
          </cell>
          <cell r="V2386" t="str">
            <v>2026-2-03</v>
          </cell>
          <cell r="W2386">
            <v>14.99</v>
          </cell>
        </row>
        <row r="2387">
          <cell r="U2387" t="str">
            <v>长沙店</v>
          </cell>
          <cell r="V2387" t="str">
            <v>2026-2-03</v>
          </cell>
          <cell r="W2387">
            <v>72.88</v>
          </cell>
        </row>
        <row r="2388">
          <cell r="U2388" t="str">
            <v>鼓楼店</v>
          </cell>
          <cell r="V2388" t="str">
            <v>2026-2-03</v>
          </cell>
          <cell r="W2388">
            <v>150</v>
          </cell>
        </row>
        <row r="2389">
          <cell r="U2389" t="str">
            <v>文昌店</v>
          </cell>
          <cell r="V2389" t="str">
            <v>2026-2-03</v>
          </cell>
          <cell r="W2389">
            <v>22.48</v>
          </cell>
        </row>
        <row r="2390">
          <cell r="U2390" t="str">
            <v>百丈店</v>
          </cell>
          <cell r="V2390" t="str">
            <v>2026-2-03</v>
          </cell>
          <cell r="W2390">
            <v>36.3</v>
          </cell>
        </row>
        <row r="2391">
          <cell r="U2391" t="str">
            <v>观桥店</v>
          </cell>
          <cell r="V2391" t="str">
            <v>2026-2-03</v>
          </cell>
          <cell r="W2391">
            <v>40.79</v>
          </cell>
        </row>
        <row r="2392">
          <cell r="U2392" t="str">
            <v>余杭店</v>
          </cell>
          <cell r="V2392" t="str">
            <v>2026-2-03</v>
          </cell>
          <cell r="W2392">
            <v>218.07</v>
          </cell>
        </row>
        <row r="2393">
          <cell r="U2393" t="str">
            <v>首山店</v>
          </cell>
          <cell r="V2393" t="str">
            <v>2026-2-03</v>
          </cell>
          <cell r="W2393">
            <v>53.5</v>
          </cell>
        </row>
        <row r="2394">
          <cell r="U2394" t="str">
            <v>首南店</v>
          </cell>
          <cell r="V2394" t="str">
            <v>2026-2-03</v>
          </cell>
          <cell r="W2394">
            <v>131.33</v>
          </cell>
        </row>
        <row r="2395">
          <cell r="U2395" t="str">
            <v>滨江店</v>
          </cell>
          <cell r="V2395" t="str">
            <v>2026-2-03</v>
          </cell>
          <cell r="W2395">
            <v>199.91</v>
          </cell>
        </row>
        <row r="2396">
          <cell r="U2396" t="str">
            <v>下沙店</v>
          </cell>
          <cell r="V2396" t="str">
            <v>2026-2-03</v>
          </cell>
          <cell r="W2396">
            <v>31.86</v>
          </cell>
        </row>
        <row r="2397">
          <cell r="U2397" t="str">
            <v>南安店</v>
          </cell>
          <cell r="V2397" t="str">
            <v>2026-2-03</v>
          </cell>
          <cell r="W2397">
            <v>0</v>
          </cell>
        </row>
        <row r="2398">
          <cell r="U2398" t="str">
            <v>南安店</v>
          </cell>
          <cell r="V2398" t="str">
            <v>2026-2-03</v>
          </cell>
          <cell r="W2398">
            <v>3.21</v>
          </cell>
        </row>
        <row r="2399">
          <cell r="U2399" t="str">
            <v>文灶店</v>
          </cell>
          <cell r="V2399" t="str">
            <v>2026-2-03</v>
          </cell>
          <cell r="W2399">
            <v>21.68</v>
          </cell>
        </row>
        <row r="2400">
          <cell r="U2400" t="str">
            <v>文灶店</v>
          </cell>
          <cell r="V2400" t="str">
            <v>2026-2-03</v>
          </cell>
          <cell r="W2400">
            <v>5.23</v>
          </cell>
        </row>
        <row r="2401">
          <cell r="U2401" t="str">
            <v>东海店</v>
          </cell>
          <cell r="V2401" t="str">
            <v>2026-2-03</v>
          </cell>
          <cell r="W2401">
            <v>8.56</v>
          </cell>
        </row>
        <row r="2402">
          <cell r="U2402" t="str">
            <v>东海店</v>
          </cell>
          <cell r="V2402" t="str">
            <v>2026-2-03</v>
          </cell>
          <cell r="W2402">
            <v>5.17</v>
          </cell>
        </row>
        <row r="2403">
          <cell r="U2403" t="str">
            <v>启点店</v>
          </cell>
          <cell r="V2403" t="str">
            <v>2026-2-04</v>
          </cell>
          <cell r="W2403">
            <v>61.04</v>
          </cell>
        </row>
        <row r="2404">
          <cell r="U2404" t="str">
            <v>高新店</v>
          </cell>
          <cell r="V2404" t="str">
            <v>2026-2-04</v>
          </cell>
          <cell r="W2404">
            <v>107.17</v>
          </cell>
        </row>
        <row r="2405">
          <cell r="U2405" t="str">
            <v>金牛店</v>
          </cell>
          <cell r="V2405" t="str">
            <v>2026-2-04</v>
          </cell>
          <cell r="W2405">
            <v>70.44</v>
          </cell>
        </row>
        <row r="2406">
          <cell r="U2406" t="str">
            <v>成华店</v>
          </cell>
          <cell r="V2406" t="str">
            <v>2026-2-04</v>
          </cell>
          <cell r="W2406">
            <v>48.77</v>
          </cell>
        </row>
        <row r="2407">
          <cell r="U2407" t="str">
            <v>西山店</v>
          </cell>
          <cell r="V2407" t="str">
            <v>2026-2-04</v>
          </cell>
          <cell r="W2407">
            <v>25.23</v>
          </cell>
        </row>
        <row r="2408">
          <cell r="U2408" t="str">
            <v>百捷店</v>
          </cell>
          <cell r="V2408" t="str">
            <v>2026-2-04</v>
          </cell>
          <cell r="W2408">
            <v>110.76</v>
          </cell>
        </row>
        <row r="2409">
          <cell r="U2409" t="str">
            <v>沙坪坝店</v>
          </cell>
          <cell r="V2409" t="str">
            <v>2026-2-04</v>
          </cell>
          <cell r="W2409">
            <v>36.69</v>
          </cell>
        </row>
        <row r="2410">
          <cell r="U2410" t="str">
            <v>五路口店</v>
          </cell>
          <cell r="V2410" t="str">
            <v>2026-2-04</v>
          </cell>
          <cell r="W2410">
            <v>49.12</v>
          </cell>
        </row>
        <row r="2411">
          <cell r="U2411" t="str">
            <v>济南店</v>
          </cell>
          <cell r="V2411" t="str">
            <v>2026-2-04</v>
          </cell>
          <cell r="W2411">
            <v>179.44</v>
          </cell>
        </row>
        <row r="2412">
          <cell r="U2412" t="str">
            <v>青羊店</v>
          </cell>
          <cell r="V2412" t="str">
            <v>2026-2-04</v>
          </cell>
          <cell r="W2412">
            <v>23.44</v>
          </cell>
        </row>
        <row r="2413">
          <cell r="U2413" t="str">
            <v>观音桥店</v>
          </cell>
          <cell r="V2413" t="str">
            <v>2026-2-04</v>
          </cell>
          <cell r="W2413">
            <v>39.43</v>
          </cell>
        </row>
        <row r="2414">
          <cell r="U2414" t="str">
            <v>西湖店</v>
          </cell>
          <cell r="V2414" t="str">
            <v>2026-2-04</v>
          </cell>
          <cell r="W2414">
            <v>123.39</v>
          </cell>
        </row>
        <row r="2415">
          <cell r="U2415" t="str">
            <v>诚毅店</v>
          </cell>
          <cell r="V2415" t="str">
            <v>2026-2-04</v>
          </cell>
          <cell r="W2415">
            <v>54.91</v>
          </cell>
        </row>
        <row r="2416">
          <cell r="U2416" t="str">
            <v>湖里店</v>
          </cell>
          <cell r="V2416" t="str">
            <v>2026-2-04</v>
          </cell>
          <cell r="W2416">
            <v>113.02</v>
          </cell>
        </row>
        <row r="2417">
          <cell r="U2417" t="str">
            <v>东新店</v>
          </cell>
          <cell r="V2417" t="str">
            <v>2026-2-04</v>
          </cell>
          <cell r="W2417">
            <v>89.21</v>
          </cell>
        </row>
        <row r="2418">
          <cell r="U2418" t="str">
            <v>泉秀店</v>
          </cell>
          <cell r="V2418" t="str">
            <v>2026-2-04</v>
          </cell>
          <cell r="W2418">
            <v>25.29</v>
          </cell>
        </row>
        <row r="2419">
          <cell r="U2419" t="str">
            <v>大坪店</v>
          </cell>
          <cell r="V2419" t="str">
            <v>2026-2-04</v>
          </cell>
          <cell r="W2419">
            <v>98.42</v>
          </cell>
        </row>
        <row r="2420">
          <cell r="U2420" t="str">
            <v>凤城二路店</v>
          </cell>
          <cell r="V2420" t="str">
            <v>2026-2-04</v>
          </cell>
          <cell r="W2420">
            <v>60.79</v>
          </cell>
        </row>
        <row r="2421">
          <cell r="U2421" t="str">
            <v>洛江店</v>
          </cell>
          <cell r="V2421" t="str">
            <v>2026-2-04</v>
          </cell>
          <cell r="W2421">
            <v>22.68</v>
          </cell>
        </row>
        <row r="2422">
          <cell r="U2422" t="str">
            <v>官渡店</v>
          </cell>
          <cell r="V2422" t="str">
            <v>2026-2-04</v>
          </cell>
          <cell r="W2422">
            <v>18.87</v>
          </cell>
        </row>
        <row r="2423">
          <cell r="U2423" t="str">
            <v>武侯店</v>
          </cell>
          <cell r="V2423" t="str">
            <v>2026-2-04</v>
          </cell>
          <cell r="W2423">
            <v>15.43</v>
          </cell>
        </row>
        <row r="2424">
          <cell r="U2424" t="str">
            <v>黄雁村店</v>
          </cell>
          <cell r="V2424" t="str">
            <v>2026-2-04</v>
          </cell>
          <cell r="W2424">
            <v>58.15</v>
          </cell>
        </row>
        <row r="2425">
          <cell r="U2425" t="str">
            <v>五华店</v>
          </cell>
          <cell r="V2425" t="str">
            <v>2026-2-04</v>
          </cell>
          <cell r="W2425">
            <v>11.26</v>
          </cell>
        </row>
        <row r="2426">
          <cell r="U2426" t="str">
            <v>长沙店</v>
          </cell>
          <cell r="V2426" t="str">
            <v>2026-2-04</v>
          </cell>
          <cell r="W2426">
            <v>100.75</v>
          </cell>
        </row>
        <row r="2427">
          <cell r="U2427" t="str">
            <v>鼓楼店</v>
          </cell>
          <cell r="V2427" t="str">
            <v>2026-2-04</v>
          </cell>
          <cell r="W2427">
            <v>100</v>
          </cell>
        </row>
        <row r="2428">
          <cell r="U2428" t="str">
            <v>文昌店</v>
          </cell>
          <cell r="V2428" t="str">
            <v>2026-2-04</v>
          </cell>
          <cell r="W2428">
            <v>35.12</v>
          </cell>
        </row>
        <row r="2429">
          <cell r="U2429" t="str">
            <v>百丈店</v>
          </cell>
          <cell r="V2429" t="str">
            <v>2026-2-04</v>
          </cell>
          <cell r="W2429">
            <v>34.11</v>
          </cell>
        </row>
        <row r="2430">
          <cell r="U2430" t="str">
            <v>观桥店</v>
          </cell>
          <cell r="V2430" t="str">
            <v>2026-2-04</v>
          </cell>
          <cell r="W2430">
            <v>41.35</v>
          </cell>
        </row>
        <row r="2431">
          <cell r="U2431" t="str">
            <v>余杭店</v>
          </cell>
          <cell r="V2431" t="str">
            <v>2026-2-04</v>
          </cell>
          <cell r="W2431">
            <v>198.91</v>
          </cell>
        </row>
        <row r="2432">
          <cell r="U2432" t="str">
            <v>首山店</v>
          </cell>
          <cell r="V2432" t="str">
            <v>2026-2-04</v>
          </cell>
          <cell r="W2432">
            <v>76.92</v>
          </cell>
        </row>
        <row r="2433">
          <cell r="U2433" t="str">
            <v>首南店</v>
          </cell>
          <cell r="V2433" t="str">
            <v>2026-2-04</v>
          </cell>
          <cell r="W2433">
            <v>119.27</v>
          </cell>
        </row>
        <row r="2434">
          <cell r="U2434" t="str">
            <v>滨江店</v>
          </cell>
          <cell r="V2434" t="str">
            <v>2026-2-04</v>
          </cell>
          <cell r="W2434">
            <v>167.57</v>
          </cell>
        </row>
        <row r="2435">
          <cell r="U2435" t="str">
            <v>下沙店</v>
          </cell>
          <cell r="V2435" t="str">
            <v>2026-2-04</v>
          </cell>
          <cell r="W2435">
            <v>54.85</v>
          </cell>
        </row>
        <row r="2436">
          <cell r="U2436" t="str">
            <v>南安店</v>
          </cell>
          <cell r="V2436" t="str">
            <v>2026-2-04</v>
          </cell>
          <cell r="W2436">
            <v>0</v>
          </cell>
        </row>
        <row r="2437">
          <cell r="U2437" t="str">
            <v>南安店</v>
          </cell>
          <cell r="V2437" t="str">
            <v>2026-2-04</v>
          </cell>
          <cell r="W2437">
            <v>3.74</v>
          </cell>
        </row>
        <row r="2438">
          <cell r="U2438" t="str">
            <v>文灶店</v>
          </cell>
          <cell r="V2438" t="str">
            <v>2026-2-04</v>
          </cell>
          <cell r="W2438">
            <v>37.55</v>
          </cell>
        </row>
        <row r="2439">
          <cell r="U2439" t="str">
            <v>文灶店</v>
          </cell>
          <cell r="V2439" t="str">
            <v>2026-2-04</v>
          </cell>
          <cell r="W2439">
            <v>0</v>
          </cell>
        </row>
        <row r="2440">
          <cell r="U2440" t="str">
            <v>东海店</v>
          </cell>
          <cell r="V2440" t="str">
            <v>2026-2-04</v>
          </cell>
          <cell r="W2440">
            <v>15.73</v>
          </cell>
        </row>
        <row r="2441">
          <cell r="U2441" t="str">
            <v>东海店</v>
          </cell>
          <cell r="V2441" t="str">
            <v>2026-2-04</v>
          </cell>
          <cell r="W2441">
            <v>0</v>
          </cell>
        </row>
        <row r="2442">
          <cell r="U2442" t="str">
            <v>启点店</v>
          </cell>
          <cell r="V2442" t="str">
            <v>2026-2-05</v>
          </cell>
          <cell r="W2442">
            <v>40.56</v>
          </cell>
        </row>
        <row r="2443">
          <cell r="U2443" t="str">
            <v>高新店</v>
          </cell>
          <cell r="V2443" t="str">
            <v>2026-2-05</v>
          </cell>
          <cell r="W2443">
            <v>94.72</v>
          </cell>
        </row>
        <row r="2444">
          <cell r="U2444" t="str">
            <v>金牛店</v>
          </cell>
          <cell r="V2444" t="str">
            <v>2026-2-05</v>
          </cell>
          <cell r="W2444">
            <v>58.04</v>
          </cell>
        </row>
        <row r="2445">
          <cell r="U2445" t="str">
            <v>成华店</v>
          </cell>
          <cell r="V2445" t="str">
            <v>2026-2-05</v>
          </cell>
          <cell r="W2445">
            <v>72.03</v>
          </cell>
        </row>
        <row r="2446">
          <cell r="U2446" t="str">
            <v>西山店</v>
          </cell>
          <cell r="V2446" t="str">
            <v>2026-2-05</v>
          </cell>
          <cell r="W2446">
            <v>14.17</v>
          </cell>
        </row>
        <row r="2447">
          <cell r="U2447" t="str">
            <v>百捷店</v>
          </cell>
          <cell r="V2447" t="str">
            <v>2026-2-05</v>
          </cell>
          <cell r="W2447">
            <v>71.65</v>
          </cell>
        </row>
        <row r="2448">
          <cell r="U2448" t="str">
            <v>沙坪坝店</v>
          </cell>
          <cell r="V2448" t="str">
            <v>2026-2-05</v>
          </cell>
          <cell r="W2448">
            <v>57.67</v>
          </cell>
        </row>
        <row r="2449">
          <cell r="U2449" t="str">
            <v>五路口店</v>
          </cell>
          <cell r="V2449" t="str">
            <v>2026-2-05</v>
          </cell>
          <cell r="W2449">
            <v>44.82</v>
          </cell>
        </row>
        <row r="2450">
          <cell r="U2450" t="str">
            <v>济南店</v>
          </cell>
          <cell r="V2450" t="str">
            <v>2026-2-05</v>
          </cell>
          <cell r="W2450">
            <v>98.09</v>
          </cell>
        </row>
        <row r="2451">
          <cell r="U2451" t="str">
            <v>青羊店</v>
          </cell>
          <cell r="V2451" t="str">
            <v>2026-2-05</v>
          </cell>
          <cell r="W2451">
            <v>41.92</v>
          </cell>
        </row>
        <row r="2452">
          <cell r="U2452" t="str">
            <v>观音桥店</v>
          </cell>
          <cell r="V2452" t="str">
            <v>2026-2-05</v>
          </cell>
          <cell r="W2452">
            <v>45.59</v>
          </cell>
        </row>
        <row r="2453">
          <cell r="U2453" t="str">
            <v>西湖店</v>
          </cell>
          <cell r="V2453" t="str">
            <v>2026-2-05</v>
          </cell>
          <cell r="W2453">
            <v>76.32</v>
          </cell>
        </row>
        <row r="2454">
          <cell r="U2454" t="str">
            <v>诚毅店</v>
          </cell>
          <cell r="V2454" t="str">
            <v>2026-2-05</v>
          </cell>
          <cell r="W2454">
            <v>39.7</v>
          </cell>
        </row>
        <row r="2455">
          <cell r="U2455" t="str">
            <v>湖里店</v>
          </cell>
          <cell r="V2455" t="str">
            <v>2026-2-05</v>
          </cell>
          <cell r="W2455">
            <v>79.15</v>
          </cell>
        </row>
        <row r="2456">
          <cell r="U2456" t="str">
            <v>东新店</v>
          </cell>
          <cell r="V2456" t="str">
            <v>2026-2-05</v>
          </cell>
          <cell r="W2456">
            <v>73.85</v>
          </cell>
        </row>
        <row r="2457">
          <cell r="U2457" t="str">
            <v>泉秀店</v>
          </cell>
          <cell r="V2457" t="str">
            <v>2026-2-05</v>
          </cell>
          <cell r="W2457">
            <v>42.41</v>
          </cell>
        </row>
        <row r="2458">
          <cell r="U2458" t="str">
            <v>大坪店</v>
          </cell>
          <cell r="V2458" t="str">
            <v>2026-2-05</v>
          </cell>
          <cell r="W2458">
            <v>55.6</v>
          </cell>
        </row>
        <row r="2459">
          <cell r="U2459" t="str">
            <v>凤城二路店</v>
          </cell>
          <cell r="V2459" t="str">
            <v>2026-2-05</v>
          </cell>
          <cell r="W2459">
            <v>64.31</v>
          </cell>
        </row>
        <row r="2460">
          <cell r="U2460" t="str">
            <v>洛江店</v>
          </cell>
          <cell r="V2460" t="str">
            <v>2026-2-05</v>
          </cell>
          <cell r="W2460">
            <v>11.9</v>
          </cell>
        </row>
        <row r="2461">
          <cell r="U2461" t="str">
            <v>官渡店</v>
          </cell>
          <cell r="V2461" t="str">
            <v>2026-2-05</v>
          </cell>
          <cell r="W2461">
            <v>18.77</v>
          </cell>
        </row>
        <row r="2462">
          <cell r="U2462" t="str">
            <v>武侯店</v>
          </cell>
          <cell r="V2462" t="str">
            <v>2026-2-05</v>
          </cell>
          <cell r="W2462">
            <v>21.96</v>
          </cell>
        </row>
        <row r="2463">
          <cell r="U2463" t="str">
            <v>黄雁村店</v>
          </cell>
          <cell r="V2463" t="str">
            <v>2026-2-05</v>
          </cell>
          <cell r="W2463">
            <v>68.87</v>
          </cell>
        </row>
        <row r="2464">
          <cell r="U2464" t="str">
            <v>五华店</v>
          </cell>
          <cell r="V2464" t="str">
            <v>2026-2-05</v>
          </cell>
          <cell r="W2464">
            <v>11.66</v>
          </cell>
        </row>
        <row r="2465">
          <cell r="U2465" t="str">
            <v>长沙店</v>
          </cell>
          <cell r="V2465" t="str">
            <v>2026-2-05</v>
          </cell>
          <cell r="W2465">
            <v>81.46</v>
          </cell>
        </row>
        <row r="2466">
          <cell r="U2466" t="str">
            <v>鼓楼店</v>
          </cell>
          <cell r="V2466" t="str">
            <v>2026-2-05</v>
          </cell>
          <cell r="W2466">
            <v>136.26</v>
          </cell>
        </row>
        <row r="2467">
          <cell r="U2467" t="str">
            <v>文昌店</v>
          </cell>
          <cell r="V2467" t="str">
            <v>2026-2-05</v>
          </cell>
          <cell r="W2467">
            <v>69.8</v>
          </cell>
        </row>
        <row r="2468">
          <cell r="U2468" t="str">
            <v>百丈店</v>
          </cell>
          <cell r="V2468" t="str">
            <v>2026-2-05</v>
          </cell>
          <cell r="W2468">
            <v>34.15</v>
          </cell>
        </row>
        <row r="2469">
          <cell r="U2469" t="str">
            <v>观桥店</v>
          </cell>
          <cell r="V2469" t="str">
            <v>2026-2-05</v>
          </cell>
          <cell r="W2469">
            <v>42.12</v>
          </cell>
        </row>
        <row r="2470">
          <cell r="U2470" t="str">
            <v>余杭店</v>
          </cell>
          <cell r="V2470" t="str">
            <v>2026-2-05</v>
          </cell>
          <cell r="W2470">
            <v>170.87</v>
          </cell>
        </row>
        <row r="2471">
          <cell r="U2471" t="str">
            <v>首山店</v>
          </cell>
          <cell r="V2471" t="str">
            <v>2026-2-05</v>
          </cell>
          <cell r="W2471">
            <v>64.46</v>
          </cell>
        </row>
        <row r="2472">
          <cell r="U2472" t="str">
            <v>首南店</v>
          </cell>
          <cell r="V2472" t="str">
            <v>2026-2-05</v>
          </cell>
          <cell r="W2472">
            <v>75.2</v>
          </cell>
        </row>
        <row r="2473">
          <cell r="U2473" t="str">
            <v>滨江店</v>
          </cell>
          <cell r="V2473" t="str">
            <v>2026-2-05</v>
          </cell>
          <cell r="W2473">
            <v>138.35</v>
          </cell>
        </row>
        <row r="2474">
          <cell r="U2474" t="str">
            <v>下沙店</v>
          </cell>
          <cell r="V2474" t="str">
            <v>2026-2-05</v>
          </cell>
          <cell r="W2474">
            <v>32.54</v>
          </cell>
        </row>
        <row r="2475">
          <cell r="U2475" t="str">
            <v>南安店</v>
          </cell>
          <cell r="V2475" t="str">
            <v>2026-2-05</v>
          </cell>
          <cell r="W2475">
            <v>0.53</v>
          </cell>
        </row>
        <row r="2476">
          <cell r="U2476" t="str">
            <v>南安店</v>
          </cell>
          <cell r="V2476" t="str">
            <v>2026-2-05</v>
          </cell>
          <cell r="W2476">
            <v>1.7</v>
          </cell>
        </row>
        <row r="2477">
          <cell r="U2477" t="str">
            <v>文灶店</v>
          </cell>
          <cell r="V2477" t="str">
            <v>2026-2-05</v>
          </cell>
          <cell r="W2477">
            <v>10.27</v>
          </cell>
        </row>
        <row r="2478">
          <cell r="U2478" t="str">
            <v>文灶店</v>
          </cell>
          <cell r="V2478" t="str">
            <v>2026-2-05</v>
          </cell>
          <cell r="W2478">
            <v>3.58</v>
          </cell>
        </row>
        <row r="2479">
          <cell r="U2479" t="str">
            <v>东海店</v>
          </cell>
          <cell r="V2479" t="str">
            <v>2026-2-05</v>
          </cell>
          <cell r="W2479">
            <v>31.06</v>
          </cell>
        </row>
        <row r="2480">
          <cell r="U2480" t="str">
            <v>东海店</v>
          </cell>
          <cell r="V2480" t="str">
            <v>2026-2-05</v>
          </cell>
          <cell r="W2480">
            <v>3.76</v>
          </cell>
        </row>
        <row r="2481">
          <cell r="U2481" t="str">
            <v>启点店</v>
          </cell>
          <cell r="V2481" t="str">
            <v>2026-2-06</v>
          </cell>
          <cell r="W2481">
            <v>53.64</v>
          </cell>
        </row>
        <row r="2482">
          <cell r="U2482" t="str">
            <v>高新店</v>
          </cell>
          <cell r="V2482" t="str">
            <v>2026-2-06</v>
          </cell>
          <cell r="W2482">
            <v>64.16</v>
          </cell>
        </row>
        <row r="2483">
          <cell r="U2483" t="str">
            <v>金牛店</v>
          </cell>
          <cell r="V2483" t="str">
            <v>2026-2-06</v>
          </cell>
          <cell r="W2483">
            <v>54.97</v>
          </cell>
        </row>
        <row r="2484">
          <cell r="U2484" t="str">
            <v>成华店</v>
          </cell>
          <cell r="V2484" t="str">
            <v>2026-2-06</v>
          </cell>
          <cell r="W2484">
            <v>90.17</v>
          </cell>
        </row>
        <row r="2485">
          <cell r="U2485" t="str">
            <v>西山店</v>
          </cell>
          <cell r="V2485" t="str">
            <v>2026-2-06</v>
          </cell>
          <cell r="W2485">
            <v>20.68</v>
          </cell>
        </row>
        <row r="2486">
          <cell r="U2486" t="str">
            <v>百捷店</v>
          </cell>
          <cell r="V2486" t="str">
            <v>2026-2-06</v>
          </cell>
          <cell r="W2486">
            <v>137.9</v>
          </cell>
        </row>
        <row r="2487">
          <cell r="U2487" t="str">
            <v>沙坪坝店</v>
          </cell>
          <cell r="V2487" t="str">
            <v>2026-2-06</v>
          </cell>
          <cell r="W2487">
            <v>45.73</v>
          </cell>
        </row>
        <row r="2488">
          <cell r="U2488" t="str">
            <v>五路口店</v>
          </cell>
          <cell r="V2488" t="str">
            <v>2026-2-06</v>
          </cell>
          <cell r="W2488">
            <v>46.09</v>
          </cell>
        </row>
        <row r="2489">
          <cell r="U2489" t="str">
            <v>济南店</v>
          </cell>
          <cell r="V2489" t="str">
            <v>2026-2-06</v>
          </cell>
          <cell r="W2489">
            <v>134.18</v>
          </cell>
        </row>
        <row r="2490">
          <cell r="U2490" t="str">
            <v>青羊店</v>
          </cell>
          <cell r="V2490" t="str">
            <v>2026-2-06</v>
          </cell>
          <cell r="W2490">
            <v>31.01</v>
          </cell>
        </row>
        <row r="2491">
          <cell r="U2491" t="str">
            <v>观音桥店</v>
          </cell>
          <cell r="V2491" t="str">
            <v>2026-2-06</v>
          </cell>
          <cell r="W2491">
            <v>43.92</v>
          </cell>
        </row>
        <row r="2492">
          <cell r="U2492" t="str">
            <v>西湖店</v>
          </cell>
          <cell r="V2492" t="str">
            <v>2026-2-06</v>
          </cell>
          <cell r="W2492">
            <v>66.63</v>
          </cell>
        </row>
        <row r="2493">
          <cell r="U2493" t="str">
            <v>诚毅店</v>
          </cell>
          <cell r="V2493" t="str">
            <v>2026-2-06</v>
          </cell>
          <cell r="W2493">
            <v>44.14</v>
          </cell>
        </row>
        <row r="2494">
          <cell r="U2494" t="str">
            <v>湖里店</v>
          </cell>
          <cell r="V2494" t="str">
            <v>2026-2-06</v>
          </cell>
          <cell r="W2494">
            <v>129.68</v>
          </cell>
        </row>
        <row r="2495">
          <cell r="U2495" t="str">
            <v>东新店</v>
          </cell>
          <cell r="V2495" t="str">
            <v>2026-2-06</v>
          </cell>
          <cell r="W2495">
            <v>65.25</v>
          </cell>
        </row>
        <row r="2496">
          <cell r="U2496" t="str">
            <v>泉秀店</v>
          </cell>
          <cell r="V2496" t="str">
            <v>2026-2-06</v>
          </cell>
          <cell r="W2496">
            <v>32.3</v>
          </cell>
        </row>
        <row r="2497">
          <cell r="U2497" t="str">
            <v>大坪店</v>
          </cell>
          <cell r="V2497" t="str">
            <v>2026-2-06</v>
          </cell>
          <cell r="W2497">
            <v>56.48</v>
          </cell>
        </row>
        <row r="2498">
          <cell r="U2498" t="str">
            <v>凤城二路店</v>
          </cell>
          <cell r="V2498" t="str">
            <v>2026-2-06</v>
          </cell>
          <cell r="W2498">
            <v>47.33</v>
          </cell>
        </row>
        <row r="2499">
          <cell r="U2499" t="str">
            <v>洛江店</v>
          </cell>
          <cell r="V2499" t="str">
            <v>2026-2-06</v>
          </cell>
          <cell r="W2499">
            <v>25.51</v>
          </cell>
        </row>
        <row r="2500">
          <cell r="U2500" t="str">
            <v>官渡店</v>
          </cell>
          <cell r="V2500" t="str">
            <v>2026-2-06</v>
          </cell>
          <cell r="W2500">
            <v>26.84</v>
          </cell>
        </row>
        <row r="2501">
          <cell r="U2501" t="str">
            <v>武侯店</v>
          </cell>
          <cell r="V2501" t="str">
            <v>2026-2-06</v>
          </cell>
          <cell r="W2501">
            <v>12.95</v>
          </cell>
        </row>
        <row r="2502">
          <cell r="U2502" t="str">
            <v>黄雁村店</v>
          </cell>
          <cell r="V2502" t="str">
            <v>2026-2-06</v>
          </cell>
          <cell r="W2502">
            <v>52.04</v>
          </cell>
        </row>
        <row r="2503">
          <cell r="U2503" t="str">
            <v>五华店</v>
          </cell>
          <cell r="V2503" t="str">
            <v>2026-2-06</v>
          </cell>
          <cell r="W2503">
            <v>13.35</v>
          </cell>
        </row>
        <row r="2504">
          <cell r="U2504" t="str">
            <v>长沙店</v>
          </cell>
          <cell r="V2504" t="str">
            <v>2026-2-06</v>
          </cell>
          <cell r="W2504">
            <v>111.75</v>
          </cell>
        </row>
        <row r="2505">
          <cell r="U2505" t="str">
            <v>鼓楼店</v>
          </cell>
          <cell r="V2505" t="str">
            <v>2026-2-06</v>
          </cell>
          <cell r="W2505">
            <v>139.15</v>
          </cell>
        </row>
        <row r="2506">
          <cell r="U2506" t="str">
            <v>文昌店</v>
          </cell>
          <cell r="V2506" t="str">
            <v>2026-2-06</v>
          </cell>
          <cell r="W2506">
            <v>58.65</v>
          </cell>
        </row>
        <row r="2507">
          <cell r="U2507" t="str">
            <v>百丈店</v>
          </cell>
          <cell r="V2507" t="str">
            <v>2026-2-06</v>
          </cell>
          <cell r="W2507">
            <v>66.06</v>
          </cell>
        </row>
        <row r="2508">
          <cell r="U2508" t="str">
            <v>观桥店</v>
          </cell>
          <cell r="V2508" t="str">
            <v>2026-2-06</v>
          </cell>
          <cell r="W2508">
            <v>7.1</v>
          </cell>
        </row>
        <row r="2509">
          <cell r="U2509" t="str">
            <v>余杭店</v>
          </cell>
          <cell r="V2509" t="str">
            <v>2026-2-06</v>
          </cell>
          <cell r="W2509">
            <v>98.43</v>
          </cell>
        </row>
        <row r="2510">
          <cell r="U2510" t="str">
            <v>首山店</v>
          </cell>
          <cell r="V2510" t="str">
            <v>2026-2-06</v>
          </cell>
          <cell r="W2510">
            <v>43.98</v>
          </cell>
        </row>
        <row r="2511">
          <cell r="U2511" t="str">
            <v>首南店</v>
          </cell>
          <cell r="V2511" t="str">
            <v>2026-2-06</v>
          </cell>
          <cell r="W2511">
            <v>97.04</v>
          </cell>
        </row>
        <row r="2512">
          <cell r="U2512" t="str">
            <v>滨江店</v>
          </cell>
          <cell r="V2512" t="str">
            <v>2026-2-06</v>
          </cell>
          <cell r="W2512">
            <v>115.29</v>
          </cell>
        </row>
        <row r="2513">
          <cell r="U2513" t="str">
            <v>下沙店</v>
          </cell>
          <cell r="V2513" t="str">
            <v>2026-2-06</v>
          </cell>
          <cell r="W2513">
            <v>31.94</v>
          </cell>
        </row>
        <row r="2514">
          <cell r="U2514" t="str">
            <v>南安店</v>
          </cell>
          <cell r="V2514" t="str">
            <v>2026-2-06</v>
          </cell>
          <cell r="W2514">
            <v>2.03</v>
          </cell>
        </row>
        <row r="2515">
          <cell r="U2515" t="str">
            <v>南安店</v>
          </cell>
          <cell r="V2515" t="str">
            <v>2026-2-06</v>
          </cell>
          <cell r="W2515">
            <v>2.27</v>
          </cell>
        </row>
        <row r="2516">
          <cell r="U2516" t="str">
            <v>文灶店</v>
          </cell>
          <cell r="V2516" t="str">
            <v>2026-2-06</v>
          </cell>
          <cell r="W2516">
            <v>35.92</v>
          </cell>
        </row>
        <row r="2517">
          <cell r="U2517" t="str">
            <v>文灶店</v>
          </cell>
          <cell r="V2517" t="str">
            <v>2026-2-06</v>
          </cell>
          <cell r="W2517">
            <v>0</v>
          </cell>
        </row>
        <row r="2518">
          <cell r="U2518" t="str">
            <v>东海店</v>
          </cell>
          <cell r="V2518" t="str">
            <v>2026-2-06</v>
          </cell>
          <cell r="W2518">
            <v>43.14</v>
          </cell>
        </row>
        <row r="2519">
          <cell r="U2519" t="str">
            <v>东海店</v>
          </cell>
          <cell r="V2519" t="str">
            <v>2026-2-06</v>
          </cell>
          <cell r="W2519">
            <v>11.69</v>
          </cell>
        </row>
        <row r="2520">
          <cell r="U2520" t="str">
            <v>启点店</v>
          </cell>
          <cell r="V2520" t="str">
            <v>2026-2-07</v>
          </cell>
          <cell r="W2520">
            <v>55.11</v>
          </cell>
        </row>
        <row r="2521">
          <cell r="U2521" t="str">
            <v>高新店</v>
          </cell>
          <cell r="V2521" t="str">
            <v>2026-2-07</v>
          </cell>
          <cell r="W2521">
            <v>67.27</v>
          </cell>
        </row>
        <row r="2522">
          <cell r="U2522" t="str">
            <v>金牛店</v>
          </cell>
          <cell r="V2522" t="str">
            <v>2026-2-07</v>
          </cell>
          <cell r="W2522">
            <v>47.19</v>
          </cell>
        </row>
        <row r="2523">
          <cell r="U2523" t="str">
            <v>成华店</v>
          </cell>
          <cell r="V2523" t="str">
            <v>2026-2-07</v>
          </cell>
          <cell r="W2523">
            <v>68.07</v>
          </cell>
        </row>
        <row r="2524">
          <cell r="U2524" t="str">
            <v>西山店</v>
          </cell>
          <cell r="V2524" t="str">
            <v>2026-2-07</v>
          </cell>
          <cell r="W2524">
            <v>19.98</v>
          </cell>
        </row>
        <row r="2525">
          <cell r="U2525" t="str">
            <v>百捷店</v>
          </cell>
          <cell r="V2525" t="str">
            <v>2026-2-07</v>
          </cell>
          <cell r="W2525">
            <v>52.47</v>
          </cell>
        </row>
        <row r="2526">
          <cell r="U2526" t="str">
            <v>沙坪坝店</v>
          </cell>
          <cell r="V2526" t="str">
            <v>2026-2-07</v>
          </cell>
          <cell r="W2526">
            <v>46.78</v>
          </cell>
        </row>
        <row r="2527">
          <cell r="U2527" t="str">
            <v>五路口店</v>
          </cell>
          <cell r="V2527" t="str">
            <v>2026-2-07</v>
          </cell>
          <cell r="W2527">
            <v>42.37</v>
          </cell>
        </row>
        <row r="2528">
          <cell r="U2528" t="str">
            <v>济南店</v>
          </cell>
          <cell r="V2528" t="str">
            <v>2026-2-07</v>
          </cell>
          <cell r="W2528">
            <v>141.19</v>
          </cell>
        </row>
        <row r="2529">
          <cell r="U2529" t="str">
            <v>青羊店</v>
          </cell>
          <cell r="V2529" t="str">
            <v>2026-2-07</v>
          </cell>
          <cell r="W2529">
            <v>36.71</v>
          </cell>
        </row>
        <row r="2530">
          <cell r="U2530" t="str">
            <v>观音桥店</v>
          </cell>
          <cell r="V2530" t="str">
            <v>2026-2-07</v>
          </cell>
          <cell r="W2530">
            <v>43.42</v>
          </cell>
        </row>
        <row r="2531">
          <cell r="U2531" t="str">
            <v>西湖店</v>
          </cell>
          <cell r="V2531" t="str">
            <v>2026-2-07</v>
          </cell>
          <cell r="W2531">
            <v>94.31</v>
          </cell>
        </row>
        <row r="2532">
          <cell r="U2532" t="str">
            <v>诚毅店</v>
          </cell>
          <cell r="V2532" t="str">
            <v>2026-2-07</v>
          </cell>
          <cell r="W2532">
            <v>47.47</v>
          </cell>
        </row>
        <row r="2533">
          <cell r="U2533" t="str">
            <v>湖里店</v>
          </cell>
          <cell r="V2533" t="str">
            <v>2026-2-07</v>
          </cell>
          <cell r="W2533">
            <v>153.18</v>
          </cell>
        </row>
        <row r="2534">
          <cell r="U2534" t="str">
            <v>东新店</v>
          </cell>
          <cell r="V2534" t="str">
            <v>2026-2-07</v>
          </cell>
          <cell r="W2534">
            <v>63.39</v>
          </cell>
        </row>
        <row r="2535">
          <cell r="U2535" t="str">
            <v>大坪店</v>
          </cell>
          <cell r="V2535" t="str">
            <v>2026-2-07</v>
          </cell>
          <cell r="W2535">
            <v>55.03</v>
          </cell>
        </row>
        <row r="2536">
          <cell r="U2536" t="str">
            <v>凤城二路店</v>
          </cell>
          <cell r="V2536" t="str">
            <v>2026-2-07</v>
          </cell>
          <cell r="W2536">
            <v>43.97</v>
          </cell>
        </row>
        <row r="2537">
          <cell r="U2537" t="str">
            <v>洛江店</v>
          </cell>
          <cell r="V2537" t="str">
            <v>2026-2-07</v>
          </cell>
          <cell r="W2537">
            <v>27.19</v>
          </cell>
        </row>
        <row r="2538">
          <cell r="U2538" t="str">
            <v>官渡店</v>
          </cell>
          <cell r="V2538" t="str">
            <v>2026-2-07</v>
          </cell>
          <cell r="W2538">
            <v>19.43</v>
          </cell>
        </row>
        <row r="2539">
          <cell r="U2539" t="str">
            <v>武侯店</v>
          </cell>
          <cell r="V2539" t="str">
            <v>2026-2-07</v>
          </cell>
          <cell r="W2539">
            <v>19.19</v>
          </cell>
        </row>
        <row r="2540">
          <cell r="U2540" t="str">
            <v>黄雁村店</v>
          </cell>
          <cell r="V2540" t="str">
            <v>2026-2-07</v>
          </cell>
          <cell r="W2540">
            <v>63.54</v>
          </cell>
        </row>
        <row r="2541">
          <cell r="U2541" t="str">
            <v>五华店</v>
          </cell>
          <cell r="V2541" t="str">
            <v>2026-2-07</v>
          </cell>
          <cell r="W2541">
            <v>25.92</v>
          </cell>
        </row>
        <row r="2542">
          <cell r="U2542" t="str">
            <v>长沙店</v>
          </cell>
          <cell r="V2542" t="str">
            <v>2026-2-07</v>
          </cell>
          <cell r="W2542">
            <v>62.15</v>
          </cell>
        </row>
        <row r="2543">
          <cell r="U2543" t="str">
            <v>鼓楼店</v>
          </cell>
          <cell r="V2543" t="str">
            <v>2026-2-07</v>
          </cell>
          <cell r="W2543">
            <v>108.51</v>
          </cell>
        </row>
        <row r="2544">
          <cell r="U2544" t="str">
            <v>文昌店</v>
          </cell>
          <cell r="V2544" t="str">
            <v>2026-2-07</v>
          </cell>
          <cell r="W2544">
            <v>53.02</v>
          </cell>
        </row>
        <row r="2545">
          <cell r="U2545" t="str">
            <v>百丈店</v>
          </cell>
          <cell r="V2545" t="str">
            <v>2026-2-07</v>
          </cell>
          <cell r="W2545">
            <v>44.81</v>
          </cell>
        </row>
        <row r="2546">
          <cell r="U2546" t="str">
            <v>观桥店</v>
          </cell>
          <cell r="V2546" t="str">
            <v>2026-2-07</v>
          </cell>
          <cell r="W2546">
            <v>19.8</v>
          </cell>
        </row>
        <row r="2547">
          <cell r="U2547" t="str">
            <v>余杭店</v>
          </cell>
          <cell r="V2547" t="str">
            <v>2026-2-07</v>
          </cell>
          <cell r="W2547">
            <v>102.23</v>
          </cell>
        </row>
        <row r="2548">
          <cell r="U2548" t="str">
            <v>首山店</v>
          </cell>
          <cell r="V2548" t="str">
            <v>2026-2-07</v>
          </cell>
          <cell r="W2548">
            <v>48</v>
          </cell>
        </row>
        <row r="2549">
          <cell r="U2549" t="str">
            <v>首南店</v>
          </cell>
          <cell r="V2549" t="str">
            <v>2026-2-07</v>
          </cell>
          <cell r="W2549">
            <v>109.72</v>
          </cell>
        </row>
        <row r="2550">
          <cell r="U2550" t="str">
            <v>滨江店</v>
          </cell>
          <cell r="V2550" t="str">
            <v>2026-2-07</v>
          </cell>
          <cell r="W2550">
            <v>139.29</v>
          </cell>
        </row>
        <row r="2551">
          <cell r="U2551" t="str">
            <v>下沙店</v>
          </cell>
          <cell r="V2551" t="str">
            <v>2026-2-07</v>
          </cell>
          <cell r="W2551">
            <v>49.96</v>
          </cell>
        </row>
        <row r="2552">
          <cell r="U2552" t="str">
            <v>南安店</v>
          </cell>
          <cell r="V2552" t="str">
            <v>2026-2-07</v>
          </cell>
          <cell r="W2552">
            <v>1.21</v>
          </cell>
        </row>
        <row r="2553">
          <cell r="U2553" t="str">
            <v>南安店</v>
          </cell>
          <cell r="V2553" t="str">
            <v>2026-2-07</v>
          </cell>
          <cell r="W2553">
            <v>2.25</v>
          </cell>
        </row>
        <row r="2554">
          <cell r="U2554" t="str">
            <v>文灶店</v>
          </cell>
          <cell r="V2554" t="str">
            <v>2026-2-07</v>
          </cell>
          <cell r="W2554">
            <v>14.51</v>
          </cell>
        </row>
        <row r="2555">
          <cell r="U2555" t="str">
            <v>文灶店</v>
          </cell>
          <cell r="V2555" t="str">
            <v>2026-2-07</v>
          </cell>
          <cell r="W2555">
            <v>22.52</v>
          </cell>
        </row>
        <row r="2556">
          <cell r="U2556" t="str">
            <v>东海店</v>
          </cell>
          <cell r="V2556" t="str">
            <v>2026-2-07</v>
          </cell>
          <cell r="W2556">
            <v>23.7</v>
          </cell>
        </row>
        <row r="2557">
          <cell r="U2557" t="str">
            <v>东海店</v>
          </cell>
          <cell r="V2557" t="str">
            <v>2026-2-07</v>
          </cell>
          <cell r="W2557">
            <v>24.2</v>
          </cell>
        </row>
        <row r="2558">
          <cell r="U2558" t="str">
            <v>启点店</v>
          </cell>
          <cell r="V2558" t="str">
            <v>2026-2-08</v>
          </cell>
          <cell r="W2558">
            <v>35.24</v>
          </cell>
        </row>
        <row r="2559">
          <cell r="U2559" t="str">
            <v>高新店</v>
          </cell>
          <cell r="V2559" t="str">
            <v>2026-2-08</v>
          </cell>
          <cell r="W2559">
            <v>86.67</v>
          </cell>
        </row>
        <row r="2560">
          <cell r="U2560" t="str">
            <v>金牛店</v>
          </cell>
          <cell r="V2560" t="str">
            <v>2026-2-08</v>
          </cell>
          <cell r="W2560">
            <v>92.2</v>
          </cell>
        </row>
        <row r="2561">
          <cell r="U2561" t="str">
            <v>成华店</v>
          </cell>
          <cell r="V2561" t="str">
            <v>2026-2-08</v>
          </cell>
          <cell r="W2561">
            <v>68.72</v>
          </cell>
        </row>
        <row r="2562">
          <cell r="U2562" t="str">
            <v>西山店</v>
          </cell>
          <cell r="V2562" t="str">
            <v>2026-2-08</v>
          </cell>
          <cell r="W2562">
            <v>22.62</v>
          </cell>
        </row>
        <row r="2563">
          <cell r="U2563" t="str">
            <v>百捷店</v>
          </cell>
          <cell r="V2563" t="str">
            <v>2026-2-08</v>
          </cell>
          <cell r="W2563">
            <v>97.54</v>
          </cell>
        </row>
        <row r="2564">
          <cell r="U2564" t="str">
            <v>沙坪坝店</v>
          </cell>
          <cell r="V2564" t="str">
            <v>2026-2-08</v>
          </cell>
          <cell r="W2564">
            <v>73.63</v>
          </cell>
        </row>
        <row r="2565">
          <cell r="U2565" t="str">
            <v>五路口店</v>
          </cell>
          <cell r="V2565" t="str">
            <v>2026-2-08</v>
          </cell>
          <cell r="W2565">
            <v>56.74</v>
          </cell>
        </row>
        <row r="2566">
          <cell r="U2566" t="str">
            <v>济南店</v>
          </cell>
          <cell r="V2566" t="str">
            <v>2026-2-08</v>
          </cell>
          <cell r="W2566">
            <v>93.32</v>
          </cell>
        </row>
        <row r="2567">
          <cell r="U2567" t="str">
            <v>青羊店</v>
          </cell>
          <cell r="V2567" t="str">
            <v>2026-2-08</v>
          </cell>
          <cell r="W2567">
            <v>32.08</v>
          </cell>
        </row>
        <row r="2568">
          <cell r="U2568" t="str">
            <v>观音桥店</v>
          </cell>
          <cell r="V2568" t="str">
            <v>2026-2-08</v>
          </cell>
          <cell r="W2568">
            <v>41.32</v>
          </cell>
        </row>
        <row r="2569">
          <cell r="U2569" t="str">
            <v>西湖店</v>
          </cell>
          <cell r="V2569" t="str">
            <v>2026-2-08</v>
          </cell>
          <cell r="W2569">
            <v>94.75</v>
          </cell>
        </row>
        <row r="2570">
          <cell r="U2570" t="str">
            <v>诚毅店</v>
          </cell>
          <cell r="V2570" t="str">
            <v>2026-2-08</v>
          </cell>
          <cell r="W2570">
            <v>43.88</v>
          </cell>
        </row>
        <row r="2571">
          <cell r="U2571" t="str">
            <v>湖里店</v>
          </cell>
          <cell r="V2571" t="str">
            <v>2026-2-08</v>
          </cell>
          <cell r="W2571">
            <v>153.03</v>
          </cell>
        </row>
        <row r="2572">
          <cell r="U2572" t="str">
            <v>东新店</v>
          </cell>
          <cell r="V2572" t="str">
            <v>2026-2-08</v>
          </cell>
          <cell r="W2572">
            <v>102.38</v>
          </cell>
        </row>
        <row r="2573">
          <cell r="U2573" t="str">
            <v>泉秀店</v>
          </cell>
          <cell r="V2573" t="str">
            <v>2026-2-08</v>
          </cell>
          <cell r="W2573">
            <v>0</v>
          </cell>
        </row>
        <row r="2574">
          <cell r="U2574" t="str">
            <v>大坪店</v>
          </cell>
          <cell r="V2574" t="str">
            <v>2026-2-08</v>
          </cell>
          <cell r="W2574">
            <v>72.38</v>
          </cell>
        </row>
        <row r="2575">
          <cell r="U2575" t="str">
            <v>凤城二路店</v>
          </cell>
          <cell r="V2575" t="str">
            <v>2026-2-08</v>
          </cell>
          <cell r="W2575">
            <v>92.85</v>
          </cell>
        </row>
        <row r="2576">
          <cell r="U2576" t="str">
            <v>洛江店</v>
          </cell>
          <cell r="V2576" t="str">
            <v>2026-2-08</v>
          </cell>
          <cell r="W2576">
            <v>16.72</v>
          </cell>
        </row>
        <row r="2577">
          <cell r="U2577" t="str">
            <v>官渡店</v>
          </cell>
          <cell r="V2577" t="str">
            <v>2026-2-08</v>
          </cell>
          <cell r="W2577">
            <v>44.57</v>
          </cell>
        </row>
        <row r="2578">
          <cell r="U2578" t="str">
            <v>武侯店</v>
          </cell>
          <cell r="V2578" t="str">
            <v>2026-2-08</v>
          </cell>
          <cell r="W2578">
            <v>18.98</v>
          </cell>
        </row>
        <row r="2579">
          <cell r="U2579" t="str">
            <v>黄雁村店</v>
          </cell>
          <cell r="V2579" t="str">
            <v>2026-2-08</v>
          </cell>
          <cell r="W2579">
            <v>43.69</v>
          </cell>
        </row>
        <row r="2580">
          <cell r="U2580" t="str">
            <v>五华店</v>
          </cell>
          <cell r="V2580" t="str">
            <v>2026-2-08</v>
          </cell>
          <cell r="W2580">
            <v>14.82</v>
          </cell>
        </row>
        <row r="2581">
          <cell r="U2581" t="str">
            <v>长沙店</v>
          </cell>
          <cell r="V2581" t="str">
            <v>2026-2-08</v>
          </cell>
          <cell r="W2581">
            <v>67.98</v>
          </cell>
        </row>
        <row r="2582">
          <cell r="U2582" t="str">
            <v>鼓楼店</v>
          </cell>
          <cell r="V2582" t="str">
            <v>2026-2-08</v>
          </cell>
          <cell r="W2582">
            <v>139.5</v>
          </cell>
        </row>
        <row r="2583">
          <cell r="U2583" t="str">
            <v>文昌店</v>
          </cell>
          <cell r="V2583" t="str">
            <v>2026-2-08</v>
          </cell>
          <cell r="W2583">
            <v>31.06</v>
          </cell>
        </row>
        <row r="2584">
          <cell r="U2584" t="str">
            <v>百丈店</v>
          </cell>
          <cell r="V2584" t="str">
            <v>2026-2-08</v>
          </cell>
          <cell r="W2584">
            <v>84.63</v>
          </cell>
        </row>
        <row r="2585">
          <cell r="U2585" t="str">
            <v>余杭店</v>
          </cell>
          <cell r="V2585" t="str">
            <v>2026-2-08</v>
          </cell>
          <cell r="W2585">
            <v>100</v>
          </cell>
        </row>
        <row r="2586">
          <cell r="U2586" t="str">
            <v>首山店</v>
          </cell>
          <cell r="V2586" t="str">
            <v>2026-2-08</v>
          </cell>
          <cell r="W2586">
            <v>54.39</v>
          </cell>
        </row>
        <row r="2587">
          <cell r="U2587" t="str">
            <v>首南店</v>
          </cell>
          <cell r="V2587" t="str">
            <v>2026-2-08</v>
          </cell>
          <cell r="W2587">
            <v>101.94</v>
          </cell>
        </row>
        <row r="2588">
          <cell r="U2588" t="str">
            <v>滨江店</v>
          </cell>
          <cell r="V2588" t="str">
            <v>2026-2-08</v>
          </cell>
          <cell r="W2588">
            <v>138.5</v>
          </cell>
        </row>
        <row r="2589">
          <cell r="U2589" t="str">
            <v>下沙店</v>
          </cell>
          <cell r="V2589" t="str">
            <v>2026-2-08</v>
          </cell>
          <cell r="W2589">
            <v>154.01</v>
          </cell>
        </row>
        <row r="2590">
          <cell r="U2590" t="str">
            <v>南安店</v>
          </cell>
          <cell r="V2590" t="str">
            <v>2026-2-08</v>
          </cell>
          <cell r="W2590">
            <v>0.26</v>
          </cell>
        </row>
        <row r="2591">
          <cell r="U2591" t="str">
            <v>南安店</v>
          </cell>
          <cell r="V2591" t="str">
            <v>2026-2-08</v>
          </cell>
          <cell r="W2591">
            <v>2.02</v>
          </cell>
        </row>
        <row r="2592">
          <cell r="U2592" t="str">
            <v>文灶店</v>
          </cell>
          <cell r="V2592" t="str">
            <v>2026-2-08</v>
          </cell>
          <cell r="W2592">
            <v>14.4</v>
          </cell>
        </row>
        <row r="2593">
          <cell r="U2593" t="str">
            <v>文灶店</v>
          </cell>
          <cell r="V2593" t="str">
            <v>2026-2-08</v>
          </cell>
          <cell r="W2593">
            <v>31.94</v>
          </cell>
        </row>
        <row r="2594">
          <cell r="U2594" t="str">
            <v>东海店</v>
          </cell>
          <cell r="V2594" t="str">
            <v>2026-2-08</v>
          </cell>
          <cell r="W2594">
            <v>17.1</v>
          </cell>
        </row>
        <row r="2595">
          <cell r="U2595" t="str">
            <v>东海店</v>
          </cell>
          <cell r="V2595" t="str">
            <v>2026-2-08</v>
          </cell>
          <cell r="W2595">
            <v>25.79</v>
          </cell>
        </row>
        <row r="2596">
          <cell r="U2596" t="str">
            <v>南安店</v>
          </cell>
          <cell r="V2596" t="str">
            <v>2026-2-09</v>
          </cell>
          <cell r="W2596">
            <v>0</v>
          </cell>
        </row>
        <row r="2597">
          <cell r="U2597" t="str">
            <v>南安店</v>
          </cell>
          <cell r="V2597" t="str">
            <v>2026-2-09</v>
          </cell>
          <cell r="W2597">
            <v>3.38</v>
          </cell>
        </row>
        <row r="2598">
          <cell r="U2598" t="str">
            <v>文灶店</v>
          </cell>
          <cell r="V2598" t="str">
            <v>2026-2-09</v>
          </cell>
          <cell r="W2598">
            <v>41.09</v>
          </cell>
        </row>
        <row r="2599">
          <cell r="U2599" t="str">
            <v>文灶店</v>
          </cell>
          <cell r="V2599" t="str">
            <v>2026-2-09</v>
          </cell>
          <cell r="W2599">
            <v>28.66</v>
          </cell>
        </row>
        <row r="2600">
          <cell r="U2600" t="str">
            <v>启点店</v>
          </cell>
          <cell r="V2600" t="str">
            <v>2026-2-09</v>
          </cell>
          <cell r="W2600">
            <v>36.89</v>
          </cell>
        </row>
        <row r="2601">
          <cell r="U2601" t="str">
            <v>高新店</v>
          </cell>
          <cell r="V2601" t="str">
            <v>2026-2-09</v>
          </cell>
          <cell r="W2601">
            <v>108.8</v>
          </cell>
        </row>
        <row r="2602">
          <cell r="U2602" t="str">
            <v>金牛店</v>
          </cell>
          <cell r="V2602" t="str">
            <v>2026-2-09</v>
          </cell>
          <cell r="W2602">
            <v>66.01</v>
          </cell>
        </row>
        <row r="2603">
          <cell r="U2603" t="str">
            <v>成华店</v>
          </cell>
          <cell r="V2603" t="str">
            <v>2026-2-09</v>
          </cell>
          <cell r="W2603">
            <v>64.95</v>
          </cell>
        </row>
        <row r="2604">
          <cell r="U2604" t="str">
            <v>西山店</v>
          </cell>
          <cell r="V2604" t="str">
            <v>2026-2-09</v>
          </cell>
          <cell r="W2604">
            <v>30.12</v>
          </cell>
        </row>
        <row r="2605">
          <cell r="U2605" t="str">
            <v>百捷店</v>
          </cell>
          <cell r="V2605" t="str">
            <v>2026-2-09</v>
          </cell>
          <cell r="W2605">
            <v>115.04</v>
          </cell>
        </row>
        <row r="2606">
          <cell r="U2606" t="str">
            <v>沙坪坝店</v>
          </cell>
          <cell r="V2606" t="str">
            <v>2026-2-09</v>
          </cell>
          <cell r="W2606">
            <v>34.31</v>
          </cell>
        </row>
        <row r="2607">
          <cell r="U2607" t="str">
            <v>五路口店</v>
          </cell>
          <cell r="V2607" t="str">
            <v>2026-2-09</v>
          </cell>
          <cell r="W2607">
            <v>69.68</v>
          </cell>
        </row>
        <row r="2608">
          <cell r="U2608" t="str">
            <v>济南店</v>
          </cell>
          <cell r="V2608" t="str">
            <v>2026-2-09</v>
          </cell>
          <cell r="W2608">
            <v>99.2</v>
          </cell>
        </row>
        <row r="2609">
          <cell r="U2609" t="str">
            <v>青羊店</v>
          </cell>
          <cell r="V2609" t="str">
            <v>2026-2-09</v>
          </cell>
          <cell r="W2609">
            <v>41.24</v>
          </cell>
        </row>
        <row r="2610">
          <cell r="U2610" t="str">
            <v>观音桥店</v>
          </cell>
          <cell r="V2610" t="str">
            <v>2026-2-09</v>
          </cell>
          <cell r="W2610">
            <v>50.73</v>
          </cell>
        </row>
        <row r="2611">
          <cell r="U2611" t="str">
            <v>西湖店</v>
          </cell>
          <cell r="V2611" t="str">
            <v>2026-2-09</v>
          </cell>
          <cell r="W2611">
            <v>85.87</v>
          </cell>
        </row>
        <row r="2612">
          <cell r="U2612" t="str">
            <v>诚毅店</v>
          </cell>
          <cell r="V2612" t="str">
            <v>2026-2-09</v>
          </cell>
          <cell r="W2612">
            <v>38.16</v>
          </cell>
        </row>
        <row r="2613">
          <cell r="U2613" t="str">
            <v>湖里店</v>
          </cell>
          <cell r="V2613" t="str">
            <v>2026-2-09</v>
          </cell>
          <cell r="W2613">
            <v>157.46</v>
          </cell>
        </row>
        <row r="2614">
          <cell r="U2614" t="str">
            <v>东新店</v>
          </cell>
          <cell r="V2614" t="str">
            <v>2026-2-09</v>
          </cell>
          <cell r="W2614">
            <v>79.73</v>
          </cell>
        </row>
        <row r="2615">
          <cell r="U2615" t="str">
            <v>大坪店</v>
          </cell>
          <cell r="V2615" t="str">
            <v>2026-2-09</v>
          </cell>
          <cell r="W2615">
            <v>131.79</v>
          </cell>
        </row>
        <row r="2616">
          <cell r="U2616" t="str">
            <v>凤城二路店</v>
          </cell>
          <cell r="V2616" t="str">
            <v>2026-2-09</v>
          </cell>
          <cell r="W2616">
            <v>69.53</v>
          </cell>
        </row>
        <row r="2617">
          <cell r="U2617" t="str">
            <v>洛江店</v>
          </cell>
          <cell r="V2617" t="str">
            <v>2026-2-09</v>
          </cell>
          <cell r="W2617">
            <v>19.74</v>
          </cell>
        </row>
        <row r="2618">
          <cell r="U2618" t="str">
            <v>官渡店</v>
          </cell>
          <cell r="V2618" t="str">
            <v>2026-2-09</v>
          </cell>
          <cell r="W2618">
            <v>25.61</v>
          </cell>
        </row>
        <row r="2619">
          <cell r="U2619" t="str">
            <v>武侯店</v>
          </cell>
          <cell r="V2619" t="str">
            <v>2026-2-09</v>
          </cell>
          <cell r="W2619">
            <v>29.08</v>
          </cell>
        </row>
        <row r="2620">
          <cell r="U2620" t="str">
            <v>黄雁村店</v>
          </cell>
          <cell r="V2620" t="str">
            <v>2026-2-09</v>
          </cell>
          <cell r="W2620">
            <v>35.63</v>
          </cell>
        </row>
        <row r="2621">
          <cell r="U2621" t="str">
            <v>五华店</v>
          </cell>
          <cell r="V2621" t="str">
            <v>2026-2-09</v>
          </cell>
          <cell r="W2621">
            <v>17.57</v>
          </cell>
        </row>
        <row r="2622">
          <cell r="U2622" t="str">
            <v>长沙店</v>
          </cell>
          <cell r="V2622" t="str">
            <v>2026-2-09</v>
          </cell>
          <cell r="W2622">
            <v>66.49</v>
          </cell>
        </row>
        <row r="2623">
          <cell r="U2623" t="str">
            <v>鼓楼店</v>
          </cell>
          <cell r="V2623" t="str">
            <v>2026-2-09</v>
          </cell>
          <cell r="W2623">
            <v>176.58</v>
          </cell>
        </row>
        <row r="2624">
          <cell r="U2624" t="str">
            <v>文昌店</v>
          </cell>
          <cell r="V2624" t="str">
            <v>2026-2-09</v>
          </cell>
          <cell r="W2624">
            <v>41.23</v>
          </cell>
        </row>
        <row r="2625">
          <cell r="U2625" t="str">
            <v>百丈店</v>
          </cell>
          <cell r="V2625" t="str">
            <v>2026-2-09</v>
          </cell>
          <cell r="W2625">
            <v>97.72</v>
          </cell>
        </row>
        <row r="2626">
          <cell r="U2626" t="str">
            <v>余杭店</v>
          </cell>
          <cell r="V2626" t="str">
            <v>2026-2-09</v>
          </cell>
          <cell r="W2626">
            <v>100</v>
          </cell>
        </row>
        <row r="2627">
          <cell r="U2627" t="str">
            <v>首山店</v>
          </cell>
          <cell r="V2627" t="str">
            <v>2026-2-09</v>
          </cell>
          <cell r="W2627">
            <v>74.47</v>
          </cell>
        </row>
        <row r="2628">
          <cell r="U2628" t="str">
            <v>首南店</v>
          </cell>
          <cell r="V2628" t="str">
            <v>2026-2-09</v>
          </cell>
          <cell r="W2628">
            <v>133.08</v>
          </cell>
        </row>
        <row r="2629">
          <cell r="U2629" t="str">
            <v>滨江店</v>
          </cell>
          <cell r="V2629" t="str">
            <v>2026-2-09</v>
          </cell>
          <cell r="W2629">
            <v>137.1</v>
          </cell>
        </row>
        <row r="2630">
          <cell r="U2630" t="str">
            <v>下沙店</v>
          </cell>
          <cell r="V2630" t="str">
            <v>2026-2-09</v>
          </cell>
          <cell r="W2630">
            <v>121.53</v>
          </cell>
        </row>
        <row r="2631">
          <cell r="U2631" t="str">
            <v>启点店</v>
          </cell>
          <cell r="V2631" t="str">
            <v>2026-2-10</v>
          </cell>
          <cell r="W2631">
            <v>24.18</v>
          </cell>
        </row>
        <row r="2632">
          <cell r="U2632" t="str">
            <v>高新店</v>
          </cell>
          <cell r="V2632" t="str">
            <v>2026-2-10</v>
          </cell>
          <cell r="W2632">
            <v>72.06</v>
          </cell>
        </row>
        <row r="2633">
          <cell r="U2633" t="str">
            <v>金牛店</v>
          </cell>
          <cell r="V2633" t="str">
            <v>2026-2-10</v>
          </cell>
          <cell r="W2633">
            <v>26.27</v>
          </cell>
        </row>
        <row r="2634">
          <cell r="U2634" t="str">
            <v>成华店</v>
          </cell>
          <cell r="V2634" t="str">
            <v>2026-2-10</v>
          </cell>
          <cell r="W2634">
            <v>26.18</v>
          </cell>
        </row>
        <row r="2635">
          <cell r="U2635" t="str">
            <v>西山店</v>
          </cell>
          <cell r="V2635" t="str">
            <v>2026-2-10</v>
          </cell>
          <cell r="W2635">
            <v>49.48</v>
          </cell>
        </row>
        <row r="2636">
          <cell r="U2636" t="str">
            <v>百捷店</v>
          </cell>
          <cell r="V2636" t="str">
            <v>2026-2-10</v>
          </cell>
          <cell r="W2636">
            <v>63.7</v>
          </cell>
        </row>
        <row r="2637">
          <cell r="U2637" t="str">
            <v>沙坪坝店</v>
          </cell>
          <cell r="V2637" t="str">
            <v>2026-2-10</v>
          </cell>
          <cell r="W2637">
            <v>127.03</v>
          </cell>
        </row>
        <row r="2638">
          <cell r="U2638" t="str">
            <v>五路口店</v>
          </cell>
          <cell r="V2638" t="str">
            <v>2026-2-10</v>
          </cell>
          <cell r="W2638">
            <v>14.87</v>
          </cell>
        </row>
        <row r="2639">
          <cell r="U2639" t="str">
            <v>济南店</v>
          </cell>
          <cell r="V2639" t="str">
            <v>2026-2-10</v>
          </cell>
          <cell r="W2639">
            <v>47.15</v>
          </cell>
        </row>
        <row r="2640">
          <cell r="U2640" t="str">
            <v>青羊店</v>
          </cell>
          <cell r="V2640" t="str">
            <v>2026-2-10</v>
          </cell>
          <cell r="W2640">
            <v>53.89</v>
          </cell>
        </row>
        <row r="2641">
          <cell r="U2641" t="str">
            <v>观音桥店</v>
          </cell>
          <cell r="V2641" t="str">
            <v>2026-2-10</v>
          </cell>
          <cell r="W2641">
            <v>41.58</v>
          </cell>
        </row>
        <row r="2642">
          <cell r="U2642" t="str">
            <v>西湖店</v>
          </cell>
          <cell r="V2642" t="str">
            <v>2026-2-10</v>
          </cell>
          <cell r="W2642">
            <v>96.7</v>
          </cell>
        </row>
        <row r="2643">
          <cell r="U2643" t="str">
            <v>诚毅店</v>
          </cell>
          <cell r="V2643" t="str">
            <v>2026-2-10</v>
          </cell>
          <cell r="W2643">
            <v>46.75</v>
          </cell>
        </row>
        <row r="2644">
          <cell r="U2644" t="str">
            <v>湖里店</v>
          </cell>
          <cell r="V2644" t="str">
            <v>2026-2-10</v>
          </cell>
          <cell r="W2644">
            <v>91.15</v>
          </cell>
        </row>
        <row r="2645">
          <cell r="U2645" t="str">
            <v>东新店</v>
          </cell>
          <cell r="V2645" t="str">
            <v>2026-2-10</v>
          </cell>
          <cell r="W2645">
            <v>40.44</v>
          </cell>
        </row>
        <row r="2646">
          <cell r="U2646" t="str">
            <v>泉秀店</v>
          </cell>
          <cell r="V2646" t="str">
            <v>2026-2-10</v>
          </cell>
          <cell r="W2646">
            <v>7.97</v>
          </cell>
        </row>
        <row r="2647">
          <cell r="U2647" t="str">
            <v>大坪店</v>
          </cell>
          <cell r="V2647" t="str">
            <v>2026-2-10</v>
          </cell>
          <cell r="W2647">
            <v>41.13</v>
          </cell>
        </row>
        <row r="2648">
          <cell r="U2648" t="str">
            <v>凤城二路店</v>
          </cell>
          <cell r="V2648" t="str">
            <v>2026-2-10</v>
          </cell>
          <cell r="W2648">
            <v>51.26</v>
          </cell>
        </row>
        <row r="2649">
          <cell r="U2649" t="str">
            <v>洛江店</v>
          </cell>
          <cell r="V2649" t="str">
            <v>2026-2-10</v>
          </cell>
          <cell r="W2649">
            <v>18.02</v>
          </cell>
        </row>
        <row r="2650">
          <cell r="U2650" t="str">
            <v>官渡店</v>
          </cell>
          <cell r="V2650" t="str">
            <v>2026-2-10</v>
          </cell>
          <cell r="W2650">
            <v>7.99</v>
          </cell>
        </row>
        <row r="2651">
          <cell r="U2651" t="str">
            <v>武侯店</v>
          </cell>
          <cell r="V2651" t="str">
            <v>2026-2-10</v>
          </cell>
          <cell r="W2651">
            <v>34.39</v>
          </cell>
        </row>
        <row r="2652">
          <cell r="U2652" t="str">
            <v>黄雁村店</v>
          </cell>
          <cell r="V2652" t="str">
            <v>2026-2-10</v>
          </cell>
          <cell r="W2652">
            <v>29.25</v>
          </cell>
        </row>
        <row r="2653">
          <cell r="U2653" t="str">
            <v>五华店</v>
          </cell>
          <cell r="V2653" t="str">
            <v>2026-2-10</v>
          </cell>
          <cell r="W2653">
            <v>25.35</v>
          </cell>
        </row>
        <row r="2654">
          <cell r="U2654" t="str">
            <v>长沙店</v>
          </cell>
          <cell r="V2654" t="str">
            <v>2026-2-10</v>
          </cell>
          <cell r="W2654">
            <v>41.29</v>
          </cell>
        </row>
        <row r="2655">
          <cell r="U2655" t="str">
            <v>鼓楼店</v>
          </cell>
          <cell r="V2655" t="str">
            <v>2026-2-10</v>
          </cell>
          <cell r="W2655">
            <v>67</v>
          </cell>
        </row>
        <row r="2656">
          <cell r="U2656" t="str">
            <v>文昌店</v>
          </cell>
          <cell r="V2656" t="str">
            <v>2026-2-10</v>
          </cell>
          <cell r="W2656">
            <v>21.54</v>
          </cell>
        </row>
        <row r="2657">
          <cell r="U2657" t="str">
            <v>百丈店</v>
          </cell>
          <cell r="V2657" t="str">
            <v>2026-2-10</v>
          </cell>
          <cell r="W2657">
            <v>13.29</v>
          </cell>
        </row>
        <row r="2658">
          <cell r="U2658" t="str">
            <v>观桥店</v>
          </cell>
          <cell r="V2658" t="str">
            <v>2026-2-10</v>
          </cell>
          <cell r="W2658">
            <v>6.97</v>
          </cell>
        </row>
        <row r="2659">
          <cell r="U2659" t="str">
            <v>余杭店</v>
          </cell>
          <cell r="V2659" t="str">
            <v>2026-2-10</v>
          </cell>
          <cell r="W2659">
            <v>75.77</v>
          </cell>
        </row>
        <row r="2660">
          <cell r="U2660" t="str">
            <v>首山店</v>
          </cell>
          <cell r="V2660" t="str">
            <v>2026-2-10</v>
          </cell>
          <cell r="W2660">
            <v>26.2</v>
          </cell>
        </row>
        <row r="2661">
          <cell r="U2661" t="str">
            <v>首南店</v>
          </cell>
          <cell r="V2661" t="str">
            <v>2026-2-10</v>
          </cell>
          <cell r="W2661">
            <v>51.91</v>
          </cell>
        </row>
        <row r="2662">
          <cell r="U2662" t="str">
            <v>东海店</v>
          </cell>
          <cell r="V2662" t="str">
            <v>2026-2-10</v>
          </cell>
          <cell r="W2662">
            <v>7.07</v>
          </cell>
        </row>
        <row r="2663">
          <cell r="U2663" t="str">
            <v>东海店</v>
          </cell>
          <cell r="V2663" t="str">
            <v>2026-2-10</v>
          </cell>
          <cell r="W2663">
            <v>4.79</v>
          </cell>
        </row>
        <row r="2664">
          <cell r="U2664" t="str">
            <v>滨江店</v>
          </cell>
          <cell r="V2664" t="str">
            <v>2026-2-10</v>
          </cell>
          <cell r="W2664">
            <v>45.46</v>
          </cell>
        </row>
        <row r="2665">
          <cell r="U2665" t="str">
            <v>下沙店</v>
          </cell>
          <cell r="V2665" t="str">
            <v>2026-2-10</v>
          </cell>
          <cell r="W2665">
            <v>37.64</v>
          </cell>
        </row>
        <row r="2666">
          <cell r="U2666" t="str">
            <v>南安店</v>
          </cell>
          <cell r="V2666" t="str">
            <v>2026-2-10</v>
          </cell>
          <cell r="W2666">
            <v>0</v>
          </cell>
        </row>
        <row r="2667">
          <cell r="U2667" t="str">
            <v>南安店</v>
          </cell>
          <cell r="V2667" t="str">
            <v>2026-2-10</v>
          </cell>
          <cell r="W2667">
            <v>2.05</v>
          </cell>
        </row>
        <row r="2668">
          <cell r="U2668" t="str">
            <v>文灶店</v>
          </cell>
          <cell r="V2668" t="str">
            <v>2026-2-10</v>
          </cell>
          <cell r="W2668">
            <v>7.95</v>
          </cell>
        </row>
        <row r="2669">
          <cell r="U2669" t="str">
            <v>文灶店</v>
          </cell>
          <cell r="V2669" t="str">
            <v>2026-2-10</v>
          </cell>
          <cell r="W2669">
            <v>14.19</v>
          </cell>
        </row>
        <row r="2670">
          <cell r="U2670" t="str">
            <v>启点店</v>
          </cell>
          <cell r="V2670" t="str">
            <v>2026-2-11</v>
          </cell>
          <cell r="W2670">
            <v>3.17</v>
          </cell>
        </row>
        <row r="2671">
          <cell r="U2671" t="str">
            <v>高新店</v>
          </cell>
          <cell r="V2671" t="str">
            <v>2026-2-11</v>
          </cell>
          <cell r="W2671">
            <v>34.45</v>
          </cell>
        </row>
        <row r="2672">
          <cell r="U2672" t="str">
            <v>金牛店</v>
          </cell>
          <cell r="V2672" t="str">
            <v>2026-2-11</v>
          </cell>
          <cell r="W2672">
            <v>1.99</v>
          </cell>
        </row>
        <row r="2673">
          <cell r="U2673" t="str">
            <v>成华店</v>
          </cell>
          <cell r="V2673" t="str">
            <v>2026-2-11</v>
          </cell>
          <cell r="W2673">
            <v>2.43</v>
          </cell>
        </row>
        <row r="2674">
          <cell r="U2674" t="str">
            <v>西山店</v>
          </cell>
          <cell r="V2674" t="str">
            <v>2026-2-11</v>
          </cell>
          <cell r="W2674">
            <v>16.66</v>
          </cell>
        </row>
        <row r="2675">
          <cell r="U2675" t="str">
            <v>百捷店</v>
          </cell>
          <cell r="V2675" t="str">
            <v>2026-2-11</v>
          </cell>
          <cell r="W2675">
            <v>30.69</v>
          </cell>
        </row>
        <row r="2676">
          <cell r="U2676" t="str">
            <v>沙坪坝店</v>
          </cell>
          <cell r="V2676" t="str">
            <v>2026-2-11</v>
          </cell>
          <cell r="W2676">
            <v>26.1</v>
          </cell>
        </row>
        <row r="2677">
          <cell r="U2677" t="str">
            <v>五路口店</v>
          </cell>
          <cell r="V2677" t="str">
            <v>2026-2-11</v>
          </cell>
          <cell r="W2677">
            <v>4.31</v>
          </cell>
        </row>
        <row r="2678">
          <cell r="U2678" t="str">
            <v>济南店</v>
          </cell>
          <cell r="V2678" t="str">
            <v>2026-2-11</v>
          </cell>
          <cell r="W2678">
            <v>6.53</v>
          </cell>
        </row>
        <row r="2679">
          <cell r="U2679" t="str">
            <v>青羊店</v>
          </cell>
          <cell r="V2679" t="str">
            <v>2026-2-11</v>
          </cell>
          <cell r="W2679">
            <v>45.4</v>
          </cell>
        </row>
        <row r="2680">
          <cell r="U2680" t="str">
            <v>观音桥店</v>
          </cell>
          <cell r="V2680" t="str">
            <v>2026-2-11</v>
          </cell>
          <cell r="W2680">
            <v>34.37</v>
          </cell>
        </row>
        <row r="2681">
          <cell r="U2681" t="str">
            <v>西湖店</v>
          </cell>
          <cell r="V2681" t="str">
            <v>2026-2-11</v>
          </cell>
          <cell r="W2681">
            <v>11.66</v>
          </cell>
        </row>
        <row r="2682">
          <cell r="U2682" t="str">
            <v>诚毅店</v>
          </cell>
          <cell r="V2682" t="str">
            <v>2026-2-11</v>
          </cell>
          <cell r="W2682">
            <v>53.57</v>
          </cell>
        </row>
        <row r="2683">
          <cell r="U2683" t="str">
            <v>湖里店</v>
          </cell>
          <cell r="V2683" t="str">
            <v>2026-2-11</v>
          </cell>
          <cell r="W2683">
            <v>102.62</v>
          </cell>
        </row>
        <row r="2684">
          <cell r="U2684" t="str">
            <v>东新店</v>
          </cell>
          <cell r="V2684" t="str">
            <v>2026-2-11</v>
          </cell>
          <cell r="W2684">
            <v>9.04</v>
          </cell>
        </row>
        <row r="2685">
          <cell r="U2685" t="str">
            <v>泉秀店</v>
          </cell>
          <cell r="V2685" t="str">
            <v>2026-2-11</v>
          </cell>
          <cell r="W2685">
            <v>7.05</v>
          </cell>
        </row>
        <row r="2686">
          <cell r="U2686" t="str">
            <v>大坪店</v>
          </cell>
          <cell r="V2686" t="str">
            <v>2026-2-11</v>
          </cell>
          <cell r="W2686">
            <v>47.26</v>
          </cell>
        </row>
        <row r="2687">
          <cell r="U2687" t="str">
            <v>凤城二路店</v>
          </cell>
          <cell r="V2687" t="str">
            <v>2026-2-11</v>
          </cell>
          <cell r="W2687">
            <v>55.43</v>
          </cell>
        </row>
        <row r="2688">
          <cell r="U2688" t="str">
            <v>洛江店</v>
          </cell>
          <cell r="V2688" t="str">
            <v>2026-2-11</v>
          </cell>
          <cell r="W2688">
            <v>33.62</v>
          </cell>
        </row>
        <row r="2689">
          <cell r="U2689" t="str">
            <v>官渡店</v>
          </cell>
          <cell r="V2689" t="str">
            <v>2026-2-11</v>
          </cell>
          <cell r="W2689">
            <v>0.38</v>
          </cell>
        </row>
        <row r="2690">
          <cell r="U2690" t="str">
            <v>武侯店</v>
          </cell>
          <cell r="V2690" t="str">
            <v>2026-2-11</v>
          </cell>
          <cell r="W2690">
            <v>36.02</v>
          </cell>
        </row>
        <row r="2691">
          <cell r="U2691" t="str">
            <v>黄雁村店</v>
          </cell>
          <cell r="V2691" t="str">
            <v>2026-2-11</v>
          </cell>
          <cell r="W2691">
            <v>4.46</v>
          </cell>
        </row>
        <row r="2692">
          <cell r="U2692" t="str">
            <v>五华店</v>
          </cell>
          <cell r="V2692" t="str">
            <v>2026-2-11</v>
          </cell>
          <cell r="W2692">
            <v>20.99</v>
          </cell>
        </row>
        <row r="2693">
          <cell r="U2693" t="str">
            <v>长沙店</v>
          </cell>
          <cell r="V2693" t="str">
            <v>2026-2-11</v>
          </cell>
          <cell r="W2693">
            <v>0</v>
          </cell>
        </row>
        <row r="2694">
          <cell r="U2694" t="str">
            <v>鼓楼店</v>
          </cell>
          <cell r="V2694" t="str">
            <v>2026-2-11</v>
          </cell>
          <cell r="W2694">
            <v>9.27</v>
          </cell>
        </row>
        <row r="2695">
          <cell r="U2695" t="str">
            <v>文昌店</v>
          </cell>
          <cell r="V2695" t="str">
            <v>2026-2-11</v>
          </cell>
          <cell r="W2695">
            <v>12.41</v>
          </cell>
        </row>
        <row r="2696">
          <cell r="U2696" t="str">
            <v>百丈店</v>
          </cell>
          <cell r="V2696" t="str">
            <v>2026-2-11</v>
          </cell>
          <cell r="W2696">
            <v>2.28</v>
          </cell>
        </row>
        <row r="2697">
          <cell r="U2697" t="str">
            <v>观桥店</v>
          </cell>
          <cell r="V2697" t="str">
            <v>2026-2-11</v>
          </cell>
          <cell r="W2697">
            <v>16.83</v>
          </cell>
        </row>
        <row r="2698">
          <cell r="U2698" t="str">
            <v>余杭店</v>
          </cell>
          <cell r="V2698" t="str">
            <v>2026-2-11</v>
          </cell>
          <cell r="W2698">
            <v>8.57</v>
          </cell>
        </row>
        <row r="2699">
          <cell r="U2699" t="str">
            <v>首山店</v>
          </cell>
          <cell r="V2699" t="str">
            <v>2026-2-11</v>
          </cell>
          <cell r="W2699">
            <v>5.97</v>
          </cell>
        </row>
        <row r="2700">
          <cell r="U2700" t="str">
            <v>首南店</v>
          </cell>
          <cell r="V2700" t="str">
            <v>2026-2-11</v>
          </cell>
          <cell r="W2700">
            <v>5</v>
          </cell>
        </row>
        <row r="2701">
          <cell r="U2701" t="str">
            <v>东海店</v>
          </cell>
          <cell r="V2701" t="str">
            <v>2026-2-11</v>
          </cell>
          <cell r="W2701">
            <v>7.57</v>
          </cell>
        </row>
        <row r="2702">
          <cell r="U2702" t="str">
            <v>东海店</v>
          </cell>
          <cell r="V2702" t="str">
            <v>2026-2-11</v>
          </cell>
          <cell r="W2702">
            <v>16.46</v>
          </cell>
        </row>
        <row r="2703">
          <cell r="U2703" t="str">
            <v>滨江店</v>
          </cell>
          <cell r="V2703" t="str">
            <v>2026-2-11</v>
          </cell>
          <cell r="W2703">
            <v>4.48</v>
          </cell>
        </row>
        <row r="2704">
          <cell r="U2704" t="str">
            <v>下沙店</v>
          </cell>
          <cell r="V2704" t="str">
            <v>2026-2-11</v>
          </cell>
          <cell r="W2704">
            <v>1.59</v>
          </cell>
        </row>
        <row r="2705">
          <cell r="U2705" t="str">
            <v>南安店</v>
          </cell>
          <cell r="V2705" t="str">
            <v>2026-2-11</v>
          </cell>
          <cell r="W2705">
            <v>0.69</v>
          </cell>
        </row>
        <row r="2706">
          <cell r="U2706" t="str">
            <v>南安店</v>
          </cell>
          <cell r="V2706" t="str">
            <v>2026-2-11</v>
          </cell>
          <cell r="W2706">
            <v>1.79</v>
          </cell>
        </row>
        <row r="2707">
          <cell r="U2707" t="str">
            <v>文灶店</v>
          </cell>
          <cell r="V2707" t="str">
            <v>2026-2-11</v>
          </cell>
          <cell r="W2707">
            <v>15.33</v>
          </cell>
        </row>
        <row r="2708">
          <cell r="U2708" t="str">
            <v>文灶店</v>
          </cell>
          <cell r="V2708" t="str">
            <v>2026-2-11</v>
          </cell>
          <cell r="W2708">
            <v>32.76</v>
          </cell>
        </row>
        <row r="2709">
          <cell r="U2709" t="str">
            <v>启点店</v>
          </cell>
          <cell r="V2709" t="str">
            <v>2026-2-12</v>
          </cell>
          <cell r="W2709">
            <v>3.81</v>
          </cell>
        </row>
        <row r="2710">
          <cell r="U2710" t="str">
            <v>高新店</v>
          </cell>
          <cell r="V2710" t="str">
            <v>2026-2-12</v>
          </cell>
          <cell r="W2710">
            <v>45.78</v>
          </cell>
        </row>
        <row r="2711">
          <cell r="U2711" t="str">
            <v>金牛店</v>
          </cell>
          <cell r="V2711" t="str">
            <v>2026-2-12</v>
          </cell>
          <cell r="W2711">
            <v>0.41</v>
          </cell>
        </row>
        <row r="2712">
          <cell r="U2712" t="str">
            <v>成华店</v>
          </cell>
          <cell r="V2712" t="str">
            <v>2026-2-12</v>
          </cell>
          <cell r="W2712">
            <v>0.2</v>
          </cell>
        </row>
        <row r="2713">
          <cell r="U2713" t="str">
            <v>西山店</v>
          </cell>
          <cell r="V2713" t="str">
            <v>2026-2-12</v>
          </cell>
          <cell r="W2713">
            <v>27.54</v>
          </cell>
        </row>
        <row r="2714">
          <cell r="U2714" t="str">
            <v>百捷店</v>
          </cell>
          <cell r="V2714" t="str">
            <v>2026-2-12</v>
          </cell>
          <cell r="W2714">
            <v>39.03</v>
          </cell>
        </row>
        <row r="2715">
          <cell r="U2715" t="str">
            <v>沙坪坝店</v>
          </cell>
          <cell r="V2715" t="str">
            <v>2026-2-12</v>
          </cell>
          <cell r="W2715">
            <v>28.48</v>
          </cell>
        </row>
        <row r="2716">
          <cell r="U2716" t="str">
            <v>五路口店</v>
          </cell>
          <cell r="V2716" t="str">
            <v>2026-2-12</v>
          </cell>
          <cell r="W2716">
            <v>7.6</v>
          </cell>
        </row>
        <row r="2717">
          <cell r="U2717" t="str">
            <v>济南店</v>
          </cell>
          <cell r="V2717" t="str">
            <v>2026-2-12</v>
          </cell>
          <cell r="W2717">
            <v>5.06</v>
          </cell>
        </row>
        <row r="2718">
          <cell r="U2718" t="str">
            <v>青羊店</v>
          </cell>
          <cell r="V2718" t="str">
            <v>2026-2-12</v>
          </cell>
          <cell r="W2718">
            <v>13.78</v>
          </cell>
        </row>
        <row r="2719">
          <cell r="U2719" t="str">
            <v>观音桥店</v>
          </cell>
          <cell r="V2719" t="str">
            <v>2026-2-12</v>
          </cell>
          <cell r="W2719">
            <v>48.37</v>
          </cell>
        </row>
        <row r="2720">
          <cell r="U2720" t="str">
            <v>西湖店</v>
          </cell>
          <cell r="V2720" t="str">
            <v>2026-2-12</v>
          </cell>
          <cell r="W2720">
            <v>4.61</v>
          </cell>
        </row>
        <row r="2721">
          <cell r="U2721" t="str">
            <v>诚毅店</v>
          </cell>
          <cell r="V2721" t="str">
            <v>2026-2-12</v>
          </cell>
          <cell r="W2721">
            <v>33.34</v>
          </cell>
        </row>
        <row r="2722">
          <cell r="U2722" t="str">
            <v>湖里店</v>
          </cell>
          <cell r="V2722" t="str">
            <v>2026-2-12</v>
          </cell>
          <cell r="W2722">
            <v>114.48</v>
          </cell>
        </row>
        <row r="2723">
          <cell r="U2723" t="str">
            <v>东新店</v>
          </cell>
          <cell r="V2723" t="str">
            <v>2026-2-12</v>
          </cell>
          <cell r="W2723">
            <v>1.12</v>
          </cell>
        </row>
        <row r="2724">
          <cell r="U2724" t="str">
            <v>泉秀店</v>
          </cell>
          <cell r="V2724" t="str">
            <v>2026-2-12</v>
          </cell>
          <cell r="W2724">
            <v>18.75</v>
          </cell>
        </row>
        <row r="2725">
          <cell r="U2725" t="str">
            <v>大坪店</v>
          </cell>
          <cell r="V2725" t="str">
            <v>2026-2-12</v>
          </cell>
          <cell r="W2725">
            <v>48.37</v>
          </cell>
        </row>
        <row r="2726">
          <cell r="U2726" t="str">
            <v>凤城二路店</v>
          </cell>
          <cell r="V2726" t="str">
            <v>2026-2-12</v>
          </cell>
          <cell r="W2726">
            <v>59.21</v>
          </cell>
        </row>
        <row r="2727">
          <cell r="U2727" t="str">
            <v>洛江店</v>
          </cell>
          <cell r="V2727" t="str">
            <v>2026-2-12</v>
          </cell>
          <cell r="W2727">
            <v>34.91</v>
          </cell>
        </row>
        <row r="2728">
          <cell r="U2728" t="str">
            <v>官渡店</v>
          </cell>
          <cell r="V2728" t="str">
            <v>2026-2-12</v>
          </cell>
          <cell r="W2728">
            <v>0</v>
          </cell>
        </row>
        <row r="2729">
          <cell r="U2729" t="str">
            <v>武侯店</v>
          </cell>
          <cell r="V2729" t="str">
            <v>2026-2-12</v>
          </cell>
          <cell r="W2729">
            <v>27.89</v>
          </cell>
        </row>
        <row r="2730">
          <cell r="U2730" t="str">
            <v>黄雁村店</v>
          </cell>
          <cell r="V2730" t="str">
            <v>2026-2-12</v>
          </cell>
          <cell r="W2730">
            <v>2.99</v>
          </cell>
        </row>
        <row r="2731">
          <cell r="U2731" t="str">
            <v>五华店</v>
          </cell>
          <cell r="V2731" t="str">
            <v>2026-2-12</v>
          </cell>
          <cell r="W2731">
            <v>35.17</v>
          </cell>
        </row>
        <row r="2732">
          <cell r="U2732" t="str">
            <v>鼓楼店</v>
          </cell>
          <cell r="V2732" t="str">
            <v>2026-2-12</v>
          </cell>
          <cell r="W2732">
            <v>5.31</v>
          </cell>
        </row>
        <row r="2733">
          <cell r="U2733" t="str">
            <v>文昌店</v>
          </cell>
          <cell r="V2733" t="str">
            <v>2026-2-12</v>
          </cell>
          <cell r="W2733">
            <v>13.46</v>
          </cell>
        </row>
        <row r="2734">
          <cell r="U2734" t="str">
            <v>百丈店</v>
          </cell>
          <cell r="V2734" t="str">
            <v>2026-2-12</v>
          </cell>
          <cell r="W2734">
            <v>0.38</v>
          </cell>
        </row>
        <row r="2735">
          <cell r="U2735" t="str">
            <v>观桥店</v>
          </cell>
          <cell r="V2735" t="str">
            <v>2026-2-12</v>
          </cell>
          <cell r="W2735">
            <v>6.32</v>
          </cell>
        </row>
        <row r="2736">
          <cell r="U2736" t="str">
            <v>余杭店</v>
          </cell>
          <cell r="V2736" t="str">
            <v>2026-2-12</v>
          </cell>
          <cell r="W2736">
            <v>4.42</v>
          </cell>
        </row>
        <row r="2737">
          <cell r="U2737" t="str">
            <v>首山店</v>
          </cell>
          <cell r="V2737" t="str">
            <v>2026-2-12</v>
          </cell>
          <cell r="W2737">
            <v>3.4</v>
          </cell>
        </row>
        <row r="2738">
          <cell r="U2738" t="str">
            <v>文灶店</v>
          </cell>
          <cell r="V2738" t="str">
            <v>2026-2-12</v>
          </cell>
          <cell r="W2738">
            <v>15.28</v>
          </cell>
        </row>
        <row r="2739">
          <cell r="U2739" t="str">
            <v>文灶店</v>
          </cell>
          <cell r="V2739" t="str">
            <v>2026-2-12</v>
          </cell>
          <cell r="W2739">
            <v>24.86</v>
          </cell>
        </row>
        <row r="2740">
          <cell r="U2740" t="str">
            <v>首南店</v>
          </cell>
          <cell r="V2740" t="str">
            <v>2026-2-12</v>
          </cell>
          <cell r="W2740">
            <v>6.18</v>
          </cell>
        </row>
        <row r="2741">
          <cell r="U2741" t="str">
            <v>东海店</v>
          </cell>
          <cell r="V2741" t="str">
            <v>2026-2-12</v>
          </cell>
          <cell r="W2741">
            <v>14.58</v>
          </cell>
        </row>
        <row r="2742">
          <cell r="U2742" t="str">
            <v>东海店</v>
          </cell>
          <cell r="V2742" t="str">
            <v>2026-2-12</v>
          </cell>
          <cell r="W2742">
            <v>5.64</v>
          </cell>
        </row>
        <row r="2743">
          <cell r="U2743" t="str">
            <v>滨江店</v>
          </cell>
          <cell r="V2743" t="str">
            <v>2026-2-12</v>
          </cell>
          <cell r="W2743">
            <v>4.96</v>
          </cell>
        </row>
        <row r="2744">
          <cell r="U2744" t="str">
            <v>下沙店</v>
          </cell>
          <cell r="V2744" t="str">
            <v>2026-2-12</v>
          </cell>
          <cell r="W2744">
            <v>1.51</v>
          </cell>
        </row>
        <row r="2745">
          <cell r="U2745" t="str">
            <v>南安店</v>
          </cell>
          <cell r="V2745" t="str">
            <v>2026-2-12</v>
          </cell>
          <cell r="W2745">
            <v>0.37</v>
          </cell>
        </row>
        <row r="2746">
          <cell r="U2746" t="str">
            <v>南安店</v>
          </cell>
          <cell r="V2746" t="str">
            <v>2026-2-12</v>
          </cell>
          <cell r="W2746">
            <v>4.28</v>
          </cell>
        </row>
        <row r="2747">
          <cell r="U2747" t="str">
            <v>海口店</v>
          </cell>
          <cell r="V2747" t="str">
            <v>2026-2-12</v>
          </cell>
          <cell r="W2747">
            <v>46.88</v>
          </cell>
        </row>
        <row r="2748">
          <cell r="U2748" t="str">
            <v>启点店</v>
          </cell>
          <cell r="V2748" t="str">
            <v>2026-2-13</v>
          </cell>
          <cell r="W2748">
            <v>0.48</v>
          </cell>
        </row>
        <row r="2749">
          <cell r="U2749" t="str">
            <v>高新店</v>
          </cell>
          <cell r="V2749" t="str">
            <v>2026-2-13</v>
          </cell>
          <cell r="W2749">
            <v>47.83</v>
          </cell>
        </row>
        <row r="2750">
          <cell r="U2750" t="str">
            <v>金牛店</v>
          </cell>
          <cell r="V2750" t="str">
            <v>2026-2-13</v>
          </cell>
          <cell r="W2750">
            <v>1.24</v>
          </cell>
        </row>
        <row r="2751">
          <cell r="U2751" t="str">
            <v>成华店</v>
          </cell>
          <cell r="V2751" t="str">
            <v>2026-2-13</v>
          </cell>
          <cell r="W2751">
            <v>1.8</v>
          </cell>
        </row>
        <row r="2752">
          <cell r="U2752" t="str">
            <v>西山店</v>
          </cell>
          <cell r="V2752" t="str">
            <v>2026-2-13</v>
          </cell>
          <cell r="W2752">
            <v>23.68</v>
          </cell>
        </row>
        <row r="2753">
          <cell r="U2753" t="str">
            <v>百捷店</v>
          </cell>
          <cell r="V2753" t="str">
            <v>2026-2-13</v>
          </cell>
          <cell r="W2753">
            <v>23.4</v>
          </cell>
        </row>
        <row r="2754">
          <cell r="U2754" t="str">
            <v>沙坪坝店</v>
          </cell>
          <cell r="V2754" t="str">
            <v>2026-2-13</v>
          </cell>
          <cell r="W2754">
            <v>27.16</v>
          </cell>
        </row>
        <row r="2755">
          <cell r="U2755" t="str">
            <v>五路口店</v>
          </cell>
          <cell r="V2755" t="str">
            <v>2026-2-13</v>
          </cell>
          <cell r="W2755">
            <v>2.85</v>
          </cell>
        </row>
        <row r="2756">
          <cell r="U2756" t="str">
            <v>济南店</v>
          </cell>
          <cell r="V2756" t="str">
            <v>2026-2-13</v>
          </cell>
          <cell r="W2756">
            <v>2.65</v>
          </cell>
        </row>
        <row r="2757">
          <cell r="U2757" t="str">
            <v>青羊店</v>
          </cell>
          <cell r="V2757" t="str">
            <v>2026-2-13</v>
          </cell>
          <cell r="W2757">
            <v>20.7</v>
          </cell>
        </row>
        <row r="2758">
          <cell r="U2758" t="str">
            <v>观音桥店</v>
          </cell>
          <cell r="V2758" t="str">
            <v>2026-2-13</v>
          </cell>
          <cell r="W2758">
            <v>37.47</v>
          </cell>
        </row>
        <row r="2759">
          <cell r="U2759" t="str">
            <v>西湖店</v>
          </cell>
          <cell r="V2759" t="str">
            <v>2026-2-13</v>
          </cell>
          <cell r="W2759">
            <v>9.31</v>
          </cell>
        </row>
        <row r="2760">
          <cell r="U2760" t="str">
            <v>诚毅店</v>
          </cell>
          <cell r="V2760" t="str">
            <v>2026-2-13</v>
          </cell>
          <cell r="W2760">
            <v>23.8</v>
          </cell>
        </row>
        <row r="2761">
          <cell r="U2761" t="str">
            <v>湖里店</v>
          </cell>
          <cell r="V2761" t="str">
            <v>2026-2-13</v>
          </cell>
          <cell r="W2761">
            <v>78.78</v>
          </cell>
        </row>
        <row r="2762">
          <cell r="U2762" t="str">
            <v>东新店</v>
          </cell>
          <cell r="V2762" t="str">
            <v>2026-2-13</v>
          </cell>
          <cell r="W2762">
            <v>3.19</v>
          </cell>
        </row>
        <row r="2763">
          <cell r="U2763" t="str">
            <v>泉秀店</v>
          </cell>
          <cell r="V2763" t="str">
            <v>2026-2-13</v>
          </cell>
          <cell r="W2763">
            <v>9.28</v>
          </cell>
        </row>
        <row r="2764">
          <cell r="U2764" t="str">
            <v>大坪店</v>
          </cell>
          <cell r="V2764" t="str">
            <v>2026-2-13</v>
          </cell>
          <cell r="W2764">
            <v>31.92</v>
          </cell>
        </row>
        <row r="2765">
          <cell r="U2765" t="str">
            <v>凤城二路店</v>
          </cell>
          <cell r="V2765" t="str">
            <v>2026-2-13</v>
          </cell>
          <cell r="W2765">
            <v>44.96</v>
          </cell>
        </row>
        <row r="2766">
          <cell r="U2766" t="str">
            <v>洛江店</v>
          </cell>
          <cell r="V2766" t="str">
            <v>2026-2-13</v>
          </cell>
          <cell r="W2766">
            <v>27.29</v>
          </cell>
        </row>
        <row r="2767">
          <cell r="U2767" t="str">
            <v>官渡店</v>
          </cell>
          <cell r="V2767" t="str">
            <v>2026-2-13</v>
          </cell>
          <cell r="W2767">
            <v>0</v>
          </cell>
        </row>
        <row r="2768">
          <cell r="U2768" t="str">
            <v>武侯店</v>
          </cell>
          <cell r="V2768" t="str">
            <v>2026-2-13</v>
          </cell>
          <cell r="W2768">
            <v>23.72</v>
          </cell>
        </row>
        <row r="2769">
          <cell r="U2769" t="str">
            <v>黄雁村店</v>
          </cell>
          <cell r="V2769" t="str">
            <v>2026-2-13</v>
          </cell>
          <cell r="W2769">
            <v>4.06</v>
          </cell>
        </row>
        <row r="2770">
          <cell r="U2770" t="str">
            <v>五华店</v>
          </cell>
          <cell r="V2770" t="str">
            <v>2026-2-13</v>
          </cell>
          <cell r="W2770">
            <v>20.78</v>
          </cell>
        </row>
        <row r="2771">
          <cell r="U2771" t="str">
            <v>长沙店</v>
          </cell>
          <cell r="V2771" t="str">
            <v>2026-2-13</v>
          </cell>
          <cell r="W2771">
            <v>0</v>
          </cell>
        </row>
        <row r="2772">
          <cell r="U2772" t="str">
            <v>鼓楼店</v>
          </cell>
          <cell r="V2772" t="str">
            <v>2026-2-13</v>
          </cell>
          <cell r="W2772">
            <v>1.36</v>
          </cell>
        </row>
        <row r="2773">
          <cell r="U2773" t="str">
            <v>文昌店</v>
          </cell>
          <cell r="V2773" t="str">
            <v>2026-2-13</v>
          </cell>
          <cell r="W2773">
            <v>6.19</v>
          </cell>
        </row>
        <row r="2774">
          <cell r="U2774" t="str">
            <v>百丈店</v>
          </cell>
          <cell r="V2774" t="str">
            <v>2026-2-13</v>
          </cell>
          <cell r="W2774">
            <v>0</v>
          </cell>
        </row>
        <row r="2775">
          <cell r="U2775" t="str">
            <v>观桥店</v>
          </cell>
          <cell r="V2775" t="str">
            <v>2026-2-13</v>
          </cell>
          <cell r="W2775">
            <v>0</v>
          </cell>
        </row>
        <row r="2776">
          <cell r="U2776" t="str">
            <v>余杭店</v>
          </cell>
          <cell r="V2776" t="str">
            <v>2026-2-13</v>
          </cell>
          <cell r="W2776">
            <v>3.66</v>
          </cell>
        </row>
        <row r="2777">
          <cell r="U2777" t="str">
            <v>首山店</v>
          </cell>
          <cell r="V2777" t="str">
            <v>2026-2-13</v>
          </cell>
          <cell r="W2777">
            <v>2.94</v>
          </cell>
        </row>
        <row r="2778">
          <cell r="U2778" t="str">
            <v>文灶店</v>
          </cell>
          <cell r="V2778" t="str">
            <v>2026-2-13</v>
          </cell>
          <cell r="W2778">
            <v>9.12</v>
          </cell>
        </row>
        <row r="2779">
          <cell r="U2779" t="str">
            <v>文灶店</v>
          </cell>
          <cell r="V2779" t="str">
            <v>2026-2-13</v>
          </cell>
          <cell r="W2779">
            <v>0.99</v>
          </cell>
        </row>
        <row r="2780">
          <cell r="U2780" t="str">
            <v>首南店</v>
          </cell>
          <cell r="V2780" t="str">
            <v>2026-2-13</v>
          </cell>
          <cell r="W2780">
            <v>2.9</v>
          </cell>
        </row>
        <row r="2781">
          <cell r="U2781" t="str">
            <v>东海店</v>
          </cell>
          <cell r="V2781" t="str">
            <v>2026-2-13</v>
          </cell>
          <cell r="W2781">
            <v>34.96</v>
          </cell>
        </row>
        <row r="2782">
          <cell r="U2782" t="str">
            <v>东海店</v>
          </cell>
          <cell r="V2782" t="str">
            <v>2026-2-13</v>
          </cell>
          <cell r="W2782">
            <v>0</v>
          </cell>
        </row>
        <row r="2783">
          <cell r="U2783" t="str">
            <v>滨江店</v>
          </cell>
          <cell r="V2783" t="str">
            <v>2026-2-13</v>
          </cell>
          <cell r="W2783">
            <v>6.26</v>
          </cell>
        </row>
        <row r="2784">
          <cell r="U2784" t="str">
            <v>下沙店</v>
          </cell>
          <cell r="V2784" t="str">
            <v>2026-2-13</v>
          </cell>
          <cell r="W2784">
            <v>0.15</v>
          </cell>
        </row>
        <row r="2785">
          <cell r="U2785" t="str">
            <v>南安店</v>
          </cell>
          <cell r="V2785" t="str">
            <v>2026-2-13</v>
          </cell>
          <cell r="W2785">
            <v>1.2</v>
          </cell>
        </row>
        <row r="2786">
          <cell r="U2786" t="str">
            <v>南安店</v>
          </cell>
          <cell r="V2786" t="str">
            <v>2026-2-13</v>
          </cell>
          <cell r="W2786">
            <v>2.04</v>
          </cell>
        </row>
        <row r="2787">
          <cell r="U2787" t="str">
            <v>海口店</v>
          </cell>
          <cell r="V2787" t="str">
            <v>2026-2-13</v>
          </cell>
          <cell r="W2787">
            <v>47.12</v>
          </cell>
        </row>
        <row r="2788">
          <cell r="U2788" t="str">
            <v>启点店</v>
          </cell>
          <cell r="V2788" t="str">
            <v>2026-2-14</v>
          </cell>
          <cell r="W2788">
            <v>3.19</v>
          </cell>
        </row>
        <row r="2789">
          <cell r="U2789" t="str">
            <v>高新店</v>
          </cell>
          <cell r="V2789" t="str">
            <v>2026-2-14</v>
          </cell>
          <cell r="W2789">
            <v>27.36</v>
          </cell>
        </row>
        <row r="2790">
          <cell r="U2790" t="str">
            <v>金牛店</v>
          </cell>
          <cell r="V2790" t="str">
            <v>2026-2-14</v>
          </cell>
          <cell r="W2790">
            <v>2.07</v>
          </cell>
        </row>
        <row r="2791">
          <cell r="U2791" t="str">
            <v>成华店</v>
          </cell>
          <cell r="V2791" t="str">
            <v>2026-2-14</v>
          </cell>
          <cell r="W2791">
            <v>0.15</v>
          </cell>
        </row>
        <row r="2792">
          <cell r="U2792" t="str">
            <v>西山店</v>
          </cell>
          <cell r="V2792" t="str">
            <v>2026-2-14</v>
          </cell>
          <cell r="W2792">
            <v>15.08</v>
          </cell>
        </row>
        <row r="2793">
          <cell r="U2793" t="str">
            <v>百捷店</v>
          </cell>
          <cell r="V2793" t="str">
            <v>2026-2-14</v>
          </cell>
          <cell r="W2793">
            <v>56.58</v>
          </cell>
        </row>
        <row r="2794">
          <cell r="U2794" t="str">
            <v>沙坪坝店</v>
          </cell>
          <cell r="V2794" t="str">
            <v>2026-2-14</v>
          </cell>
          <cell r="W2794">
            <v>15.7</v>
          </cell>
        </row>
        <row r="2795">
          <cell r="U2795" t="str">
            <v>五路口店</v>
          </cell>
          <cell r="V2795" t="str">
            <v>2026-2-14</v>
          </cell>
          <cell r="W2795">
            <v>4.26</v>
          </cell>
        </row>
        <row r="2796">
          <cell r="U2796" t="str">
            <v>济南店</v>
          </cell>
          <cell r="V2796" t="str">
            <v>2026-2-14</v>
          </cell>
          <cell r="W2796">
            <v>0.17</v>
          </cell>
        </row>
        <row r="2797">
          <cell r="U2797" t="str">
            <v>青羊店</v>
          </cell>
          <cell r="V2797" t="str">
            <v>2026-2-14</v>
          </cell>
          <cell r="W2797">
            <v>3.96</v>
          </cell>
        </row>
        <row r="2798">
          <cell r="U2798" t="str">
            <v>观音桥店</v>
          </cell>
          <cell r="V2798" t="str">
            <v>2026-2-14</v>
          </cell>
          <cell r="W2798">
            <v>27.44</v>
          </cell>
        </row>
        <row r="2799">
          <cell r="U2799" t="str">
            <v>西湖店</v>
          </cell>
          <cell r="V2799" t="str">
            <v>2026-2-14</v>
          </cell>
          <cell r="W2799">
            <v>4.74</v>
          </cell>
        </row>
        <row r="2800">
          <cell r="U2800" t="str">
            <v>诚毅店</v>
          </cell>
          <cell r="V2800" t="str">
            <v>2026-2-14</v>
          </cell>
          <cell r="W2800">
            <v>16.03</v>
          </cell>
        </row>
        <row r="2801">
          <cell r="U2801" t="str">
            <v>湖里店</v>
          </cell>
          <cell r="V2801" t="str">
            <v>2026-2-14</v>
          </cell>
          <cell r="W2801">
            <v>66.43</v>
          </cell>
        </row>
        <row r="2802">
          <cell r="U2802" t="str">
            <v>东新店</v>
          </cell>
          <cell r="V2802" t="str">
            <v>2026-2-14</v>
          </cell>
          <cell r="W2802">
            <v>2.01</v>
          </cell>
        </row>
        <row r="2803">
          <cell r="U2803" t="str">
            <v>泉秀店</v>
          </cell>
          <cell r="V2803" t="str">
            <v>2026-2-14</v>
          </cell>
          <cell r="W2803">
            <v>5.92</v>
          </cell>
        </row>
        <row r="2804">
          <cell r="U2804" t="str">
            <v>大坪店</v>
          </cell>
          <cell r="V2804" t="str">
            <v>2026-2-14</v>
          </cell>
          <cell r="W2804">
            <v>21.59</v>
          </cell>
        </row>
        <row r="2805">
          <cell r="U2805" t="str">
            <v>凤城二路店</v>
          </cell>
          <cell r="V2805" t="str">
            <v>2026-2-14</v>
          </cell>
          <cell r="W2805">
            <v>31.69</v>
          </cell>
        </row>
        <row r="2806">
          <cell r="U2806" t="str">
            <v>洛江店</v>
          </cell>
          <cell r="V2806" t="str">
            <v>2026-2-14</v>
          </cell>
          <cell r="W2806">
            <v>45.53</v>
          </cell>
        </row>
        <row r="2807">
          <cell r="U2807" t="str">
            <v>官渡店</v>
          </cell>
          <cell r="V2807" t="str">
            <v>2026-2-14</v>
          </cell>
          <cell r="W2807">
            <v>0</v>
          </cell>
        </row>
        <row r="2808">
          <cell r="U2808" t="str">
            <v>武侯店</v>
          </cell>
          <cell r="V2808" t="str">
            <v>2026-2-14</v>
          </cell>
          <cell r="W2808">
            <v>30.3</v>
          </cell>
        </row>
        <row r="2809">
          <cell r="U2809" t="str">
            <v>黄雁村店</v>
          </cell>
          <cell r="V2809" t="str">
            <v>2026-2-14</v>
          </cell>
          <cell r="W2809">
            <v>1.15</v>
          </cell>
        </row>
        <row r="2810">
          <cell r="U2810" t="str">
            <v>五华店</v>
          </cell>
          <cell r="V2810" t="str">
            <v>2026-2-14</v>
          </cell>
          <cell r="W2810">
            <v>31.65</v>
          </cell>
        </row>
        <row r="2811">
          <cell r="U2811" t="str">
            <v>长沙店</v>
          </cell>
          <cell r="V2811" t="str">
            <v>2026-2-14</v>
          </cell>
          <cell r="W2811">
            <v>0</v>
          </cell>
        </row>
        <row r="2812">
          <cell r="U2812" t="str">
            <v>鼓楼店</v>
          </cell>
          <cell r="V2812" t="str">
            <v>2026-2-14</v>
          </cell>
          <cell r="W2812">
            <v>7.54</v>
          </cell>
        </row>
        <row r="2813">
          <cell r="U2813" t="str">
            <v>文昌店</v>
          </cell>
          <cell r="V2813" t="str">
            <v>2026-2-14</v>
          </cell>
          <cell r="W2813">
            <v>5.86</v>
          </cell>
        </row>
        <row r="2814">
          <cell r="U2814" t="str">
            <v>百丈店</v>
          </cell>
          <cell r="V2814" t="str">
            <v>2026-2-14</v>
          </cell>
          <cell r="W2814">
            <v>0</v>
          </cell>
        </row>
        <row r="2815">
          <cell r="U2815" t="str">
            <v>观桥店</v>
          </cell>
          <cell r="V2815" t="str">
            <v>2026-2-14</v>
          </cell>
          <cell r="W2815">
            <v>7.46</v>
          </cell>
        </row>
        <row r="2816">
          <cell r="U2816" t="str">
            <v>余杭店</v>
          </cell>
          <cell r="V2816" t="str">
            <v>2026-2-14</v>
          </cell>
          <cell r="W2816">
            <v>2.61</v>
          </cell>
        </row>
        <row r="2817">
          <cell r="U2817" t="str">
            <v>首山店</v>
          </cell>
          <cell r="V2817" t="str">
            <v>2026-2-14</v>
          </cell>
          <cell r="W2817">
            <v>4.36</v>
          </cell>
        </row>
        <row r="2818">
          <cell r="U2818" t="str">
            <v>文灶店</v>
          </cell>
          <cell r="V2818" t="str">
            <v>2026-2-14</v>
          </cell>
          <cell r="W2818">
            <v>66.42</v>
          </cell>
        </row>
        <row r="2819">
          <cell r="U2819" t="str">
            <v>首南店</v>
          </cell>
          <cell r="V2819" t="str">
            <v>2026-2-14</v>
          </cell>
          <cell r="W2819">
            <v>2.69</v>
          </cell>
        </row>
        <row r="2820">
          <cell r="U2820" t="str">
            <v>东海店</v>
          </cell>
          <cell r="V2820" t="str">
            <v>2026-2-14</v>
          </cell>
          <cell r="W2820">
            <v>23.48</v>
          </cell>
        </row>
        <row r="2821">
          <cell r="U2821" t="str">
            <v>滨江店</v>
          </cell>
          <cell r="V2821" t="str">
            <v>2026-2-14</v>
          </cell>
          <cell r="W2821">
            <v>1.69</v>
          </cell>
        </row>
        <row r="2822">
          <cell r="U2822" t="str">
            <v>下沙店</v>
          </cell>
          <cell r="V2822" t="str">
            <v>2026-2-14</v>
          </cell>
          <cell r="W2822">
            <v>0</v>
          </cell>
        </row>
        <row r="2823">
          <cell r="U2823" t="str">
            <v>南安店</v>
          </cell>
          <cell r="V2823" t="str">
            <v>2026-2-14</v>
          </cell>
          <cell r="W2823">
            <v>0</v>
          </cell>
        </row>
        <row r="2824">
          <cell r="U2824" t="str">
            <v>南安店</v>
          </cell>
          <cell r="V2824" t="str">
            <v>2026-2-14</v>
          </cell>
          <cell r="W2824">
            <v>3.32</v>
          </cell>
        </row>
        <row r="2825">
          <cell r="U2825" t="str">
            <v>海口店</v>
          </cell>
          <cell r="V2825" t="str">
            <v>2026-2-14</v>
          </cell>
          <cell r="W2825">
            <v>6</v>
          </cell>
        </row>
        <row r="2826">
          <cell r="U2826" t="str">
            <v>启点店</v>
          </cell>
          <cell r="V2826" t="str">
            <v>2026-2-15</v>
          </cell>
          <cell r="W2826">
            <v>0</v>
          </cell>
        </row>
        <row r="2827">
          <cell r="U2827" t="str">
            <v>高新店</v>
          </cell>
          <cell r="V2827" t="str">
            <v>2026-2-15</v>
          </cell>
          <cell r="W2827">
            <v>4.55</v>
          </cell>
        </row>
        <row r="2828">
          <cell r="U2828" t="str">
            <v>金牛店</v>
          </cell>
          <cell r="V2828" t="str">
            <v>2026-2-15</v>
          </cell>
          <cell r="W2828">
            <v>0.1</v>
          </cell>
        </row>
        <row r="2829">
          <cell r="U2829" t="str">
            <v>成华店</v>
          </cell>
          <cell r="V2829" t="str">
            <v>2026-2-15</v>
          </cell>
          <cell r="W2829">
            <v>0.04</v>
          </cell>
        </row>
        <row r="2830">
          <cell r="U2830" t="str">
            <v>西山店</v>
          </cell>
          <cell r="V2830" t="str">
            <v>2026-2-15</v>
          </cell>
          <cell r="W2830">
            <v>0.32</v>
          </cell>
        </row>
        <row r="2831">
          <cell r="U2831" t="str">
            <v>百捷店</v>
          </cell>
          <cell r="V2831" t="str">
            <v>2026-2-15</v>
          </cell>
          <cell r="W2831">
            <v>3.26</v>
          </cell>
        </row>
        <row r="2832">
          <cell r="U2832" t="str">
            <v>沙坪坝店</v>
          </cell>
          <cell r="V2832" t="str">
            <v>2026-2-15</v>
          </cell>
          <cell r="W2832">
            <v>2.78</v>
          </cell>
        </row>
        <row r="2833">
          <cell r="U2833" t="str">
            <v>青羊店</v>
          </cell>
          <cell r="V2833" t="str">
            <v>2026-2-15</v>
          </cell>
          <cell r="W2833">
            <v>7.71</v>
          </cell>
        </row>
        <row r="2834">
          <cell r="U2834" t="str">
            <v>观音桥店</v>
          </cell>
          <cell r="V2834" t="str">
            <v>2026-2-15</v>
          </cell>
          <cell r="W2834">
            <v>21.44</v>
          </cell>
        </row>
        <row r="2835">
          <cell r="U2835" t="str">
            <v>西湖店</v>
          </cell>
          <cell r="V2835" t="str">
            <v>2026-2-15</v>
          </cell>
          <cell r="W2835">
            <v>1.16</v>
          </cell>
        </row>
        <row r="2836">
          <cell r="U2836" t="str">
            <v>诚毅店</v>
          </cell>
          <cell r="V2836" t="str">
            <v>2026-2-15</v>
          </cell>
          <cell r="W2836">
            <v>0</v>
          </cell>
        </row>
        <row r="2837">
          <cell r="U2837" t="str">
            <v>湖里店</v>
          </cell>
          <cell r="V2837" t="str">
            <v>2026-2-15</v>
          </cell>
          <cell r="W2837">
            <v>0</v>
          </cell>
        </row>
        <row r="2838">
          <cell r="U2838" t="str">
            <v>大坪店</v>
          </cell>
          <cell r="V2838" t="str">
            <v>2026-2-15</v>
          </cell>
          <cell r="W2838">
            <v>4.33</v>
          </cell>
        </row>
        <row r="2839">
          <cell r="U2839" t="str">
            <v>洛江店</v>
          </cell>
          <cell r="V2839" t="str">
            <v>2026-2-15</v>
          </cell>
          <cell r="W2839">
            <v>0</v>
          </cell>
        </row>
        <row r="2840">
          <cell r="U2840" t="str">
            <v>官渡店</v>
          </cell>
          <cell r="V2840" t="str">
            <v>2026-2-15</v>
          </cell>
          <cell r="W2840">
            <v>0</v>
          </cell>
        </row>
        <row r="2841">
          <cell r="U2841" t="str">
            <v>武侯店</v>
          </cell>
          <cell r="V2841" t="str">
            <v>2026-2-15</v>
          </cell>
          <cell r="W2841">
            <v>0.5</v>
          </cell>
        </row>
        <row r="2842">
          <cell r="U2842" t="str">
            <v>五华店</v>
          </cell>
          <cell r="V2842" t="str">
            <v>2026-2-15</v>
          </cell>
          <cell r="W2842">
            <v>1.41</v>
          </cell>
        </row>
        <row r="2843">
          <cell r="U2843" t="str">
            <v>长沙店</v>
          </cell>
          <cell r="V2843" t="str">
            <v>2026-2-15</v>
          </cell>
          <cell r="W2843">
            <v>0</v>
          </cell>
        </row>
        <row r="2844">
          <cell r="U2844" t="str">
            <v>鼓楼店</v>
          </cell>
          <cell r="V2844" t="str">
            <v>2026-2-15</v>
          </cell>
          <cell r="W2844">
            <v>0</v>
          </cell>
        </row>
        <row r="2845">
          <cell r="U2845" t="str">
            <v>文昌店</v>
          </cell>
          <cell r="V2845" t="str">
            <v>2026-2-15</v>
          </cell>
          <cell r="W2845">
            <v>12.37</v>
          </cell>
        </row>
        <row r="2846">
          <cell r="U2846" t="str">
            <v>百丈店</v>
          </cell>
          <cell r="V2846" t="str">
            <v>2026-2-15</v>
          </cell>
          <cell r="W2846">
            <v>0</v>
          </cell>
        </row>
        <row r="2847">
          <cell r="U2847" t="str">
            <v>观桥店</v>
          </cell>
          <cell r="V2847" t="str">
            <v>2026-2-15</v>
          </cell>
          <cell r="W2847">
            <v>5.83</v>
          </cell>
        </row>
        <row r="2848">
          <cell r="U2848" t="str">
            <v>余杭店</v>
          </cell>
          <cell r="V2848" t="str">
            <v>2026-2-15</v>
          </cell>
          <cell r="W2848">
            <v>0.94</v>
          </cell>
        </row>
        <row r="2849">
          <cell r="U2849" t="str">
            <v>首山店</v>
          </cell>
          <cell r="V2849" t="str">
            <v>2026-2-15</v>
          </cell>
          <cell r="W2849">
            <v>7.62</v>
          </cell>
        </row>
        <row r="2850">
          <cell r="U2850" t="str">
            <v>文灶店</v>
          </cell>
          <cell r="V2850" t="str">
            <v>2026-2-15</v>
          </cell>
          <cell r="W2850">
            <v>0.56</v>
          </cell>
        </row>
        <row r="2851">
          <cell r="U2851" t="str">
            <v>首南店</v>
          </cell>
          <cell r="V2851" t="str">
            <v>2026-2-15</v>
          </cell>
          <cell r="W2851">
            <v>2.09</v>
          </cell>
        </row>
        <row r="2852">
          <cell r="U2852" t="str">
            <v>东海店</v>
          </cell>
          <cell r="V2852" t="str">
            <v>2026-2-15</v>
          </cell>
          <cell r="W2852">
            <v>17.32</v>
          </cell>
        </row>
        <row r="2853">
          <cell r="U2853" t="str">
            <v>下沙店</v>
          </cell>
          <cell r="V2853" t="str">
            <v>2026-2-15</v>
          </cell>
          <cell r="W2853">
            <v>0.57</v>
          </cell>
        </row>
        <row r="2854">
          <cell r="U2854" t="str">
            <v>南安店</v>
          </cell>
          <cell r="V2854" t="str">
            <v>2026-2-15</v>
          </cell>
          <cell r="W2854">
            <v>1.65</v>
          </cell>
        </row>
        <row r="2855">
          <cell r="U2855" t="str">
            <v>南安店</v>
          </cell>
          <cell r="V2855" t="str">
            <v>2026-2-15</v>
          </cell>
          <cell r="W2855">
            <v>5.61</v>
          </cell>
        </row>
        <row r="2856">
          <cell r="U2856" t="str">
            <v>高新店</v>
          </cell>
          <cell r="V2856" t="str">
            <v>2026-2-16</v>
          </cell>
          <cell r="W2856">
            <v>0</v>
          </cell>
        </row>
        <row r="2857">
          <cell r="U2857" t="str">
            <v>成华店</v>
          </cell>
          <cell r="V2857" t="str">
            <v>2026-2-16</v>
          </cell>
          <cell r="W2857">
            <v>0.12</v>
          </cell>
        </row>
        <row r="2858">
          <cell r="U2858" t="str">
            <v>百捷店</v>
          </cell>
          <cell r="V2858" t="str">
            <v>2026-2-16</v>
          </cell>
          <cell r="W2858">
            <v>0</v>
          </cell>
        </row>
        <row r="2859">
          <cell r="U2859" t="str">
            <v>沙坪坝店</v>
          </cell>
          <cell r="V2859" t="str">
            <v>2026-2-16</v>
          </cell>
          <cell r="W2859">
            <v>0.7</v>
          </cell>
        </row>
        <row r="2860">
          <cell r="U2860" t="str">
            <v>青羊店</v>
          </cell>
          <cell r="V2860" t="str">
            <v>2026-2-16</v>
          </cell>
          <cell r="W2860">
            <v>7.05</v>
          </cell>
        </row>
        <row r="2861">
          <cell r="U2861" t="str">
            <v>观音桥店</v>
          </cell>
          <cell r="V2861" t="str">
            <v>2026-2-16</v>
          </cell>
          <cell r="W2861">
            <v>8.99</v>
          </cell>
        </row>
        <row r="2862">
          <cell r="U2862" t="str">
            <v>西湖店</v>
          </cell>
          <cell r="V2862" t="str">
            <v>2026-2-16</v>
          </cell>
          <cell r="W2862">
            <v>3.24</v>
          </cell>
        </row>
        <row r="2863">
          <cell r="U2863" t="str">
            <v>大坪店</v>
          </cell>
          <cell r="V2863" t="str">
            <v>2026-2-16</v>
          </cell>
          <cell r="W2863">
            <v>0</v>
          </cell>
        </row>
        <row r="2864">
          <cell r="U2864" t="str">
            <v>官渡店</v>
          </cell>
          <cell r="V2864" t="str">
            <v>2026-2-16</v>
          </cell>
          <cell r="W2864">
            <v>0</v>
          </cell>
        </row>
        <row r="2865">
          <cell r="U2865" t="str">
            <v>五华店</v>
          </cell>
          <cell r="V2865" t="str">
            <v>2026-2-16</v>
          </cell>
          <cell r="W2865">
            <v>0</v>
          </cell>
        </row>
        <row r="2866">
          <cell r="U2866" t="str">
            <v>长沙店</v>
          </cell>
          <cell r="V2866" t="str">
            <v>2026-2-16</v>
          </cell>
          <cell r="W2866">
            <v>0</v>
          </cell>
        </row>
        <row r="2867">
          <cell r="U2867" t="str">
            <v>文昌店</v>
          </cell>
          <cell r="V2867" t="str">
            <v>2026-2-16</v>
          </cell>
          <cell r="W2867">
            <v>13.56</v>
          </cell>
        </row>
        <row r="2868">
          <cell r="U2868" t="str">
            <v>首山店</v>
          </cell>
          <cell r="V2868" t="str">
            <v>2026-2-16</v>
          </cell>
          <cell r="W2868">
            <v>2.54</v>
          </cell>
        </row>
        <row r="2869">
          <cell r="U2869" t="str">
            <v>首南店</v>
          </cell>
          <cell r="V2869" t="str">
            <v>2026-2-16</v>
          </cell>
          <cell r="W2869">
            <v>0.08</v>
          </cell>
        </row>
        <row r="2870">
          <cell r="U2870" t="str">
            <v>下沙店</v>
          </cell>
          <cell r="V2870" t="str">
            <v>2026-2-16</v>
          </cell>
          <cell r="W2870">
            <v>1.68</v>
          </cell>
        </row>
        <row r="2871">
          <cell r="U2871" t="str">
            <v>南安店</v>
          </cell>
          <cell r="V2871" t="str">
            <v>2026-2-16</v>
          </cell>
          <cell r="W2871">
            <v>0</v>
          </cell>
        </row>
        <row r="2872">
          <cell r="U2872" t="str">
            <v>百捷店</v>
          </cell>
          <cell r="V2872" t="str">
            <v>2026-2-17</v>
          </cell>
          <cell r="W2872">
            <v>0</v>
          </cell>
        </row>
        <row r="2873">
          <cell r="U2873" t="str">
            <v>青羊店</v>
          </cell>
          <cell r="V2873" t="str">
            <v>2026-2-17</v>
          </cell>
          <cell r="W2873">
            <v>13.72</v>
          </cell>
        </row>
        <row r="2874">
          <cell r="U2874" t="str">
            <v>观音桥店</v>
          </cell>
          <cell r="V2874" t="str">
            <v>2026-2-17</v>
          </cell>
          <cell r="W2874">
            <v>16.01</v>
          </cell>
        </row>
        <row r="2875">
          <cell r="U2875" t="str">
            <v>西湖店</v>
          </cell>
          <cell r="V2875" t="str">
            <v>2026-2-17</v>
          </cell>
          <cell r="W2875">
            <v>5.63</v>
          </cell>
        </row>
        <row r="2876">
          <cell r="U2876" t="str">
            <v>湖里店</v>
          </cell>
          <cell r="V2876" t="str">
            <v>2026-2-17</v>
          </cell>
          <cell r="W2876">
            <v>0</v>
          </cell>
        </row>
        <row r="2877">
          <cell r="U2877" t="str">
            <v>洛江店</v>
          </cell>
          <cell r="V2877" t="str">
            <v>2026-2-17</v>
          </cell>
          <cell r="W2877">
            <v>0</v>
          </cell>
        </row>
        <row r="2878">
          <cell r="U2878" t="str">
            <v>长沙店</v>
          </cell>
          <cell r="V2878" t="str">
            <v>2026-2-17</v>
          </cell>
          <cell r="W2878">
            <v>0</v>
          </cell>
        </row>
        <row r="2879">
          <cell r="U2879" t="str">
            <v>鼓楼店</v>
          </cell>
          <cell r="V2879" t="str">
            <v>2026-2-17</v>
          </cell>
          <cell r="W2879">
            <v>0</v>
          </cell>
        </row>
        <row r="2880">
          <cell r="U2880" t="str">
            <v>文昌店</v>
          </cell>
          <cell r="V2880" t="str">
            <v>2026-2-17</v>
          </cell>
          <cell r="W2880">
            <v>7.07</v>
          </cell>
        </row>
        <row r="2881">
          <cell r="U2881" t="str">
            <v>余杭店</v>
          </cell>
          <cell r="V2881" t="str">
            <v>2026-2-17</v>
          </cell>
          <cell r="W2881">
            <v>0</v>
          </cell>
        </row>
        <row r="2882">
          <cell r="U2882" t="str">
            <v>首山店</v>
          </cell>
          <cell r="V2882" t="str">
            <v>2026-2-17</v>
          </cell>
          <cell r="W2882">
            <v>0</v>
          </cell>
        </row>
        <row r="2883">
          <cell r="U2883" t="str">
            <v>首南店</v>
          </cell>
          <cell r="V2883" t="str">
            <v>2026-2-17</v>
          </cell>
          <cell r="W2883">
            <v>0</v>
          </cell>
        </row>
        <row r="2884">
          <cell r="U2884" t="str">
            <v>下沙店</v>
          </cell>
          <cell r="V2884" t="str">
            <v>2026-2-17</v>
          </cell>
          <cell r="W2884">
            <v>0</v>
          </cell>
        </row>
        <row r="2885">
          <cell r="U2885" t="str">
            <v>南安店</v>
          </cell>
          <cell r="V2885" t="str">
            <v>2026-2-17</v>
          </cell>
          <cell r="W2885">
            <v>0</v>
          </cell>
        </row>
        <row r="2886">
          <cell r="U2886" t="str">
            <v>海口店</v>
          </cell>
          <cell r="V2886" t="str">
            <v>2026-2-17</v>
          </cell>
          <cell r="W2886">
            <v>0</v>
          </cell>
        </row>
        <row r="2887">
          <cell r="U2887" t="str">
            <v>启点店</v>
          </cell>
          <cell r="V2887" t="str">
            <v>2026-2-18</v>
          </cell>
          <cell r="W2887">
            <v>0</v>
          </cell>
        </row>
        <row r="2888">
          <cell r="U2888" t="str">
            <v>成华店</v>
          </cell>
          <cell r="V2888" t="str">
            <v>2026-2-18</v>
          </cell>
          <cell r="W2888">
            <v>0</v>
          </cell>
        </row>
        <row r="2889">
          <cell r="U2889" t="str">
            <v>济南店</v>
          </cell>
          <cell r="V2889" t="str">
            <v>2026-2-18</v>
          </cell>
          <cell r="W2889">
            <v>0</v>
          </cell>
        </row>
        <row r="2890">
          <cell r="U2890" t="str">
            <v>青羊店</v>
          </cell>
          <cell r="V2890" t="str">
            <v>2026-2-18</v>
          </cell>
          <cell r="W2890">
            <v>7.44</v>
          </cell>
        </row>
        <row r="2891">
          <cell r="U2891" t="str">
            <v>观音桥店</v>
          </cell>
          <cell r="V2891" t="str">
            <v>2026-2-18</v>
          </cell>
          <cell r="W2891">
            <v>16.62</v>
          </cell>
        </row>
        <row r="2892">
          <cell r="U2892" t="str">
            <v>西湖店</v>
          </cell>
          <cell r="V2892" t="str">
            <v>2026-2-18</v>
          </cell>
          <cell r="W2892">
            <v>6.91</v>
          </cell>
        </row>
        <row r="2893">
          <cell r="U2893" t="str">
            <v>泉秀店</v>
          </cell>
          <cell r="V2893" t="str">
            <v>2026-2-18</v>
          </cell>
          <cell r="W2893">
            <v>0</v>
          </cell>
        </row>
        <row r="2894">
          <cell r="U2894" t="str">
            <v>长沙店</v>
          </cell>
          <cell r="V2894" t="str">
            <v>2026-2-18</v>
          </cell>
          <cell r="W2894">
            <v>0</v>
          </cell>
        </row>
        <row r="2895">
          <cell r="U2895" t="str">
            <v>鼓楼店</v>
          </cell>
          <cell r="V2895" t="str">
            <v>2026-2-18</v>
          </cell>
          <cell r="W2895">
            <v>0</v>
          </cell>
        </row>
        <row r="2896">
          <cell r="U2896" t="str">
            <v>文昌店</v>
          </cell>
          <cell r="V2896" t="str">
            <v>2026-2-18</v>
          </cell>
          <cell r="W2896">
            <v>15.74</v>
          </cell>
        </row>
        <row r="2897">
          <cell r="U2897" t="str">
            <v>百丈店</v>
          </cell>
          <cell r="V2897" t="str">
            <v>2026-2-18</v>
          </cell>
          <cell r="W2897">
            <v>0</v>
          </cell>
        </row>
        <row r="2898">
          <cell r="U2898" t="str">
            <v>首山店</v>
          </cell>
          <cell r="V2898" t="str">
            <v>2026-2-18</v>
          </cell>
          <cell r="W2898">
            <v>24.73</v>
          </cell>
        </row>
        <row r="2899">
          <cell r="U2899" t="str">
            <v>首南店</v>
          </cell>
          <cell r="V2899" t="str">
            <v>2026-2-18</v>
          </cell>
          <cell r="W2899">
            <v>0.98</v>
          </cell>
        </row>
        <row r="2900">
          <cell r="U2900" t="str">
            <v>下沙店</v>
          </cell>
          <cell r="V2900" t="str">
            <v>2026-2-18</v>
          </cell>
          <cell r="W2900">
            <v>0.43</v>
          </cell>
        </row>
        <row r="2901">
          <cell r="U2901" t="str">
            <v>南安店</v>
          </cell>
          <cell r="V2901" t="str">
            <v>2026-2-18</v>
          </cell>
          <cell r="W2901">
            <v>0</v>
          </cell>
        </row>
        <row r="2902">
          <cell r="U2902" t="str">
            <v>西山店</v>
          </cell>
          <cell r="V2902" t="str">
            <v>2026-2-19</v>
          </cell>
          <cell r="W2902">
            <v>0</v>
          </cell>
        </row>
        <row r="2903">
          <cell r="U2903" t="str">
            <v>青羊店</v>
          </cell>
          <cell r="V2903" t="str">
            <v>2026-2-19</v>
          </cell>
          <cell r="W2903">
            <v>21.64</v>
          </cell>
        </row>
        <row r="2904">
          <cell r="U2904" t="str">
            <v>观音桥店</v>
          </cell>
          <cell r="V2904" t="str">
            <v>2026-2-19</v>
          </cell>
          <cell r="W2904">
            <v>17.79</v>
          </cell>
        </row>
        <row r="2905">
          <cell r="U2905" t="str">
            <v>西湖店</v>
          </cell>
          <cell r="V2905" t="str">
            <v>2026-2-19</v>
          </cell>
          <cell r="W2905">
            <v>6.72</v>
          </cell>
        </row>
        <row r="2906">
          <cell r="U2906" t="str">
            <v>凤城二路店</v>
          </cell>
          <cell r="V2906" t="str">
            <v>2026-2-19</v>
          </cell>
          <cell r="W2906">
            <v>0</v>
          </cell>
        </row>
        <row r="2907">
          <cell r="U2907" t="str">
            <v>洛江店</v>
          </cell>
          <cell r="V2907" t="str">
            <v>2026-2-19</v>
          </cell>
          <cell r="W2907">
            <v>0</v>
          </cell>
        </row>
        <row r="2908">
          <cell r="U2908" t="str">
            <v>长沙店</v>
          </cell>
          <cell r="V2908" t="str">
            <v>2026-2-19</v>
          </cell>
          <cell r="W2908">
            <v>0</v>
          </cell>
        </row>
        <row r="2909">
          <cell r="U2909" t="str">
            <v>文昌店</v>
          </cell>
          <cell r="V2909" t="str">
            <v>2026-2-19</v>
          </cell>
          <cell r="W2909">
            <v>14.43</v>
          </cell>
        </row>
        <row r="2910">
          <cell r="U2910" t="str">
            <v>余杭店</v>
          </cell>
          <cell r="V2910" t="str">
            <v>2026-2-19</v>
          </cell>
          <cell r="W2910">
            <v>0</v>
          </cell>
        </row>
        <row r="2911">
          <cell r="U2911" t="str">
            <v>首山店</v>
          </cell>
          <cell r="V2911" t="str">
            <v>2026-2-19</v>
          </cell>
          <cell r="W2911">
            <v>38.91</v>
          </cell>
        </row>
        <row r="2912">
          <cell r="U2912" t="str">
            <v>文灶店</v>
          </cell>
          <cell r="V2912" t="str">
            <v>2026-2-19</v>
          </cell>
          <cell r="W2912">
            <v>74.71</v>
          </cell>
        </row>
        <row r="2913">
          <cell r="U2913" t="str">
            <v>首南店</v>
          </cell>
          <cell r="V2913" t="str">
            <v>2026-2-19</v>
          </cell>
          <cell r="W2913">
            <v>2.28</v>
          </cell>
        </row>
        <row r="2914">
          <cell r="U2914" t="str">
            <v>东海店</v>
          </cell>
          <cell r="V2914" t="str">
            <v>2026-2-19</v>
          </cell>
          <cell r="W2914">
            <v>0</v>
          </cell>
        </row>
        <row r="2915">
          <cell r="U2915" t="str">
            <v>下沙店</v>
          </cell>
          <cell r="V2915" t="str">
            <v>2026-2-19</v>
          </cell>
          <cell r="W2915">
            <v>0</v>
          </cell>
        </row>
        <row r="2916">
          <cell r="U2916" t="str">
            <v>南安店</v>
          </cell>
          <cell r="V2916" t="str">
            <v>2026-2-19</v>
          </cell>
          <cell r="W2916">
            <v>0</v>
          </cell>
        </row>
        <row r="2917">
          <cell r="U2917" t="str">
            <v>海口店</v>
          </cell>
          <cell r="V2917" t="str">
            <v>2026-2-19</v>
          </cell>
          <cell r="W2917">
            <v>0</v>
          </cell>
        </row>
        <row r="2918">
          <cell r="U2918" t="str">
            <v>青羊店</v>
          </cell>
          <cell r="V2918" t="str">
            <v>2026-2-20</v>
          </cell>
          <cell r="W2918">
            <v>8.12</v>
          </cell>
        </row>
        <row r="2919">
          <cell r="U2919" t="str">
            <v>观音桥店</v>
          </cell>
          <cell r="V2919" t="str">
            <v>2026-2-20</v>
          </cell>
          <cell r="W2919">
            <v>12.82</v>
          </cell>
        </row>
        <row r="2920">
          <cell r="U2920" t="str">
            <v>西湖店</v>
          </cell>
          <cell r="V2920" t="str">
            <v>2026-2-20</v>
          </cell>
          <cell r="W2920">
            <v>6.91</v>
          </cell>
        </row>
        <row r="2921">
          <cell r="U2921" t="str">
            <v>洛江店</v>
          </cell>
          <cell r="V2921" t="str">
            <v>2026-2-20</v>
          </cell>
          <cell r="W2921">
            <v>0</v>
          </cell>
        </row>
        <row r="2922">
          <cell r="U2922" t="str">
            <v>长沙店</v>
          </cell>
          <cell r="V2922" t="str">
            <v>2026-2-20</v>
          </cell>
          <cell r="W2922">
            <v>0</v>
          </cell>
        </row>
        <row r="2923">
          <cell r="U2923" t="str">
            <v>鼓楼店</v>
          </cell>
          <cell r="V2923" t="str">
            <v>2026-2-20</v>
          </cell>
          <cell r="W2923">
            <v>0</v>
          </cell>
        </row>
        <row r="2924">
          <cell r="U2924" t="str">
            <v>文昌店</v>
          </cell>
          <cell r="V2924" t="str">
            <v>2026-2-20</v>
          </cell>
          <cell r="W2924">
            <v>7.25</v>
          </cell>
        </row>
        <row r="2925">
          <cell r="U2925" t="str">
            <v>余杭店</v>
          </cell>
          <cell r="V2925" t="str">
            <v>2026-2-20</v>
          </cell>
          <cell r="W2925">
            <v>0</v>
          </cell>
        </row>
        <row r="2926">
          <cell r="U2926" t="str">
            <v>首山店</v>
          </cell>
          <cell r="V2926" t="str">
            <v>2026-2-20</v>
          </cell>
          <cell r="W2926">
            <v>35.24</v>
          </cell>
        </row>
        <row r="2927">
          <cell r="U2927" t="str">
            <v>文灶店</v>
          </cell>
          <cell r="V2927" t="str">
            <v>2026-2-20</v>
          </cell>
          <cell r="W2927">
            <v>69.5</v>
          </cell>
        </row>
        <row r="2928">
          <cell r="U2928" t="str">
            <v>首南店</v>
          </cell>
          <cell r="V2928" t="str">
            <v>2026-2-20</v>
          </cell>
          <cell r="W2928">
            <v>0.12</v>
          </cell>
        </row>
        <row r="2929">
          <cell r="U2929" t="str">
            <v>下沙店</v>
          </cell>
          <cell r="V2929" t="str">
            <v>2026-2-20</v>
          </cell>
          <cell r="W2929">
            <v>0.85</v>
          </cell>
        </row>
        <row r="2930">
          <cell r="U2930" t="str">
            <v>南安店</v>
          </cell>
          <cell r="V2930" t="str">
            <v>2026-2-20</v>
          </cell>
          <cell r="W2930">
            <v>5.39</v>
          </cell>
        </row>
        <row r="2931">
          <cell r="U2931" t="str">
            <v>南安店</v>
          </cell>
          <cell r="V2931" t="str">
            <v>2026-2-20</v>
          </cell>
          <cell r="W2931">
            <v>17.85</v>
          </cell>
        </row>
        <row r="2932">
          <cell r="U2932" t="str">
            <v>百捷店</v>
          </cell>
          <cell r="V2932" t="str">
            <v>2026-2-21</v>
          </cell>
          <cell r="W2932">
            <v>49.83</v>
          </cell>
        </row>
        <row r="2933">
          <cell r="U2933" t="str">
            <v>济南店</v>
          </cell>
          <cell r="V2933" t="str">
            <v>2026-2-21</v>
          </cell>
          <cell r="W2933">
            <v>0</v>
          </cell>
        </row>
        <row r="2934">
          <cell r="U2934" t="str">
            <v>青羊店</v>
          </cell>
          <cell r="V2934" t="str">
            <v>2026-2-21</v>
          </cell>
          <cell r="W2934">
            <v>15.38</v>
          </cell>
        </row>
        <row r="2935">
          <cell r="U2935" t="str">
            <v>观音桥店</v>
          </cell>
          <cell r="V2935" t="str">
            <v>2026-2-21</v>
          </cell>
          <cell r="W2935">
            <v>21.24</v>
          </cell>
        </row>
        <row r="2936">
          <cell r="U2936" t="str">
            <v>西湖店</v>
          </cell>
          <cell r="V2936" t="str">
            <v>2026-2-21</v>
          </cell>
          <cell r="W2936">
            <v>5.57</v>
          </cell>
        </row>
        <row r="2937">
          <cell r="U2937" t="str">
            <v>泉秀店</v>
          </cell>
          <cell r="V2937" t="str">
            <v>2026-2-21</v>
          </cell>
          <cell r="W2937">
            <v>9.44</v>
          </cell>
        </row>
        <row r="2938">
          <cell r="U2938" t="str">
            <v>洛江店</v>
          </cell>
          <cell r="V2938" t="str">
            <v>2026-2-21</v>
          </cell>
          <cell r="W2938">
            <v>0</v>
          </cell>
        </row>
        <row r="2939">
          <cell r="U2939" t="str">
            <v>长沙店</v>
          </cell>
          <cell r="V2939" t="str">
            <v>2026-2-21</v>
          </cell>
          <cell r="W2939">
            <v>0</v>
          </cell>
        </row>
        <row r="2940">
          <cell r="U2940" t="str">
            <v>文昌店</v>
          </cell>
          <cell r="V2940" t="str">
            <v>2026-2-21</v>
          </cell>
          <cell r="W2940">
            <v>12.02</v>
          </cell>
        </row>
        <row r="2941">
          <cell r="U2941" t="str">
            <v>百丈店</v>
          </cell>
          <cell r="V2941" t="str">
            <v>2026-2-21</v>
          </cell>
          <cell r="W2941">
            <v>0</v>
          </cell>
        </row>
        <row r="2942">
          <cell r="U2942" t="str">
            <v>余杭店</v>
          </cell>
          <cell r="V2942" t="str">
            <v>2026-2-21</v>
          </cell>
          <cell r="W2942">
            <v>2.1</v>
          </cell>
        </row>
        <row r="2943">
          <cell r="U2943" t="str">
            <v>首山店</v>
          </cell>
          <cell r="V2943" t="str">
            <v>2026-2-21</v>
          </cell>
          <cell r="W2943">
            <v>32.31</v>
          </cell>
        </row>
        <row r="2944">
          <cell r="U2944" t="str">
            <v>文灶店</v>
          </cell>
          <cell r="V2944" t="str">
            <v>2026-2-21</v>
          </cell>
          <cell r="W2944">
            <v>59.32</v>
          </cell>
        </row>
        <row r="2945">
          <cell r="U2945" t="str">
            <v>首南店</v>
          </cell>
          <cell r="V2945" t="str">
            <v>2026-2-21</v>
          </cell>
          <cell r="W2945">
            <v>0</v>
          </cell>
        </row>
        <row r="2946">
          <cell r="U2946" t="str">
            <v>东海店</v>
          </cell>
          <cell r="V2946" t="str">
            <v>2026-2-21</v>
          </cell>
          <cell r="W2946">
            <v>7.77</v>
          </cell>
        </row>
        <row r="2947">
          <cell r="U2947" t="str">
            <v>滨江店</v>
          </cell>
          <cell r="V2947" t="str">
            <v>2026-2-21</v>
          </cell>
          <cell r="W2947">
            <v>3.27</v>
          </cell>
        </row>
        <row r="2948">
          <cell r="U2948" t="str">
            <v>下沙店</v>
          </cell>
          <cell r="V2948" t="str">
            <v>2026-2-21</v>
          </cell>
          <cell r="W2948">
            <v>1.27</v>
          </cell>
        </row>
        <row r="2949">
          <cell r="U2949" t="str">
            <v>南安店</v>
          </cell>
          <cell r="V2949" t="str">
            <v>2026-2-21</v>
          </cell>
          <cell r="W2949">
            <v>3.08</v>
          </cell>
        </row>
        <row r="2950">
          <cell r="U2950" t="str">
            <v>南安店</v>
          </cell>
          <cell r="V2950" t="str">
            <v>2026-2-21</v>
          </cell>
          <cell r="W2950">
            <v>2.16</v>
          </cell>
        </row>
        <row r="2951">
          <cell r="U2951" t="str">
            <v>高新店</v>
          </cell>
          <cell r="V2951" t="str">
            <v>2026-2-22</v>
          </cell>
          <cell r="W2951">
            <v>6.59</v>
          </cell>
        </row>
        <row r="2952">
          <cell r="U2952" t="str">
            <v>金牛店</v>
          </cell>
          <cell r="V2952" t="str">
            <v>2026-2-22</v>
          </cell>
          <cell r="W2952">
            <v>1.95</v>
          </cell>
        </row>
        <row r="2953">
          <cell r="U2953" t="str">
            <v>成华店</v>
          </cell>
          <cell r="V2953" t="str">
            <v>2026-2-22</v>
          </cell>
          <cell r="W2953">
            <v>1.59</v>
          </cell>
        </row>
        <row r="2954">
          <cell r="U2954" t="str">
            <v>西山店</v>
          </cell>
          <cell r="V2954" t="str">
            <v>2026-2-22</v>
          </cell>
          <cell r="W2954">
            <v>20.5</v>
          </cell>
        </row>
        <row r="2955">
          <cell r="U2955" t="str">
            <v>百捷店</v>
          </cell>
          <cell r="V2955" t="str">
            <v>2026-2-22</v>
          </cell>
          <cell r="W2955">
            <v>37.9</v>
          </cell>
        </row>
        <row r="2956">
          <cell r="U2956" t="str">
            <v>沙坪坝店</v>
          </cell>
          <cell r="V2956" t="str">
            <v>2026-2-22</v>
          </cell>
          <cell r="W2956">
            <v>12.62</v>
          </cell>
        </row>
        <row r="2957">
          <cell r="U2957" t="str">
            <v>五路口店</v>
          </cell>
          <cell r="V2957" t="str">
            <v>2026-2-22</v>
          </cell>
          <cell r="W2957">
            <v>1.86</v>
          </cell>
        </row>
        <row r="2958">
          <cell r="U2958" t="str">
            <v>济南店</v>
          </cell>
          <cell r="V2958" t="str">
            <v>2026-2-22</v>
          </cell>
          <cell r="W2958">
            <v>0.26</v>
          </cell>
        </row>
        <row r="2959">
          <cell r="U2959" t="str">
            <v>青羊店</v>
          </cell>
          <cell r="V2959" t="str">
            <v>2026-2-22</v>
          </cell>
          <cell r="W2959">
            <v>3.99</v>
          </cell>
        </row>
        <row r="2960">
          <cell r="U2960" t="str">
            <v>观音桥店</v>
          </cell>
          <cell r="V2960" t="str">
            <v>2026-2-22</v>
          </cell>
          <cell r="W2960">
            <v>16.8</v>
          </cell>
        </row>
        <row r="2961">
          <cell r="U2961" t="str">
            <v>西湖店</v>
          </cell>
          <cell r="V2961" t="str">
            <v>2026-2-22</v>
          </cell>
          <cell r="W2961">
            <v>58.7</v>
          </cell>
        </row>
        <row r="2962">
          <cell r="U2962" t="str">
            <v>诚毅店</v>
          </cell>
          <cell r="V2962" t="str">
            <v>2026-2-22</v>
          </cell>
          <cell r="W2962">
            <v>25.74</v>
          </cell>
        </row>
        <row r="2963">
          <cell r="U2963" t="str">
            <v>湖里店</v>
          </cell>
          <cell r="V2963" t="str">
            <v>2026-2-22</v>
          </cell>
          <cell r="W2963">
            <v>32.42</v>
          </cell>
        </row>
        <row r="2964">
          <cell r="U2964" t="str">
            <v>泉秀店</v>
          </cell>
          <cell r="V2964" t="str">
            <v>2026-2-22</v>
          </cell>
          <cell r="W2964">
            <v>4.76</v>
          </cell>
        </row>
        <row r="2965">
          <cell r="U2965" t="str">
            <v>大坪店</v>
          </cell>
          <cell r="V2965" t="str">
            <v>2026-2-22</v>
          </cell>
          <cell r="W2965">
            <v>29.15</v>
          </cell>
        </row>
        <row r="2966">
          <cell r="U2966" t="str">
            <v>凤城二路店</v>
          </cell>
          <cell r="V2966" t="str">
            <v>2026-2-22</v>
          </cell>
          <cell r="W2966">
            <v>23.31</v>
          </cell>
        </row>
        <row r="2967">
          <cell r="U2967" t="str">
            <v>洛江店</v>
          </cell>
          <cell r="V2967" t="str">
            <v>2026-2-22</v>
          </cell>
          <cell r="W2967">
            <v>0</v>
          </cell>
        </row>
        <row r="2968">
          <cell r="U2968" t="str">
            <v>官渡店</v>
          </cell>
          <cell r="V2968" t="str">
            <v>2026-2-22</v>
          </cell>
          <cell r="W2968">
            <v>3.19</v>
          </cell>
        </row>
        <row r="2969">
          <cell r="U2969" t="str">
            <v>武侯店</v>
          </cell>
          <cell r="V2969" t="str">
            <v>2026-2-22</v>
          </cell>
          <cell r="W2969">
            <v>32.83</v>
          </cell>
        </row>
        <row r="2970">
          <cell r="U2970" t="str">
            <v>黄雁村店</v>
          </cell>
          <cell r="V2970" t="str">
            <v>2026-2-22</v>
          </cell>
          <cell r="W2970">
            <v>0</v>
          </cell>
        </row>
        <row r="2971">
          <cell r="U2971" t="str">
            <v>五华店</v>
          </cell>
          <cell r="V2971" t="str">
            <v>2026-2-22</v>
          </cell>
          <cell r="W2971">
            <v>1.21</v>
          </cell>
        </row>
        <row r="2972">
          <cell r="U2972" t="str">
            <v>长沙店</v>
          </cell>
          <cell r="V2972" t="str">
            <v>2026-2-22</v>
          </cell>
          <cell r="W2972">
            <v>0.86</v>
          </cell>
        </row>
        <row r="2973">
          <cell r="U2973" t="str">
            <v>鼓楼店</v>
          </cell>
          <cell r="V2973" t="str">
            <v>2026-2-22</v>
          </cell>
          <cell r="W2973">
            <v>2.03</v>
          </cell>
        </row>
        <row r="2974">
          <cell r="U2974" t="str">
            <v>文昌店</v>
          </cell>
          <cell r="V2974" t="str">
            <v>2026-2-22</v>
          </cell>
          <cell r="W2974">
            <v>23.72</v>
          </cell>
        </row>
        <row r="2975">
          <cell r="U2975" t="str">
            <v>百丈店</v>
          </cell>
          <cell r="V2975" t="str">
            <v>2026-2-22</v>
          </cell>
          <cell r="W2975">
            <v>1.91</v>
          </cell>
        </row>
        <row r="2976">
          <cell r="U2976" t="str">
            <v>观桥店</v>
          </cell>
          <cell r="V2976" t="str">
            <v>2026-2-22</v>
          </cell>
          <cell r="W2976">
            <v>7.51</v>
          </cell>
        </row>
        <row r="2977">
          <cell r="U2977" t="str">
            <v>余杭店</v>
          </cell>
          <cell r="V2977" t="str">
            <v>2026-2-22</v>
          </cell>
          <cell r="W2977">
            <v>2.56</v>
          </cell>
        </row>
        <row r="2978">
          <cell r="U2978" t="str">
            <v>首山店</v>
          </cell>
          <cell r="V2978" t="str">
            <v>2026-2-22</v>
          </cell>
          <cell r="W2978">
            <v>32.73</v>
          </cell>
        </row>
        <row r="2979">
          <cell r="U2979" t="str">
            <v>文灶店</v>
          </cell>
          <cell r="V2979" t="str">
            <v>2026-2-22</v>
          </cell>
          <cell r="W2979">
            <v>33.28</v>
          </cell>
        </row>
        <row r="2980">
          <cell r="U2980" t="str">
            <v>首南店</v>
          </cell>
          <cell r="V2980" t="str">
            <v>2026-2-22</v>
          </cell>
          <cell r="W2980">
            <v>1.5</v>
          </cell>
        </row>
        <row r="2981">
          <cell r="U2981" t="str">
            <v>东海店</v>
          </cell>
          <cell r="V2981" t="str">
            <v>2026-2-22</v>
          </cell>
          <cell r="W2981">
            <v>16.03</v>
          </cell>
        </row>
        <row r="2982">
          <cell r="U2982" t="str">
            <v>滨江店</v>
          </cell>
          <cell r="V2982" t="str">
            <v>2026-2-22</v>
          </cell>
          <cell r="W2982">
            <v>4.67</v>
          </cell>
        </row>
        <row r="2983">
          <cell r="U2983" t="str">
            <v>下沙店</v>
          </cell>
          <cell r="V2983" t="str">
            <v>2026-2-22</v>
          </cell>
          <cell r="W2983">
            <v>0.56</v>
          </cell>
        </row>
        <row r="2984">
          <cell r="U2984" t="str">
            <v>南安店</v>
          </cell>
          <cell r="V2984" t="str">
            <v>2026-2-22</v>
          </cell>
          <cell r="W2984">
            <v>0</v>
          </cell>
        </row>
        <row r="2985">
          <cell r="U2985" t="str">
            <v>高新店</v>
          </cell>
          <cell r="V2985" t="str">
            <v>2026-2-23</v>
          </cell>
          <cell r="W2985">
            <v>36.8</v>
          </cell>
        </row>
        <row r="2986">
          <cell r="U2986" t="str">
            <v>金牛店</v>
          </cell>
          <cell r="V2986" t="str">
            <v>2026-2-23</v>
          </cell>
          <cell r="W2986">
            <v>0</v>
          </cell>
        </row>
        <row r="2987">
          <cell r="U2987" t="str">
            <v>成华店</v>
          </cell>
          <cell r="V2987" t="str">
            <v>2026-2-23</v>
          </cell>
          <cell r="W2987">
            <v>0.24</v>
          </cell>
        </row>
        <row r="2988">
          <cell r="U2988" t="str">
            <v>西山店</v>
          </cell>
          <cell r="V2988" t="str">
            <v>2026-2-23</v>
          </cell>
          <cell r="W2988">
            <v>14.47</v>
          </cell>
        </row>
        <row r="2989">
          <cell r="U2989" t="str">
            <v>百捷店</v>
          </cell>
          <cell r="V2989" t="str">
            <v>2026-2-23</v>
          </cell>
          <cell r="W2989">
            <v>19.89</v>
          </cell>
        </row>
        <row r="2990">
          <cell r="U2990" t="str">
            <v>沙坪坝店</v>
          </cell>
          <cell r="V2990" t="str">
            <v>2026-2-23</v>
          </cell>
          <cell r="W2990">
            <v>28.5</v>
          </cell>
        </row>
        <row r="2991">
          <cell r="U2991" t="str">
            <v>五路口店</v>
          </cell>
          <cell r="V2991" t="str">
            <v>2026-2-23</v>
          </cell>
          <cell r="W2991">
            <v>2.91</v>
          </cell>
        </row>
        <row r="2992">
          <cell r="U2992" t="str">
            <v>济南店</v>
          </cell>
          <cell r="V2992" t="str">
            <v>2026-2-23</v>
          </cell>
          <cell r="W2992">
            <v>0.07</v>
          </cell>
        </row>
        <row r="2993">
          <cell r="U2993" t="str">
            <v>青羊店</v>
          </cell>
          <cell r="V2993" t="str">
            <v>2026-2-23</v>
          </cell>
          <cell r="W2993">
            <v>4.83</v>
          </cell>
        </row>
        <row r="2994">
          <cell r="U2994" t="str">
            <v>观音桥店</v>
          </cell>
          <cell r="V2994" t="str">
            <v>2026-2-23</v>
          </cell>
          <cell r="W2994">
            <v>32.8</v>
          </cell>
        </row>
        <row r="2995">
          <cell r="U2995" t="str">
            <v>西湖店</v>
          </cell>
          <cell r="V2995" t="str">
            <v>2026-2-23</v>
          </cell>
          <cell r="W2995">
            <v>46.08</v>
          </cell>
        </row>
        <row r="2996">
          <cell r="U2996" t="str">
            <v>诚毅店</v>
          </cell>
          <cell r="V2996" t="str">
            <v>2026-2-23</v>
          </cell>
          <cell r="W2996">
            <v>33.52</v>
          </cell>
        </row>
        <row r="2997">
          <cell r="U2997" t="str">
            <v>湖里店</v>
          </cell>
          <cell r="V2997" t="str">
            <v>2026-2-23</v>
          </cell>
          <cell r="W2997">
            <v>73.49</v>
          </cell>
        </row>
        <row r="2998">
          <cell r="U2998" t="str">
            <v>东新店</v>
          </cell>
          <cell r="V2998" t="str">
            <v>2026-2-23</v>
          </cell>
          <cell r="W2998">
            <v>2.92</v>
          </cell>
        </row>
        <row r="2999">
          <cell r="U2999" t="str">
            <v>泉秀店</v>
          </cell>
          <cell r="V2999" t="str">
            <v>2026-2-23</v>
          </cell>
          <cell r="W2999">
            <v>32.84</v>
          </cell>
        </row>
        <row r="3000">
          <cell r="U3000" t="str">
            <v>大坪店</v>
          </cell>
          <cell r="V3000" t="str">
            <v>2026-2-23</v>
          </cell>
          <cell r="W3000">
            <v>14.93</v>
          </cell>
        </row>
        <row r="3001">
          <cell r="U3001" t="str">
            <v>凤城二路店</v>
          </cell>
          <cell r="V3001" t="str">
            <v>2026-2-23</v>
          </cell>
          <cell r="W3001">
            <v>17.76</v>
          </cell>
        </row>
        <row r="3002">
          <cell r="U3002" t="str">
            <v>洛江店</v>
          </cell>
          <cell r="V3002" t="str">
            <v>2026-2-23</v>
          </cell>
          <cell r="W3002">
            <v>17.93</v>
          </cell>
        </row>
        <row r="3003">
          <cell r="U3003" t="str">
            <v>官渡店</v>
          </cell>
          <cell r="V3003" t="str">
            <v>2026-2-23</v>
          </cell>
          <cell r="W3003">
            <v>0.58</v>
          </cell>
        </row>
        <row r="3004">
          <cell r="U3004" t="str">
            <v>武侯店</v>
          </cell>
          <cell r="V3004" t="str">
            <v>2026-2-23</v>
          </cell>
          <cell r="W3004">
            <v>20.14</v>
          </cell>
        </row>
        <row r="3005">
          <cell r="U3005" t="str">
            <v>黄雁村店</v>
          </cell>
          <cell r="V3005" t="str">
            <v>2026-2-23</v>
          </cell>
          <cell r="W3005">
            <v>0</v>
          </cell>
        </row>
        <row r="3006">
          <cell r="U3006" t="str">
            <v>五华店</v>
          </cell>
          <cell r="V3006" t="str">
            <v>2026-2-23</v>
          </cell>
          <cell r="W3006">
            <v>14.34</v>
          </cell>
        </row>
        <row r="3007">
          <cell r="U3007" t="str">
            <v>长沙店</v>
          </cell>
          <cell r="V3007" t="str">
            <v>2026-2-23</v>
          </cell>
          <cell r="W3007">
            <v>3.07</v>
          </cell>
        </row>
        <row r="3008">
          <cell r="U3008" t="str">
            <v>鼓楼店</v>
          </cell>
          <cell r="V3008" t="str">
            <v>2026-2-23</v>
          </cell>
          <cell r="W3008">
            <v>2.07</v>
          </cell>
        </row>
        <row r="3009">
          <cell r="U3009" t="str">
            <v>文昌店</v>
          </cell>
          <cell r="V3009" t="str">
            <v>2026-2-23</v>
          </cell>
          <cell r="W3009">
            <v>23.27</v>
          </cell>
        </row>
        <row r="3010">
          <cell r="U3010" t="str">
            <v>百丈店</v>
          </cell>
          <cell r="V3010" t="str">
            <v>2026-2-23</v>
          </cell>
          <cell r="W3010">
            <v>2.49</v>
          </cell>
        </row>
        <row r="3011">
          <cell r="U3011" t="str">
            <v>观桥店</v>
          </cell>
          <cell r="V3011" t="str">
            <v>2026-2-23</v>
          </cell>
          <cell r="W3011">
            <v>14.18</v>
          </cell>
        </row>
        <row r="3012">
          <cell r="U3012" t="str">
            <v>余杭店</v>
          </cell>
          <cell r="V3012" t="str">
            <v>2026-2-23</v>
          </cell>
          <cell r="W3012">
            <v>3.28</v>
          </cell>
        </row>
        <row r="3013">
          <cell r="U3013" t="str">
            <v>首山店</v>
          </cell>
          <cell r="V3013" t="str">
            <v>2026-2-23</v>
          </cell>
          <cell r="W3013">
            <v>26.57</v>
          </cell>
        </row>
        <row r="3014">
          <cell r="U3014" t="str">
            <v>文灶店</v>
          </cell>
          <cell r="V3014" t="str">
            <v>2026-2-23</v>
          </cell>
          <cell r="W3014">
            <v>66.39</v>
          </cell>
        </row>
        <row r="3015">
          <cell r="U3015" t="str">
            <v>首南店</v>
          </cell>
          <cell r="V3015" t="str">
            <v>2026-2-23</v>
          </cell>
          <cell r="W3015">
            <v>4.57</v>
          </cell>
        </row>
        <row r="3016">
          <cell r="U3016" t="str">
            <v>东海店</v>
          </cell>
          <cell r="V3016" t="str">
            <v>2026-2-23</v>
          </cell>
          <cell r="W3016">
            <v>14.87</v>
          </cell>
        </row>
        <row r="3017">
          <cell r="U3017" t="str">
            <v>滨江店</v>
          </cell>
          <cell r="V3017" t="str">
            <v>2026-2-23</v>
          </cell>
          <cell r="W3017">
            <v>5.19</v>
          </cell>
        </row>
        <row r="3018">
          <cell r="U3018" t="str">
            <v>下沙店</v>
          </cell>
          <cell r="V3018" t="str">
            <v>2026-2-23</v>
          </cell>
          <cell r="W3018">
            <v>0.55</v>
          </cell>
        </row>
        <row r="3019">
          <cell r="U3019" t="str">
            <v>南安店</v>
          </cell>
          <cell r="V3019" t="str">
            <v>2026-2-23</v>
          </cell>
          <cell r="W3019">
            <v>0</v>
          </cell>
        </row>
        <row r="3020">
          <cell r="U3020" t="str">
            <v>高新店</v>
          </cell>
          <cell r="V3020" t="str">
            <v>2026-2-24</v>
          </cell>
          <cell r="W3020">
            <v>47.39</v>
          </cell>
        </row>
        <row r="3021">
          <cell r="U3021" t="str">
            <v>金牛店</v>
          </cell>
          <cell r="V3021" t="str">
            <v>2026-2-24</v>
          </cell>
          <cell r="W3021">
            <v>0</v>
          </cell>
        </row>
        <row r="3022">
          <cell r="U3022" t="str">
            <v>成华店</v>
          </cell>
          <cell r="V3022" t="str">
            <v>2026-2-24</v>
          </cell>
          <cell r="W3022">
            <v>2.79</v>
          </cell>
        </row>
        <row r="3023">
          <cell r="U3023" t="str">
            <v>西山店</v>
          </cell>
          <cell r="V3023" t="str">
            <v>2026-2-24</v>
          </cell>
          <cell r="W3023">
            <v>18.32</v>
          </cell>
        </row>
        <row r="3024">
          <cell r="U3024" t="str">
            <v>百捷店</v>
          </cell>
          <cell r="V3024" t="str">
            <v>2026-2-24</v>
          </cell>
          <cell r="W3024">
            <v>25.29</v>
          </cell>
        </row>
        <row r="3025">
          <cell r="U3025" t="str">
            <v>沙坪坝店</v>
          </cell>
          <cell r="V3025" t="str">
            <v>2026-2-24</v>
          </cell>
          <cell r="W3025">
            <v>10.26</v>
          </cell>
        </row>
        <row r="3026">
          <cell r="U3026" t="str">
            <v>五路口店</v>
          </cell>
          <cell r="V3026" t="str">
            <v>2026-2-24</v>
          </cell>
          <cell r="W3026">
            <v>3.33</v>
          </cell>
        </row>
        <row r="3027">
          <cell r="U3027" t="str">
            <v>济南店</v>
          </cell>
          <cell r="V3027" t="str">
            <v>2026-2-24</v>
          </cell>
          <cell r="W3027">
            <v>0.02</v>
          </cell>
        </row>
        <row r="3028">
          <cell r="U3028" t="str">
            <v>青羊店</v>
          </cell>
          <cell r="V3028" t="str">
            <v>2026-2-24</v>
          </cell>
          <cell r="W3028">
            <v>29.47</v>
          </cell>
        </row>
        <row r="3029">
          <cell r="U3029" t="str">
            <v>观音桥店</v>
          </cell>
          <cell r="V3029" t="str">
            <v>2026-2-24</v>
          </cell>
          <cell r="W3029">
            <v>62.91</v>
          </cell>
        </row>
        <row r="3030">
          <cell r="U3030" t="str">
            <v>西湖店</v>
          </cell>
          <cell r="V3030" t="str">
            <v>2026-2-24</v>
          </cell>
          <cell r="W3030">
            <v>58.69</v>
          </cell>
        </row>
        <row r="3031">
          <cell r="U3031" t="str">
            <v>诚毅店</v>
          </cell>
          <cell r="V3031" t="str">
            <v>2026-2-24</v>
          </cell>
          <cell r="W3031">
            <v>28.15</v>
          </cell>
        </row>
        <row r="3032">
          <cell r="U3032" t="str">
            <v>湖里店</v>
          </cell>
          <cell r="V3032" t="str">
            <v>2026-2-24</v>
          </cell>
          <cell r="W3032">
            <v>50.62</v>
          </cell>
        </row>
        <row r="3033">
          <cell r="U3033" t="str">
            <v>东新店</v>
          </cell>
          <cell r="V3033" t="str">
            <v>2026-2-24</v>
          </cell>
          <cell r="W3033">
            <v>0.27</v>
          </cell>
        </row>
        <row r="3034">
          <cell r="U3034" t="str">
            <v>泉秀店</v>
          </cell>
          <cell r="V3034" t="str">
            <v>2026-2-24</v>
          </cell>
          <cell r="W3034">
            <v>29.07</v>
          </cell>
        </row>
        <row r="3035">
          <cell r="U3035" t="str">
            <v>大坪店</v>
          </cell>
          <cell r="V3035" t="str">
            <v>2026-2-24</v>
          </cell>
          <cell r="W3035">
            <v>34.97</v>
          </cell>
        </row>
        <row r="3036">
          <cell r="U3036" t="str">
            <v>凤城二路店</v>
          </cell>
          <cell r="V3036" t="str">
            <v>2026-2-24</v>
          </cell>
          <cell r="W3036">
            <v>51.82</v>
          </cell>
        </row>
        <row r="3037">
          <cell r="U3037" t="str">
            <v>洛江店</v>
          </cell>
          <cell r="V3037" t="str">
            <v>2026-2-24</v>
          </cell>
          <cell r="W3037">
            <v>33.43</v>
          </cell>
        </row>
        <row r="3038">
          <cell r="U3038" t="str">
            <v>官渡店</v>
          </cell>
          <cell r="V3038" t="str">
            <v>2026-2-24</v>
          </cell>
          <cell r="W3038">
            <v>0</v>
          </cell>
        </row>
        <row r="3039">
          <cell r="U3039" t="str">
            <v>武侯店</v>
          </cell>
          <cell r="V3039" t="str">
            <v>2026-2-24</v>
          </cell>
          <cell r="W3039">
            <v>49.04</v>
          </cell>
        </row>
        <row r="3040">
          <cell r="U3040" t="str">
            <v>黄雁村店</v>
          </cell>
          <cell r="V3040" t="str">
            <v>2026-2-24</v>
          </cell>
          <cell r="W3040">
            <v>2.89</v>
          </cell>
        </row>
        <row r="3041">
          <cell r="U3041" t="str">
            <v>五华店</v>
          </cell>
          <cell r="V3041" t="str">
            <v>2026-2-24</v>
          </cell>
          <cell r="W3041">
            <v>22.26</v>
          </cell>
        </row>
        <row r="3042">
          <cell r="U3042" t="str">
            <v>长沙店</v>
          </cell>
          <cell r="V3042" t="str">
            <v>2026-2-24</v>
          </cell>
          <cell r="W3042">
            <v>1.89</v>
          </cell>
        </row>
        <row r="3043">
          <cell r="U3043" t="str">
            <v>鼓楼店</v>
          </cell>
          <cell r="V3043" t="str">
            <v>2026-2-24</v>
          </cell>
          <cell r="W3043">
            <v>1.59</v>
          </cell>
        </row>
        <row r="3044">
          <cell r="U3044" t="str">
            <v>文昌店</v>
          </cell>
          <cell r="V3044" t="str">
            <v>2026-2-24</v>
          </cell>
          <cell r="W3044">
            <v>11.62</v>
          </cell>
        </row>
        <row r="3045">
          <cell r="U3045" t="str">
            <v>百丈店</v>
          </cell>
          <cell r="V3045" t="str">
            <v>2026-2-24</v>
          </cell>
          <cell r="W3045">
            <v>1.03</v>
          </cell>
        </row>
        <row r="3046">
          <cell r="U3046" t="str">
            <v>观桥店</v>
          </cell>
          <cell r="V3046" t="str">
            <v>2026-2-24</v>
          </cell>
          <cell r="W3046">
            <v>10.91</v>
          </cell>
        </row>
        <row r="3047">
          <cell r="U3047" t="str">
            <v>余杭店</v>
          </cell>
          <cell r="V3047" t="str">
            <v>2026-2-24</v>
          </cell>
          <cell r="W3047">
            <v>11.15</v>
          </cell>
        </row>
        <row r="3048">
          <cell r="U3048" t="str">
            <v>首山店</v>
          </cell>
          <cell r="V3048" t="str">
            <v>2026-2-24</v>
          </cell>
          <cell r="W3048">
            <v>40.67</v>
          </cell>
        </row>
        <row r="3049">
          <cell r="U3049" t="str">
            <v>文灶店</v>
          </cell>
          <cell r="V3049" t="str">
            <v>2026-2-24</v>
          </cell>
          <cell r="W3049">
            <v>35.11</v>
          </cell>
        </row>
        <row r="3050">
          <cell r="U3050" t="str">
            <v>首南店</v>
          </cell>
          <cell r="V3050" t="str">
            <v>2026-2-24</v>
          </cell>
          <cell r="W3050">
            <v>3.7</v>
          </cell>
        </row>
        <row r="3051">
          <cell r="U3051" t="str">
            <v>东海店</v>
          </cell>
          <cell r="V3051" t="str">
            <v>2026-2-24</v>
          </cell>
          <cell r="W3051">
            <v>17.9</v>
          </cell>
        </row>
        <row r="3052">
          <cell r="U3052" t="str">
            <v>滨江店</v>
          </cell>
          <cell r="V3052" t="str">
            <v>2026-2-24</v>
          </cell>
          <cell r="W3052">
            <v>0.93</v>
          </cell>
        </row>
        <row r="3053">
          <cell r="U3053" t="str">
            <v>下沙店</v>
          </cell>
          <cell r="V3053" t="str">
            <v>2026-2-24</v>
          </cell>
          <cell r="W3053">
            <v>2.88</v>
          </cell>
        </row>
        <row r="3054">
          <cell r="U3054" t="str">
            <v>南安店</v>
          </cell>
          <cell r="V3054" t="str">
            <v>2026-2-24</v>
          </cell>
          <cell r="W3054">
            <v>0</v>
          </cell>
        </row>
        <row r="3055">
          <cell r="U3055" t="str">
            <v>启点店</v>
          </cell>
          <cell r="V3055" t="str">
            <v>2026-2-25</v>
          </cell>
          <cell r="W3055">
            <v>0</v>
          </cell>
        </row>
        <row r="3056">
          <cell r="U3056" t="str">
            <v>高新店</v>
          </cell>
          <cell r="V3056" t="str">
            <v>2026-2-25</v>
          </cell>
          <cell r="W3056">
            <v>36.23</v>
          </cell>
        </row>
        <row r="3057">
          <cell r="U3057" t="str">
            <v>金牛店</v>
          </cell>
          <cell r="V3057" t="str">
            <v>2026-2-25</v>
          </cell>
          <cell r="W3057">
            <v>3.01</v>
          </cell>
        </row>
        <row r="3058">
          <cell r="U3058" t="str">
            <v>成华店</v>
          </cell>
          <cell r="V3058" t="str">
            <v>2026-2-25</v>
          </cell>
          <cell r="W3058">
            <v>2.55</v>
          </cell>
        </row>
        <row r="3059">
          <cell r="U3059" t="str">
            <v>西山店</v>
          </cell>
          <cell r="V3059" t="str">
            <v>2026-2-25</v>
          </cell>
          <cell r="W3059">
            <v>28.09</v>
          </cell>
        </row>
        <row r="3060">
          <cell r="U3060" t="str">
            <v>百捷店</v>
          </cell>
          <cell r="V3060" t="str">
            <v>2026-2-25</v>
          </cell>
          <cell r="W3060">
            <v>57.58</v>
          </cell>
        </row>
        <row r="3061">
          <cell r="U3061" t="str">
            <v>沙坪坝店</v>
          </cell>
          <cell r="V3061" t="str">
            <v>2026-2-25</v>
          </cell>
          <cell r="W3061">
            <v>23.36</v>
          </cell>
        </row>
        <row r="3062">
          <cell r="U3062" t="str">
            <v>五路口店</v>
          </cell>
          <cell r="V3062" t="str">
            <v>2026-2-25</v>
          </cell>
          <cell r="W3062">
            <v>2.66</v>
          </cell>
        </row>
        <row r="3063">
          <cell r="U3063" t="str">
            <v>济南店</v>
          </cell>
          <cell r="V3063" t="str">
            <v>2026-2-25</v>
          </cell>
          <cell r="W3063">
            <v>28.08</v>
          </cell>
        </row>
        <row r="3064">
          <cell r="U3064" t="str">
            <v>青羊店</v>
          </cell>
          <cell r="V3064" t="str">
            <v>2026-2-25</v>
          </cell>
          <cell r="W3064">
            <v>30.19</v>
          </cell>
        </row>
        <row r="3065">
          <cell r="U3065" t="str">
            <v>观音桥店</v>
          </cell>
          <cell r="V3065" t="str">
            <v>2026-2-25</v>
          </cell>
          <cell r="W3065">
            <v>84.58</v>
          </cell>
        </row>
        <row r="3066">
          <cell r="U3066" t="str">
            <v>西湖店</v>
          </cell>
          <cell r="V3066" t="str">
            <v>2026-2-25</v>
          </cell>
          <cell r="W3066">
            <v>106.17</v>
          </cell>
        </row>
        <row r="3067">
          <cell r="U3067" t="str">
            <v>诚毅店</v>
          </cell>
          <cell r="V3067" t="str">
            <v>2026-2-25</v>
          </cell>
          <cell r="W3067">
            <v>43.47</v>
          </cell>
        </row>
        <row r="3068">
          <cell r="U3068" t="str">
            <v>湖里店</v>
          </cell>
          <cell r="V3068" t="str">
            <v>2026-2-25</v>
          </cell>
          <cell r="W3068">
            <v>71.42</v>
          </cell>
        </row>
        <row r="3069">
          <cell r="U3069" t="str">
            <v>东新店</v>
          </cell>
          <cell r="V3069" t="str">
            <v>2026-2-25</v>
          </cell>
          <cell r="W3069">
            <v>7.04</v>
          </cell>
        </row>
        <row r="3070">
          <cell r="U3070" t="str">
            <v>泉秀店</v>
          </cell>
          <cell r="V3070" t="str">
            <v>2026-2-25</v>
          </cell>
          <cell r="W3070">
            <v>17.71</v>
          </cell>
        </row>
        <row r="3071">
          <cell r="U3071" t="str">
            <v>大坪店</v>
          </cell>
          <cell r="V3071" t="str">
            <v>2026-2-25</v>
          </cell>
          <cell r="W3071">
            <v>60.02</v>
          </cell>
        </row>
        <row r="3072">
          <cell r="U3072" t="str">
            <v>凤城二路店</v>
          </cell>
          <cell r="V3072" t="str">
            <v>2026-2-25</v>
          </cell>
          <cell r="W3072">
            <v>66.07</v>
          </cell>
        </row>
        <row r="3073">
          <cell r="U3073" t="str">
            <v>洛江店</v>
          </cell>
          <cell r="V3073" t="str">
            <v>2026-2-25</v>
          </cell>
          <cell r="W3073">
            <v>34.55</v>
          </cell>
        </row>
        <row r="3074">
          <cell r="U3074" t="str">
            <v>官渡店</v>
          </cell>
          <cell r="V3074" t="str">
            <v>2026-2-25</v>
          </cell>
          <cell r="W3074">
            <v>0</v>
          </cell>
        </row>
        <row r="3075">
          <cell r="U3075" t="str">
            <v>武侯店</v>
          </cell>
          <cell r="V3075" t="str">
            <v>2026-2-25</v>
          </cell>
          <cell r="W3075">
            <v>31.63</v>
          </cell>
        </row>
        <row r="3076">
          <cell r="U3076" t="str">
            <v>黄雁村店</v>
          </cell>
          <cell r="V3076" t="str">
            <v>2026-2-25</v>
          </cell>
          <cell r="W3076">
            <v>5.57</v>
          </cell>
        </row>
        <row r="3077">
          <cell r="U3077" t="str">
            <v>五华店</v>
          </cell>
          <cell r="V3077" t="str">
            <v>2026-2-25</v>
          </cell>
          <cell r="W3077">
            <v>24.16</v>
          </cell>
        </row>
        <row r="3078">
          <cell r="U3078" t="str">
            <v>长沙店</v>
          </cell>
          <cell r="V3078" t="str">
            <v>2026-2-25</v>
          </cell>
          <cell r="W3078">
            <v>0.68</v>
          </cell>
        </row>
        <row r="3079">
          <cell r="U3079" t="str">
            <v>鼓楼店</v>
          </cell>
          <cell r="V3079" t="str">
            <v>2026-2-25</v>
          </cell>
          <cell r="W3079">
            <v>9.64</v>
          </cell>
        </row>
        <row r="3080">
          <cell r="U3080" t="str">
            <v>文昌店</v>
          </cell>
          <cell r="V3080" t="str">
            <v>2026-2-25</v>
          </cell>
          <cell r="W3080">
            <v>14.1</v>
          </cell>
        </row>
        <row r="3081">
          <cell r="U3081" t="str">
            <v>百丈店</v>
          </cell>
          <cell r="V3081" t="str">
            <v>2026-2-25</v>
          </cell>
          <cell r="W3081">
            <v>0.33</v>
          </cell>
        </row>
        <row r="3082">
          <cell r="U3082" t="str">
            <v>观桥店</v>
          </cell>
          <cell r="V3082" t="str">
            <v>2026-2-25</v>
          </cell>
          <cell r="W3082">
            <v>12.29</v>
          </cell>
        </row>
        <row r="3083">
          <cell r="U3083" t="str">
            <v>余杭店</v>
          </cell>
          <cell r="V3083" t="str">
            <v>2026-2-25</v>
          </cell>
          <cell r="W3083">
            <v>5.36</v>
          </cell>
        </row>
        <row r="3084">
          <cell r="U3084" t="str">
            <v>首山店</v>
          </cell>
          <cell r="V3084" t="str">
            <v>2026-2-25</v>
          </cell>
          <cell r="W3084">
            <v>77.28</v>
          </cell>
        </row>
        <row r="3085">
          <cell r="U3085" t="str">
            <v>文灶店</v>
          </cell>
          <cell r="V3085" t="str">
            <v>2026-2-25</v>
          </cell>
          <cell r="W3085">
            <v>11.24</v>
          </cell>
        </row>
        <row r="3086">
          <cell r="U3086" t="str">
            <v>首南店</v>
          </cell>
          <cell r="V3086" t="str">
            <v>2026-2-25</v>
          </cell>
          <cell r="W3086">
            <v>5.56</v>
          </cell>
        </row>
        <row r="3087">
          <cell r="U3087" t="str">
            <v>东海店</v>
          </cell>
          <cell r="V3087" t="str">
            <v>2026-2-25</v>
          </cell>
          <cell r="W3087">
            <v>16.83</v>
          </cell>
        </row>
        <row r="3088">
          <cell r="U3088" t="str">
            <v>滨江店</v>
          </cell>
          <cell r="V3088" t="str">
            <v>2026-2-25</v>
          </cell>
          <cell r="W3088">
            <v>4.66</v>
          </cell>
        </row>
        <row r="3089">
          <cell r="U3089" t="str">
            <v>下沙店</v>
          </cell>
          <cell r="V3089" t="str">
            <v>2026-2-25</v>
          </cell>
          <cell r="W3089">
            <v>2.1</v>
          </cell>
        </row>
        <row r="3090">
          <cell r="U3090" t="str">
            <v>南安店</v>
          </cell>
          <cell r="V3090" t="str">
            <v>2026-2-25</v>
          </cell>
          <cell r="W3090">
            <v>0</v>
          </cell>
        </row>
        <row r="3091">
          <cell r="U3091" t="str">
            <v>启点店</v>
          </cell>
          <cell r="V3091" t="str">
            <v>2026-2-26</v>
          </cell>
          <cell r="W3091">
            <v>2.99</v>
          </cell>
        </row>
        <row r="3092">
          <cell r="U3092" t="str">
            <v>高新店</v>
          </cell>
          <cell r="V3092" t="str">
            <v>2026-2-26</v>
          </cell>
          <cell r="W3092">
            <v>53.67</v>
          </cell>
        </row>
        <row r="3093">
          <cell r="U3093" t="str">
            <v>金牛店</v>
          </cell>
          <cell r="V3093" t="str">
            <v>2026-2-26</v>
          </cell>
          <cell r="W3093">
            <v>0.08</v>
          </cell>
        </row>
        <row r="3094">
          <cell r="U3094" t="str">
            <v>成华店</v>
          </cell>
          <cell r="V3094" t="str">
            <v>2026-2-26</v>
          </cell>
          <cell r="W3094">
            <v>5.4</v>
          </cell>
        </row>
        <row r="3095">
          <cell r="U3095" t="str">
            <v>西山店</v>
          </cell>
          <cell r="V3095" t="str">
            <v>2026-2-26</v>
          </cell>
          <cell r="W3095">
            <v>15.65</v>
          </cell>
        </row>
        <row r="3096">
          <cell r="U3096" t="str">
            <v>百捷店</v>
          </cell>
          <cell r="V3096" t="str">
            <v>2026-2-26</v>
          </cell>
          <cell r="W3096">
            <v>38.61</v>
          </cell>
        </row>
        <row r="3097">
          <cell r="U3097" t="str">
            <v>沙坪坝店</v>
          </cell>
          <cell r="V3097" t="str">
            <v>2026-2-26</v>
          </cell>
          <cell r="W3097">
            <v>47.81</v>
          </cell>
        </row>
        <row r="3098">
          <cell r="U3098" t="str">
            <v>五路口店</v>
          </cell>
          <cell r="V3098" t="str">
            <v>2026-2-26</v>
          </cell>
          <cell r="W3098">
            <v>11.84</v>
          </cell>
        </row>
        <row r="3099">
          <cell r="U3099" t="str">
            <v>济南店</v>
          </cell>
          <cell r="V3099" t="str">
            <v>2026-2-26</v>
          </cell>
          <cell r="W3099">
            <v>60.43</v>
          </cell>
        </row>
        <row r="3100">
          <cell r="U3100" t="str">
            <v>青羊店</v>
          </cell>
          <cell r="V3100" t="str">
            <v>2026-2-26</v>
          </cell>
          <cell r="W3100">
            <v>28.04</v>
          </cell>
        </row>
        <row r="3101">
          <cell r="U3101" t="str">
            <v>观音桥店</v>
          </cell>
          <cell r="V3101" t="str">
            <v>2026-2-26</v>
          </cell>
          <cell r="W3101">
            <v>86.17</v>
          </cell>
        </row>
        <row r="3102">
          <cell r="U3102" t="str">
            <v>西湖店</v>
          </cell>
          <cell r="V3102" t="str">
            <v>2026-2-26</v>
          </cell>
          <cell r="W3102">
            <v>93.83</v>
          </cell>
        </row>
        <row r="3103">
          <cell r="U3103" t="str">
            <v>诚毅店</v>
          </cell>
          <cell r="V3103" t="str">
            <v>2026-2-26</v>
          </cell>
          <cell r="W3103">
            <v>50.97</v>
          </cell>
        </row>
        <row r="3104">
          <cell r="U3104" t="str">
            <v>湖里店</v>
          </cell>
          <cell r="V3104" t="str">
            <v>2026-2-26</v>
          </cell>
          <cell r="W3104">
            <v>59.59</v>
          </cell>
        </row>
        <row r="3105">
          <cell r="U3105" t="str">
            <v>东新店</v>
          </cell>
          <cell r="V3105" t="str">
            <v>2026-2-26</v>
          </cell>
          <cell r="W3105">
            <v>38.63</v>
          </cell>
        </row>
        <row r="3106">
          <cell r="U3106" t="str">
            <v>泉秀店</v>
          </cell>
          <cell r="V3106" t="str">
            <v>2026-2-26</v>
          </cell>
          <cell r="W3106">
            <v>21.86</v>
          </cell>
        </row>
        <row r="3107">
          <cell r="U3107" t="str">
            <v>大坪店</v>
          </cell>
          <cell r="V3107" t="str">
            <v>2026-2-26</v>
          </cell>
          <cell r="W3107">
            <v>35.65</v>
          </cell>
        </row>
        <row r="3108">
          <cell r="U3108" t="str">
            <v>凤城二路店</v>
          </cell>
          <cell r="V3108" t="str">
            <v>2026-2-26</v>
          </cell>
          <cell r="W3108">
            <v>42.74</v>
          </cell>
        </row>
        <row r="3109">
          <cell r="U3109" t="str">
            <v>洛江店</v>
          </cell>
          <cell r="V3109" t="str">
            <v>2026-2-26</v>
          </cell>
          <cell r="W3109">
            <v>15.16</v>
          </cell>
        </row>
        <row r="3110">
          <cell r="U3110" t="str">
            <v>官渡店</v>
          </cell>
          <cell r="V3110" t="str">
            <v>2026-2-26</v>
          </cell>
          <cell r="W3110">
            <v>1.82</v>
          </cell>
        </row>
        <row r="3111">
          <cell r="U3111" t="str">
            <v>武侯店</v>
          </cell>
          <cell r="V3111" t="str">
            <v>2026-2-26</v>
          </cell>
          <cell r="W3111">
            <v>28.31</v>
          </cell>
        </row>
        <row r="3112">
          <cell r="U3112" t="str">
            <v>黄雁村店</v>
          </cell>
          <cell r="V3112" t="str">
            <v>2026-2-26</v>
          </cell>
          <cell r="W3112">
            <v>21.2</v>
          </cell>
        </row>
        <row r="3113">
          <cell r="U3113" t="str">
            <v>五华店</v>
          </cell>
          <cell r="V3113" t="str">
            <v>2026-2-26</v>
          </cell>
          <cell r="W3113">
            <v>32.22</v>
          </cell>
        </row>
        <row r="3114">
          <cell r="U3114" t="str">
            <v>长沙店</v>
          </cell>
          <cell r="V3114" t="str">
            <v>2026-2-26</v>
          </cell>
          <cell r="W3114">
            <v>3.25</v>
          </cell>
        </row>
        <row r="3115">
          <cell r="U3115" t="str">
            <v>鼓楼店</v>
          </cell>
          <cell r="V3115" t="str">
            <v>2026-2-26</v>
          </cell>
          <cell r="W3115">
            <v>3.77</v>
          </cell>
        </row>
        <row r="3116">
          <cell r="U3116" t="str">
            <v>文昌店</v>
          </cell>
          <cell r="V3116" t="str">
            <v>2026-2-26</v>
          </cell>
          <cell r="W3116">
            <v>8.97</v>
          </cell>
        </row>
        <row r="3117">
          <cell r="U3117" t="str">
            <v>百丈店</v>
          </cell>
          <cell r="V3117" t="str">
            <v>2026-2-26</v>
          </cell>
          <cell r="W3117">
            <v>0</v>
          </cell>
        </row>
        <row r="3118">
          <cell r="U3118" t="str">
            <v>观桥店</v>
          </cell>
          <cell r="V3118" t="str">
            <v>2026-2-26</v>
          </cell>
          <cell r="W3118">
            <v>18.41</v>
          </cell>
        </row>
        <row r="3119">
          <cell r="U3119" t="str">
            <v>余杭店</v>
          </cell>
          <cell r="V3119" t="str">
            <v>2026-2-26</v>
          </cell>
          <cell r="W3119">
            <v>11.69</v>
          </cell>
        </row>
        <row r="3120">
          <cell r="U3120" t="str">
            <v>首山店</v>
          </cell>
          <cell r="V3120" t="str">
            <v>2026-2-26</v>
          </cell>
          <cell r="W3120">
            <v>39.35</v>
          </cell>
        </row>
        <row r="3121">
          <cell r="U3121" t="str">
            <v>文灶店</v>
          </cell>
          <cell r="V3121" t="str">
            <v>2026-2-26</v>
          </cell>
          <cell r="W3121">
            <v>32.78</v>
          </cell>
        </row>
        <row r="3122">
          <cell r="U3122" t="str">
            <v>首南店</v>
          </cell>
          <cell r="V3122" t="str">
            <v>2026-2-26</v>
          </cell>
          <cell r="W3122">
            <v>2.2</v>
          </cell>
        </row>
        <row r="3123">
          <cell r="U3123" t="str">
            <v>东海店</v>
          </cell>
          <cell r="V3123" t="str">
            <v>2026-2-26</v>
          </cell>
          <cell r="W3123">
            <v>25.74</v>
          </cell>
        </row>
        <row r="3124">
          <cell r="U3124" t="str">
            <v>滨江店</v>
          </cell>
          <cell r="V3124" t="str">
            <v>2026-2-26</v>
          </cell>
          <cell r="W3124">
            <v>0.15</v>
          </cell>
        </row>
        <row r="3125">
          <cell r="U3125" t="str">
            <v>下沙店</v>
          </cell>
          <cell r="V3125" t="str">
            <v>2026-2-26</v>
          </cell>
          <cell r="W3125">
            <v>1.44</v>
          </cell>
        </row>
        <row r="3126">
          <cell r="U3126" t="str">
            <v>南安店</v>
          </cell>
          <cell r="V3126" t="str">
            <v>2026-2-26</v>
          </cell>
          <cell r="W3126">
            <v>0</v>
          </cell>
        </row>
        <row r="3127">
          <cell r="U3127" t="str">
            <v>启点店</v>
          </cell>
          <cell r="V3127" t="str">
            <v>2026-2-27</v>
          </cell>
          <cell r="W3127">
            <v>6.23</v>
          </cell>
        </row>
        <row r="3128">
          <cell r="U3128" t="str">
            <v>高新店</v>
          </cell>
          <cell r="V3128" t="str">
            <v>2026-2-27</v>
          </cell>
          <cell r="W3128">
            <v>21.24</v>
          </cell>
        </row>
        <row r="3129">
          <cell r="U3129" t="str">
            <v>金牛店</v>
          </cell>
          <cell r="V3129" t="str">
            <v>2026-2-27</v>
          </cell>
          <cell r="W3129">
            <v>0.71</v>
          </cell>
        </row>
        <row r="3130">
          <cell r="U3130" t="str">
            <v>成华店</v>
          </cell>
          <cell r="V3130" t="str">
            <v>2026-2-27</v>
          </cell>
          <cell r="W3130">
            <v>1.46</v>
          </cell>
        </row>
        <row r="3131">
          <cell r="U3131" t="str">
            <v>西山店</v>
          </cell>
          <cell r="V3131" t="str">
            <v>2026-2-27</v>
          </cell>
          <cell r="W3131">
            <v>19.24</v>
          </cell>
        </row>
        <row r="3132">
          <cell r="U3132" t="str">
            <v>百捷店</v>
          </cell>
          <cell r="V3132" t="str">
            <v>2026-2-27</v>
          </cell>
          <cell r="W3132">
            <v>30.22</v>
          </cell>
        </row>
        <row r="3133">
          <cell r="U3133" t="str">
            <v>沙坪坝店</v>
          </cell>
          <cell r="V3133" t="str">
            <v>2026-2-27</v>
          </cell>
          <cell r="W3133">
            <v>35.15</v>
          </cell>
        </row>
        <row r="3134">
          <cell r="U3134" t="str">
            <v>五路口店</v>
          </cell>
          <cell r="V3134" t="str">
            <v>2026-2-27</v>
          </cell>
          <cell r="W3134">
            <v>64.58</v>
          </cell>
        </row>
        <row r="3135">
          <cell r="U3135" t="str">
            <v>济南店</v>
          </cell>
          <cell r="V3135" t="str">
            <v>2026-2-27</v>
          </cell>
          <cell r="W3135">
            <v>56.06</v>
          </cell>
        </row>
        <row r="3136">
          <cell r="U3136" t="str">
            <v>青羊店</v>
          </cell>
          <cell r="V3136" t="str">
            <v>2026-2-27</v>
          </cell>
          <cell r="W3136">
            <v>58.24</v>
          </cell>
        </row>
        <row r="3137">
          <cell r="U3137" t="str">
            <v>观音桥店</v>
          </cell>
          <cell r="V3137" t="str">
            <v>2026-2-27</v>
          </cell>
          <cell r="W3137">
            <v>60.14</v>
          </cell>
        </row>
        <row r="3138">
          <cell r="U3138" t="str">
            <v>西湖店</v>
          </cell>
          <cell r="V3138" t="str">
            <v>2026-2-27</v>
          </cell>
          <cell r="W3138">
            <v>48.9</v>
          </cell>
        </row>
        <row r="3139">
          <cell r="U3139" t="str">
            <v>诚毅店</v>
          </cell>
          <cell r="V3139" t="str">
            <v>2026-2-27</v>
          </cell>
          <cell r="W3139">
            <v>21.09</v>
          </cell>
        </row>
        <row r="3140">
          <cell r="U3140" t="str">
            <v>湖里店</v>
          </cell>
          <cell r="V3140" t="str">
            <v>2026-2-27</v>
          </cell>
          <cell r="W3140">
            <v>65.9</v>
          </cell>
        </row>
        <row r="3141">
          <cell r="U3141" t="str">
            <v>东新店</v>
          </cell>
          <cell r="V3141" t="str">
            <v>2026-2-27</v>
          </cell>
          <cell r="W3141">
            <v>67.32</v>
          </cell>
        </row>
        <row r="3142">
          <cell r="U3142" t="str">
            <v>泉秀店</v>
          </cell>
          <cell r="V3142" t="str">
            <v>2026-2-27</v>
          </cell>
          <cell r="W3142">
            <v>32.31</v>
          </cell>
        </row>
        <row r="3143">
          <cell r="U3143" t="str">
            <v>大坪店</v>
          </cell>
          <cell r="V3143" t="str">
            <v>2026-2-27</v>
          </cell>
          <cell r="W3143">
            <v>54.23</v>
          </cell>
        </row>
        <row r="3144">
          <cell r="U3144" t="str">
            <v>凤城二路店</v>
          </cell>
          <cell r="V3144" t="str">
            <v>2026-2-27</v>
          </cell>
          <cell r="W3144">
            <v>46.16</v>
          </cell>
        </row>
        <row r="3145">
          <cell r="U3145" t="str">
            <v>洛江店</v>
          </cell>
          <cell r="V3145" t="str">
            <v>2026-2-27</v>
          </cell>
          <cell r="W3145">
            <v>0</v>
          </cell>
        </row>
        <row r="3146">
          <cell r="U3146" t="str">
            <v>官渡店</v>
          </cell>
          <cell r="V3146" t="str">
            <v>2026-2-27</v>
          </cell>
          <cell r="W3146">
            <v>1.52</v>
          </cell>
        </row>
        <row r="3147">
          <cell r="U3147" t="str">
            <v>武侯店</v>
          </cell>
          <cell r="V3147" t="str">
            <v>2026-2-27</v>
          </cell>
          <cell r="W3147">
            <v>34.16</v>
          </cell>
        </row>
        <row r="3148">
          <cell r="U3148" t="str">
            <v>黄雁村店</v>
          </cell>
          <cell r="V3148" t="str">
            <v>2026-2-27</v>
          </cell>
          <cell r="W3148">
            <v>60.43</v>
          </cell>
        </row>
        <row r="3149">
          <cell r="U3149" t="str">
            <v>五华店</v>
          </cell>
          <cell r="V3149" t="str">
            <v>2026-2-27</v>
          </cell>
          <cell r="W3149">
            <v>47.02</v>
          </cell>
        </row>
        <row r="3150">
          <cell r="U3150" t="str">
            <v>长沙店</v>
          </cell>
          <cell r="V3150" t="str">
            <v>2026-2-27</v>
          </cell>
          <cell r="W3150">
            <v>0.31</v>
          </cell>
        </row>
        <row r="3151">
          <cell r="U3151" t="str">
            <v>鼓楼店</v>
          </cell>
          <cell r="V3151" t="str">
            <v>2026-2-27</v>
          </cell>
          <cell r="W3151">
            <v>6.52</v>
          </cell>
        </row>
        <row r="3152">
          <cell r="U3152" t="str">
            <v>文昌店</v>
          </cell>
          <cell r="V3152" t="str">
            <v>2026-2-27</v>
          </cell>
          <cell r="W3152">
            <v>42.42</v>
          </cell>
        </row>
        <row r="3153">
          <cell r="U3153" t="str">
            <v>百丈店</v>
          </cell>
          <cell r="V3153" t="str">
            <v>2026-2-27</v>
          </cell>
          <cell r="W3153">
            <v>22.25</v>
          </cell>
        </row>
        <row r="3154">
          <cell r="U3154" t="str">
            <v>观桥店</v>
          </cell>
          <cell r="V3154" t="str">
            <v>2026-2-27</v>
          </cell>
          <cell r="W3154">
            <v>5.83</v>
          </cell>
        </row>
        <row r="3155">
          <cell r="U3155" t="str">
            <v>余杭店</v>
          </cell>
          <cell r="V3155" t="str">
            <v>2026-2-27</v>
          </cell>
          <cell r="W3155">
            <v>13.19</v>
          </cell>
        </row>
        <row r="3156">
          <cell r="U3156" t="str">
            <v>首山店</v>
          </cell>
          <cell r="V3156" t="str">
            <v>2026-2-27</v>
          </cell>
          <cell r="W3156">
            <v>57.12</v>
          </cell>
        </row>
        <row r="3157">
          <cell r="U3157" t="str">
            <v>文灶店</v>
          </cell>
          <cell r="V3157" t="str">
            <v>2026-2-27</v>
          </cell>
          <cell r="W3157">
            <v>6.78</v>
          </cell>
        </row>
        <row r="3158">
          <cell r="U3158" t="str">
            <v>首南店</v>
          </cell>
          <cell r="V3158" t="str">
            <v>2026-2-27</v>
          </cell>
          <cell r="W3158">
            <v>4.28</v>
          </cell>
        </row>
        <row r="3159">
          <cell r="U3159" t="str">
            <v>东海店</v>
          </cell>
          <cell r="V3159" t="str">
            <v>2026-2-27</v>
          </cell>
          <cell r="W3159">
            <v>25.35</v>
          </cell>
        </row>
        <row r="3160">
          <cell r="U3160" t="str">
            <v>东海店</v>
          </cell>
          <cell r="V3160" t="str">
            <v>2026-2-27</v>
          </cell>
          <cell r="W3160">
            <v>14.83</v>
          </cell>
        </row>
        <row r="3161">
          <cell r="U3161" t="str">
            <v>滨江店</v>
          </cell>
          <cell r="V3161" t="str">
            <v>2026-2-27</v>
          </cell>
          <cell r="W3161">
            <v>3.31</v>
          </cell>
        </row>
        <row r="3162">
          <cell r="U3162" t="str">
            <v>下沙店</v>
          </cell>
          <cell r="V3162" t="str">
            <v>2026-2-27</v>
          </cell>
          <cell r="W3162">
            <v>0.15</v>
          </cell>
        </row>
        <row r="3163">
          <cell r="U3163" t="str">
            <v>南安店</v>
          </cell>
          <cell r="V3163" t="str">
            <v>2026-2-27</v>
          </cell>
          <cell r="W3163">
            <v>0</v>
          </cell>
        </row>
        <row r="3164">
          <cell r="U3164" t="str">
            <v>启点店</v>
          </cell>
          <cell r="V3164" t="str">
            <v>2026-2-28</v>
          </cell>
          <cell r="W3164">
            <v>5.25</v>
          </cell>
        </row>
        <row r="3165">
          <cell r="U3165" t="str">
            <v>高新店</v>
          </cell>
          <cell r="V3165" t="str">
            <v>2026-2-28</v>
          </cell>
          <cell r="W3165">
            <v>37.69</v>
          </cell>
        </row>
        <row r="3166">
          <cell r="U3166" t="str">
            <v>金牛店</v>
          </cell>
          <cell r="V3166" t="str">
            <v>2026-2-28</v>
          </cell>
          <cell r="W3166">
            <v>1.27</v>
          </cell>
        </row>
        <row r="3167">
          <cell r="U3167" t="str">
            <v>成华店</v>
          </cell>
          <cell r="V3167" t="str">
            <v>2026-2-28</v>
          </cell>
          <cell r="W3167">
            <v>2.84</v>
          </cell>
        </row>
        <row r="3168">
          <cell r="U3168" t="str">
            <v>西山店</v>
          </cell>
          <cell r="V3168" t="str">
            <v>2026-2-28</v>
          </cell>
          <cell r="W3168">
            <v>22.63</v>
          </cell>
        </row>
        <row r="3169">
          <cell r="U3169" t="str">
            <v>百捷店</v>
          </cell>
          <cell r="V3169" t="str">
            <v>2026-2-28</v>
          </cell>
          <cell r="W3169">
            <v>39.11</v>
          </cell>
        </row>
        <row r="3170">
          <cell r="U3170" t="str">
            <v>沙坪坝店</v>
          </cell>
          <cell r="V3170" t="str">
            <v>2026-2-28</v>
          </cell>
          <cell r="W3170">
            <v>21.26</v>
          </cell>
        </row>
        <row r="3171">
          <cell r="U3171" t="str">
            <v>五路口店</v>
          </cell>
          <cell r="V3171" t="str">
            <v>2026-2-28</v>
          </cell>
          <cell r="W3171">
            <v>51.71</v>
          </cell>
        </row>
        <row r="3172">
          <cell r="U3172" t="str">
            <v>济南店</v>
          </cell>
          <cell r="V3172" t="str">
            <v>2026-2-28</v>
          </cell>
          <cell r="W3172">
            <v>59.08</v>
          </cell>
        </row>
        <row r="3173">
          <cell r="U3173" t="str">
            <v>青羊店</v>
          </cell>
          <cell r="V3173" t="str">
            <v>2026-2-28</v>
          </cell>
          <cell r="W3173">
            <v>28.14</v>
          </cell>
        </row>
        <row r="3174">
          <cell r="U3174" t="str">
            <v>观音桥店</v>
          </cell>
          <cell r="V3174" t="str">
            <v>2026-2-28</v>
          </cell>
          <cell r="W3174">
            <v>58.97</v>
          </cell>
        </row>
        <row r="3175">
          <cell r="U3175" t="str">
            <v>西湖店</v>
          </cell>
          <cell r="V3175" t="str">
            <v>2026-2-28</v>
          </cell>
          <cell r="W3175">
            <v>50.47</v>
          </cell>
        </row>
        <row r="3176">
          <cell r="U3176" t="str">
            <v>诚毅店</v>
          </cell>
          <cell r="V3176" t="str">
            <v>2026-2-28</v>
          </cell>
          <cell r="W3176">
            <v>1.73</v>
          </cell>
        </row>
        <row r="3177">
          <cell r="U3177" t="str">
            <v>湖里店</v>
          </cell>
          <cell r="V3177" t="str">
            <v>2026-2-28</v>
          </cell>
          <cell r="W3177">
            <v>54.07</v>
          </cell>
        </row>
        <row r="3178">
          <cell r="U3178" t="str">
            <v>东新店</v>
          </cell>
          <cell r="V3178" t="str">
            <v>2026-2-28</v>
          </cell>
          <cell r="W3178">
            <v>55.38</v>
          </cell>
        </row>
        <row r="3179">
          <cell r="U3179" t="str">
            <v>泉秀店</v>
          </cell>
          <cell r="V3179" t="str">
            <v>2026-2-28</v>
          </cell>
          <cell r="W3179">
            <v>6.65</v>
          </cell>
        </row>
        <row r="3180">
          <cell r="U3180" t="str">
            <v>大坪店</v>
          </cell>
          <cell r="V3180" t="str">
            <v>2026-2-28</v>
          </cell>
          <cell r="W3180">
            <v>18.49</v>
          </cell>
        </row>
        <row r="3181">
          <cell r="U3181" t="str">
            <v>凤城二路店</v>
          </cell>
          <cell r="V3181" t="str">
            <v>2026-2-28</v>
          </cell>
          <cell r="W3181">
            <v>43.94</v>
          </cell>
        </row>
        <row r="3182">
          <cell r="U3182" t="str">
            <v>洛江店</v>
          </cell>
          <cell r="V3182" t="str">
            <v>2026-2-28</v>
          </cell>
          <cell r="W3182">
            <v>28.17</v>
          </cell>
        </row>
        <row r="3183">
          <cell r="U3183" t="str">
            <v>官渡店</v>
          </cell>
          <cell r="V3183" t="str">
            <v>2026-2-28</v>
          </cell>
          <cell r="W3183">
            <v>0.17</v>
          </cell>
        </row>
        <row r="3184">
          <cell r="U3184" t="str">
            <v>武侯店</v>
          </cell>
          <cell r="V3184" t="str">
            <v>2026-2-28</v>
          </cell>
          <cell r="W3184">
            <v>28.99</v>
          </cell>
        </row>
        <row r="3185">
          <cell r="U3185" t="str">
            <v>黄雁村店</v>
          </cell>
          <cell r="V3185" t="str">
            <v>2026-2-28</v>
          </cell>
          <cell r="W3185">
            <v>64.32</v>
          </cell>
        </row>
        <row r="3186">
          <cell r="U3186" t="str">
            <v>五华店</v>
          </cell>
          <cell r="V3186" t="str">
            <v>2026-2-28</v>
          </cell>
          <cell r="W3186">
            <v>16.43</v>
          </cell>
        </row>
        <row r="3187">
          <cell r="U3187" t="str">
            <v>长沙店</v>
          </cell>
          <cell r="V3187" t="str">
            <v>2026-2-28</v>
          </cell>
          <cell r="W3187">
            <v>0.26</v>
          </cell>
        </row>
        <row r="3188">
          <cell r="U3188" t="str">
            <v>鼓楼店</v>
          </cell>
          <cell r="V3188" t="str">
            <v>2026-2-28</v>
          </cell>
          <cell r="W3188">
            <v>4.24</v>
          </cell>
        </row>
        <row r="3189">
          <cell r="U3189" t="str">
            <v>文昌店</v>
          </cell>
          <cell r="V3189" t="str">
            <v>2026-2-28</v>
          </cell>
          <cell r="W3189">
            <v>20.41</v>
          </cell>
        </row>
        <row r="3190">
          <cell r="U3190" t="str">
            <v>百丈店</v>
          </cell>
          <cell r="V3190" t="str">
            <v>2026-2-28</v>
          </cell>
          <cell r="W3190">
            <v>40.76</v>
          </cell>
        </row>
        <row r="3191">
          <cell r="U3191" t="str">
            <v>观桥店</v>
          </cell>
          <cell r="V3191" t="str">
            <v>2026-2-28</v>
          </cell>
          <cell r="W3191">
            <v>16.2</v>
          </cell>
        </row>
        <row r="3192">
          <cell r="U3192" t="str">
            <v>余杭店</v>
          </cell>
          <cell r="V3192" t="str">
            <v>2026-2-28</v>
          </cell>
          <cell r="W3192">
            <v>6.05</v>
          </cell>
        </row>
        <row r="3193">
          <cell r="U3193" t="str">
            <v>首山店</v>
          </cell>
          <cell r="V3193" t="str">
            <v>2026-2-28</v>
          </cell>
          <cell r="W3193">
            <v>52.46</v>
          </cell>
        </row>
        <row r="3194">
          <cell r="U3194" t="str">
            <v>文灶店</v>
          </cell>
          <cell r="V3194" t="str">
            <v>2026-2-28</v>
          </cell>
          <cell r="W3194">
            <v>7.95</v>
          </cell>
        </row>
        <row r="3195">
          <cell r="U3195" t="str">
            <v>首南店</v>
          </cell>
          <cell r="V3195" t="str">
            <v>2026-2-28</v>
          </cell>
          <cell r="W3195">
            <v>3.6</v>
          </cell>
        </row>
        <row r="3196">
          <cell r="U3196" t="str">
            <v>东海店</v>
          </cell>
          <cell r="V3196" t="str">
            <v>2026-2-28</v>
          </cell>
          <cell r="W3196">
            <v>44.71</v>
          </cell>
        </row>
        <row r="3197">
          <cell r="U3197" t="str">
            <v>东海店</v>
          </cell>
          <cell r="V3197" t="str">
            <v>2026-2-28</v>
          </cell>
          <cell r="W3197">
            <v>27.13</v>
          </cell>
        </row>
        <row r="3198">
          <cell r="U3198" t="str">
            <v>滨江店</v>
          </cell>
          <cell r="V3198" t="str">
            <v>2026-2-28</v>
          </cell>
          <cell r="W3198">
            <v>4.54</v>
          </cell>
        </row>
        <row r="3199">
          <cell r="U3199" t="str">
            <v>下沙店</v>
          </cell>
          <cell r="V3199" t="str">
            <v>2026-2-28</v>
          </cell>
          <cell r="W3199">
            <v>1.68</v>
          </cell>
        </row>
        <row r="3200">
          <cell r="U3200" t="str">
            <v>南安店</v>
          </cell>
          <cell r="V3200" t="str">
            <v>2026-2-28</v>
          </cell>
          <cell r="W3200">
            <v>0.44</v>
          </cell>
        </row>
        <row r="3201">
          <cell r="U3201" t="str">
            <v>南安店</v>
          </cell>
          <cell r="V3201" t="str">
            <v>2026-2-28</v>
          </cell>
          <cell r="W3201">
            <v>1.53</v>
          </cell>
        </row>
        <row r="3202">
          <cell r="U3202" t="str">
            <v>启点店</v>
          </cell>
          <cell r="V3202" t="str">
            <v>2026-3-01</v>
          </cell>
          <cell r="W3202">
            <v>21.11</v>
          </cell>
        </row>
        <row r="3203">
          <cell r="U3203" t="str">
            <v>金牛店</v>
          </cell>
          <cell r="V3203" t="str">
            <v>2026-3-01</v>
          </cell>
          <cell r="W3203">
            <v>0.26</v>
          </cell>
        </row>
        <row r="3204">
          <cell r="U3204" t="str">
            <v>成华店</v>
          </cell>
          <cell r="V3204" t="str">
            <v>2026-3-01</v>
          </cell>
          <cell r="W3204">
            <v>0.72</v>
          </cell>
        </row>
        <row r="3205">
          <cell r="U3205" t="str">
            <v>西山店</v>
          </cell>
          <cell r="V3205" t="str">
            <v>2026-3-01</v>
          </cell>
          <cell r="W3205">
            <v>22.13</v>
          </cell>
        </row>
        <row r="3206">
          <cell r="U3206" t="str">
            <v>百捷店</v>
          </cell>
          <cell r="V3206" t="str">
            <v>2026-3-01</v>
          </cell>
          <cell r="W3206">
            <v>38.1</v>
          </cell>
        </row>
        <row r="3207">
          <cell r="U3207" t="str">
            <v>沙坪坝店</v>
          </cell>
          <cell r="V3207" t="str">
            <v>2026-3-01</v>
          </cell>
          <cell r="W3207">
            <v>31.41</v>
          </cell>
        </row>
        <row r="3208">
          <cell r="U3208" t="str">
            <v>五路口店</v>
          </cell>
          <cell r="V3208" t="str">
            <v>2026-3-01</v>
          </cell>
          <cell r="W3208">
            <v>44.5</v>
          </cell>
        </row>
        <row r="3209">
          <cell r="U3209" t="str">
            <v>济南店</v>
          </cell>
          <cell r="V3209" t="str">
            <v>2026-3-01</v>
          </cell>
          <cell r="W3209">
            <v>52.47</v>
          </cell>
        </row>
        <row r="3210">
          <cell r="U3210" t="str">
            <v>青羊店</v>
          </cell>
          <cell r="V3210" t="str">
            <v>2026-3-01</v>
          </cell>
          <cell r="W3210">
            <v>14.68</v>
          </cell>
        </row>
        <row r="3211">
          <cell r="U3211" t="str">
            <v>观音桥店</v>
          </cell>
          <cell r="V3211" t="str">
            <v>2026-3-01</v>
          </cell>
          <cell r="W3211">
            <v>74</v>
          </cell>
        </row>
        <row r="3212">
          <cell r="U3212" t="str">
            <v>西湖店</v>
          </cell>
          <cell r="V3212" t="str">
            <v>2026-3-01</v>
          </cell>
          <cell r="W3212">
            <v>59.18</v>
          </cell>
        </row>
        <row r="3213">
          <cell r="U3213" t="str">
            <v>诚毅店</v>
          </cell>
          <cell r="V3213" t="str">
            <v>2026-3-01</v>
          </cell>
          <cell r="W3213">
            <v>2.59</v>
          </cell>
        </row>
        <row r="3214">
          <cell r="U3214" t="str">
            <v>湖里店</v>
          </cell>
          <cell r="V3214" t="str">
            <v>2026-3-01</v>
          </cell>
          <cell r="W3214">
            <v>76.8</v>
          </cell>
        </row>
        <row r="3215">
          <cell r="U3215" t="str">
            <v>东新店</v>
          </cell>
          <cell r="V3215" t="str">
            <v>2026-3-01</v>
          </cell>
          <cell r="W3215">
            <v>79.25</v>
          </cell>
        </row>
        <row r="3216">
          <cell r="U3216" t="str">
            <v>泉秀店</v>
          </cell>
          <cell r="V3216" t="str">
            <v>2026-3-01</v>
          </cell>
          <cell r="W3216">
            <v>4.98</v>
          </cell>
        </row>
        <row r="3217">
          <cell r="U3217" t="str">
            <v>大坪店</v>
          </cell>
          <cell r="V3217" t="str">
            <v>2026-3-01</v>
          </cell>
          <cell r="W3217">
            <v>25.99</v>
          </cell>
        </row>
        <row r="3218">
          <cell r="U3218" t="str">
            <v>凤城二路店</v>
          </cell>
          <cell r="V3218" t="str">
            <v>2026-3-01</v>
          </cell>
          <cell r="W3218">
            <v>84.9</v>
          </cell>
        </row>
        <row r="3219">
          <cell r="U3219" t="str">
            <v>洛江店</v>
          </cell>
          <cell r="V3219" t="str">
            <v>2026-3-01</v>
          </cell>
          <cell r="W3219">
            <v>0</v>
          </cell>
        </row>
        <row r="3220">
          <cell r="U3220" t="str">
            <v>官渡店</v>
          </cell>
          <cell r="V3220" t="str">
            <v>2026-3-01</v>
          </cell>
          <cell r="W3220">
            <v>1.28</v>
          </cell>
        </row>
        <row r="3221">
          <cell r="U3221" t="str">
            <v>武侯店</v>
          </cell>
          <cell r="V3221" t="str">
            <v>2026-3-01</v>
          </cell>
          <cell r="W3221">
            <v>31.69</v>
          </cell>
        </row>
        <row r="3222">
          <cell r="U3222" t="str">
            <v>黄雁村店</v>
          </cell>
          <cell r="V3222" t="str">
            <v>2026-3-01</v>
          </cell>
          <cell r="W3222">
            <v>59.64</v>
          </cell>
        </row>
        <row r="3223">
          <cell r="U3223" t="str">
            <v>五华店</v>
          </cell>
          <cell r="V3223" t="str">
            <v>2026-3-01</v>
          </cell>
          <cell r="W3223">
            <v>13.53</v>
          </cell>
        </row>
        <row r="3224">
          <cell r="U3224" t="str">
            <v>长沙店</v>
          </cell>
          <cell r="V3224" t="str">
            <v>2026-3-01</v>
          </cell>
          <cell r="W3224">
            <v>4.65</v>
          </cell>
        </row>
        <row r="3225">
          <cell r="U3225" t="str">
            <v>鼓楼店</v>
          </cell>
          <cell r="V3225" t="str">
            <v>2026-3-01</v>
          </cell>
          <cell r="W3225">
            <v>7.2</v>
          </cell>
        </row>
        <row r="3226">
          <cell r="U3226" t="str">
            <v>文昌店</v>
          </cell>
          <cell r="V3226" t="str">
            <v>2026-3-01</v>
          </cell>
          <cell r="W3226">
            <v>10.61</v>
          </cell>
        </row>
        <row r="3227">
          <cell r="U3227" t="str">
            <v>百丈店</v>
          </cell>
          <cell r="V3227" t="str">
            <v>2026-3-01</v>
          </cell>
          <cell r="W3227">
            <v>57.11</v>
          </cell>
        </row>
        <row r="3228">
          <cell r="U3228" t="str">
            <v>观桥店</v>
          </cell>
          <cell r="V3228" t="str">
            <v>2026-3-01</v>
          </cell>
          <cell r="W3228">
            <v>13.08</v>
          </cell>
        </row>
        <row r="3229">
          <cell r="U3229" t="str">
            <v>余杭店</v>
          </cell>
          <cell r="V3229" t="str">
            <v>2026-3-01</v>
          </cell>
          <cell r="W3229">
            <v>2.44</v>
          </cell>
        </row>
        <row r="3230">
          <cell r="U3230" t="str">
            <v>首山店</v>
          </cell>
          <cell r="V3230" t="str">
            <v>2026-3-01</v>
          </cell>
          <cell r="W3230">
            <v>42.62</v>
          </cell>
        </row>
        <row r="3231">
          <cell r="U3231" t="str">
            <v>文灶店</v>
          </cell>
          <cell r="V3231" t="str">
            <v>2026-3-01</v>
          </cell>
          <cell r="W3231">
            <v>20.53</v>
          </cell>
        </row>
        <row r="3232">
          <cell r="U3232" t="str">
            <v>首南店</v>
          </cell>
          <cell r="V3232" t="str">
            <v>2026-3-01</v>
          </cell>
          <cell r="W3232">
            <v>5.56</v>
          </cell>
        </row>
        <row r="3233">
          <cell r="U3233" t="str">
            <v>东海店</v>
          </cell>
          <cell r="V3233" t="str">
            <v>2026-3-01</v>
          </cell>
          <cell r="W3233">
            <v>23.41</v>
          </cell>
        </row>
        <row r="3234">
          <cell r="U3234" t="str">
            <v>东海店</v>
          </cell>
          <cell r="V3234" t="str">
            <v>2026-3-01</v>
          </cell>
          <cell r="W3234">
            <v>28.81</v>
          </cell>
        </row>
        <row r="3235">
          <cell r="U3235" t="str">
            <v>滨江店</v>
          </cell>
          <cell r="V3235" t="str">
            <v>2026-3-01</v>
          </cell>
          <cell r="W3235">
            <v>0</v>
          </cell>
        </row>
        <row r="3236">
          <cell r="U3236" t="str">
            <v>下沙店</v>
          </cell>
          <cell r="V3236" t="str">
            <v>2026-3-01</v>
          </cell>
          <cell r="W3236">
            <v>0.8</v>
          </cell>
        </row>
        <row r="3237">
          <cell r="U3237" t="str">
            <v>南安店</v>
          </cell>
          <cell r="V3237" t="str">
            <v>2026-3-01</v>
          </cell>
          <cell r="W3237">
            <v>0</v>
          </cell>
        </row>
        <row r="3238">
          <cell r="U3238" t="str">
            <v>南安店</v>
          </cell>
          <cell r="V3238" t="str">
            <v>2026-3-01</v>
          </cell>
          <cell r="W3238">
            <v>1.87</v>
          </cell>
        </row>
        <row r="3239">
          <cell r="U3239" t="str">
            <v>启点店</v>
          </cell>
          <cell r="V3239" t="str">
            <v>2026-3-02</v>
          </cell>
          <cell r="W3239">
            <v>55.36</v>
          </cell>
        </row>
        <row r="3240">
          <cell r="U3240" t="str">
            <v>金牛店</v>
          </cell>
          <cell r="V3240" t="str">
            <v>2026-3-02</v>
          </cell>
          <cell r="W3240">
            <v>3.28</v>
          </cell>
        </row>
        <row r="3241">
          <cell r="U3241" t="str">
            <v>成华店</v>
          </cell>
          <cell r="V3241" t="str">
            <v>2026-3-02</v>
          </cell>
          <cell r="W3241">
            <v>3.62</v>
          </cell>
        </row>
        <row r="3242">
          <cell r="U3242" t="str">
            <v>西山店</v>
          </cell>
          <cell r="V3242" t="str">
            <v>2026-3-02</v>
          </cell>
          <cell r="W3242">
            <v>43.44</v>
          </cell>
        </row>
        <row r="3243">
          <cell r="U3243" t="str">
            <v>百捷店</v>
          </cell>
          <cell r="V3243" t="str">
            <v>2026-3-02</v>
          </cell>
          <cell r="W3243">
            <v>43.1</v>
          </cell>
        </row>
        <row r="3244">
          <cell r="U3244" t="str">
            <v>沙坪坝店</v>
          </cell>
          <cell r="V3244" t="str">
            <v>2026-3-02</v>
          </cell>
          <cell r="W3244">
            <v>32.16</v>
          </cell>
        </row>
        <row r="3245">
          <cell r="U3245" t="str">
            <v>五路口店</v>
          </cell>
          <cell r="V3245" t="str">
            <v>2026-3-02</v>
          </cell>
          <cell r="W3245">
            <v>31.76</v>
          </cell>
        </row>
        <row r="3246">
          <cell r="U3246" t="str">
            <v>济南店</v>
          </cell>
          <cell r="V3246" t="str">
            <v>2026-3-02</v>
          </cell>
          <cell r="W3246">
            <v>68.02</v>
          </cell>
        </row>
        <row r="3247">
          <cell r="U3247" t="str">
            <v>青羊店</v>
          </cell>
          <cell r="V3247" t="str">
            <v>2026-3-02</v>
          </cell>
          <cell r="W3247">
            <v>18.63</v>
          </cell>
        </row>
        <row r="3248">
          <cell r="U3248" t="str">
            <v>观音桥店</v>
          </cell>
          <cell r="V3248" t="str">
            <v>2026-3-02</v>
          </cell>
          <cell r="W3248">
            <v>61.72</v>
          </cell>
        </row>
        <row r="3249">
          <cell r="U3249" t="str">
            <v>西湖店</v>
          </cell>
          <cell r="V3249" t="str">
            <v>2026-3-02</v>
          </cell>
          <cell r="W3249">
            <v>47.26</v>
          </cell>
        </row>
        <row r="3250">
          <cell r="U3250" t="str">
            <v>诚毅店</v>
          </cell>
          <cell r="V3250" t="str">
            <v>2026-3-02</v>
          </cell>
          <cell r="W3250">
            <v>2.36</v>
          </cell>
        </row>
        <row r="3251">
          <cell r="U3251" t="str">
            <v>湖里店</v>
          </cell>
          <cell r="V3251" t="str">
            <v>2026-3-02</v>
          </cell>
          <cell r="W3251">
            <v>99.54</v>
          </cell>
        </row>
        <row r="3252">
          <cell r="U3252" t="str">
            <v>东新店</v>
          </cell>
          <cell r="V3252" t="str">
            <v>2026-3-02</v>
          </cell>
          <cell r="W3252">
            <v>74.2</v>
          </cell>
        </row>
        <row r="3253">
          <cell r="U3253" t="str">
            <v>泉秀店</v>
          </cell>
          <cell r="V3253" t="str">
            <v>2026-3-02</v>
          </cell>
          <cell r="W3253">
            <v>22.38</v>
          </cell>
        </row>
        <row r="3254">
          <cell r="U3254" t="str">
            <v>大坪店</v>
          </cell>
          <cell r="V3254" t="str">
            <v>2026-3-02</v>
          </cell>
          <cell r="W3254">
            <v>55.63</v>
          </cell>
        </row>
        <row r="3255">
          <cell r="U3255" t="str">
            <v>凤城二路店</v>
          </cell>
          <cell r="V3255" t="str">
            <v>2026-3-02</v>
          </cell>
          <cell r="W3255">
            <v>38.73</v>
          </cell>
        </row>
        <row r="3256">
          <cell r="U3256" t="str">
            <v>洛江店</v>
          </cell>
          <cell r="V3256" t="str">
            <v>2026-3-02</v>
          </cell>
          <cell r="W3256">
            <v>20.96</v>
          </cell>
        </row>
        <row r="3257">
          <cell r="U3257" t="str">
            <v>官渡店</v>
          </cell>
          <cell r="V3257" t="str">
            <v>2026-3-02</v>
          </cell>
          <cell r="W3257">
            <v>0.07</v>
          </cell>
        </row>
        <row r="3258">
          <cell r="U3258" t="str">
            <v>武侯店</v>
          </cell>
          <cell r="V3258" t="str">
            <v>2026-3-02</v>
          </cell>
          <cell r="W3258">
            <v>11.8</v>
          </cell>
        </row>
        <row r="3259">
          <cell r="U3259" t="str">
            <v>黄雁村店</v>
          </cell>
          <cell r="V3259" t="str">
            <v>2026-3-02</v>
          </cell>
          <cell r="W3259">
            <v>23.65</v>
          </cell>
        </row>
        <row r="3260">
          <cell r="U3260" t="str">
            <v>五华店</v>
          </cell>
          <cell r="V3260" t="str">
            <v>2026-3-02</v>
          </cell>
          <cell r="W3260">
            <v>29.4</v>
          </cell>
        </row>
        <row r="3261">
          <cell r="U3261" t="str">
            <v>长沙店</v>
          </cell>
          <cell r="V3261" t="str">
            <v>2026-3-02</v>
          </cell>
          <cell r="W3261">
            <v>3.17</v>
          </cell>
        </row>
        <row r="3262">
          <cell r="U3262" t="str">
            <v>鼓楼店</v>
          </cell>
          <cell r="V3262" t="str">
            <v>2026-3-02</v>
          </cell>
          <cell r="W3262">
            <v>7.26</v>
          </cell>
        </row>
        <row r="3263">
          <cell r="U3263" t="str">
            <v>文昌店</v>
          </cell>
          <cell r="V3263" t="str">
            <v>2026-3-02</v>
          </cell>
          <cell r="W3263">
            <v>13.45</v>
          </cell>
        </row>
        <row r="3264">
          <cell r="U3264" t="str">
            <v>百丈店</v>
          </cell>
          <cell r="V3264" t="str">
            <v>2026-3-02</v>
          </cell>
          <cell r="W3264">
            <v>31.19</v>
          </cell>
        </row>
        <row r="3265">
          <cell r="U3265" t="str">
            <v>观桥店</v>
          </cell>
          <cell r="V3265" t="str">
            <v>2026-3-02</v>
          </cell>
          <cell r="W3265">
            <v>6.46</v>
          </cell>
        </row>
        <row r="3266">
          <cell r="U3266" t="str">
            <v>余杭店</v>
          </cell>
          <cell r="V3266" t="str">
            <v>2026-3-02</v>
          </cell>
          <cell r="W3266">
            <v>6.93</v>
          </cell>
        </row>
        <row r="3267">
          <cell r="U3267" t="str">
            <v>首山店</v>
          </cell>
          <cell r="V3267" t="str">
            <v>2026-3-02</v>
          </cell>
          <cell r="W3267">
            <v>48.31</v>
          </cell>
        </row>
        <row r="3268">
          <cell r="U3268" t="str">
            <v>文灶店</v>
          </cell>
          <cell r="V3268" t="str">
            <v>2026-3-02</v>
          </cell>
          <cell r="W3268">
            <v>15.6</v>
          </cell>
        </row>
        <row r="3269">
          <cell r="U3269" t="str">
            <v>首南店</v>
          </cell>
          <cell r="V3269" t="str">
            <v>2026-3-02</v>
          </cell>
          <cell r="W3269">
            <v>29.34</v>
          </cell>
        </row>
        <row r="3270">
          <cell r="U3270" t="str">
            <v>东海店</v>
          </cell>
          <cell r="V3270" t="str">
            <v>2026-3-02</v>
          </cell>
          <cell r="W3270">
            <v>22.05</v>
          </cell>
        </row>
        <row r="3271">
          <cell r="U3271" t="str">
            <v>东海店</v>
          </cell>
          <cell r="V3271" t="str">
            <v>2026-3-02</v>
          </cell>
          <cell r="W3271">
            <v>18.22</v>
          </cell>
        </row>
        <row r="3272">
          <cell r="U3272" t="str">
            <v>滨江店</v>
          </cell>
          <cell r="V3272" t="str">
            <v>2026-3-02</v>
          </cell>
          <cell r="W3272">
            <v>0.49</v>
          </cell>
        </row>
        <row r="3273">
          <cell r="U3273" t="str">
            <v>下沙店</v>
          </cell>
          <cell r="V3273" t="str">
            <v>2026-3-02</v>
          </cell>
          <cell r="W3273">
            <v>1.68</v>
          </cell>
        </row>
        <row r="3274">
          <cell r="U3274" t="str">
            <v>南安店</v>
          </cell>
          <cell r="V3274" t="str">
            <v>2026-3-02</v>
          </cell>
          <cell r="W3274">
            <v>0</v>
          </cell>
        </row>
        <row r="3275">
          <cell r="U3275" t="str">
            <v>南安店</v>
          </cell>
          <cell r="V3275" t="str">
            <v>2026-3-02</v>
          </cell>
          <cell r="W3275">
            <v>1.85</v>
          </cell>
        </row>
        <row r="3276">
          <cell r="U3276" t="str">
            <v>启点店</v>
          </cell>
          <cell r="V3276" t="str">
            <v>2026-3-03</v>
          </cell>
          <cell r="W3276">
            <v>17.88</v>
          </cell>
        </row>
        <row r="3277">
          <cell r="U3277" t="str">
            <v>高新店</v>
          </cell>
          <cell r="V3277" t="str">
            <v>2026-3-03</v>
          </cell>
          <cell r="W3277">
            <v>0</v>
          </cell>
        </row>
        <row r="3278">
          <cell r="U3278" t="str">
            <v>金牛店</v>
          </cell>
          <cell r="V3278" t="str">
            <v>2026-3-03</v>
          </cell>
          <cell r="W3278">
            <v>3.04</v>
          </cell>
        </row>
        <row r="3279">
          <cell r="U3279" t="str">
            <v>成华店</v>
          </cell>
          <cell r="V3279" t="str">
            <v>2026-3-03</v>
          </cell>
          <cell r="W3279">
            <v>64.03</v>
          </cell>
        </row>
        <row r="3280">
          <cell r="U3280" t="str">
            <v>西山店</v>
          </cell>
          <cell r="V3280" t="str">
            <v>2026-3-03</v>
          </cell>
          <cell r="W3280">
            <v>30.6</v>
          </cell>
        </row>
        <row r="3281">
          <cell r="U3281" t="str">
            <v>百捷店</v>
          </cell>
          <cell r="V3281" t="str">
            <v>2026-3-03</v>
          </cell>
          <cell r="W3281">
            <v>44.11</v>
          </cell>
        </row>
        <row r="3282">
          <cell r="U3282" t="str">
            <v>沙坪坝店</v>
          </cell>
          <cell r="V3282" t="str">
            <v>2026-3-03</v>
          </cell>
          <cell r="W3282">
            <v>21.96</v>
          </cell>
        </row>
        <row r="3283">
          <cell r="U3283" t="str">
            <v>五路口店</v>
          </cell>
          <cell r="V3283" t="str">
            <v>2026-3-03</v>
          </cell>
          <cell r="W3283">
            <v>44.73</v>
          </cell>
        </row>
        <row r="3284">
          <cell r="U3284" t="str">
            <v>济南店</v>
          </cell>
          <cell r="V3284" t="str">
            <v>2026-3-03</v>
          </cell>
          <cell r="W3284">
            <v>39.29</v>
          </cell>
        </row>
        <row r="3285">
          <cell r="U3285" t="str">
            <v>青羊店</v>
          </cell>
          <cell r="V3285" t="str">
            <v>2026-3-03</v>
          </cell>
          <cell r="W3285">
            <v>47.31</v>
          </cell>
        </row>
        <row r="3286">
          <cell r="U3286" t="str">
            <v>观音桥店</v>
          </cell>
          <cell r="V3286" t="str">
            <v>2026-3-03</v>
          </cell>
          <cell r="W3286">
            <v>52.46</v>
          </cell>
        </row>
        <row r="3287">
          <cell r="U3287" t="str">
            <v>西湖店</v>
          </cell>
          <cell r="V3287" t="str">
            <v>2026-3-03</v>
          </cell>
          <cell r="W3287">
            <v>48.03</v>
          </cell>
        </row>
        <row r="3288">
          <cell r="U3288" t="str">
            <v>诚毅店</v>
          </cell>
          <cell r="V3288" t="str">
            <v>2026-3-03</v>
          </cell>
          <cell r="W3288">
            <v>3</v>
          </cell>
        </row>
        <row r="3289">
          <cell r="U3289" t="str">
            <v>湖里店</v>
          </cell>
          <cell r="V3289" t="str">
            <v>2026-3-03</v>
          </cell>
          <cell r="W3289">
            <v>75.48</v>
          </cell>
        </row>
        <row r="3290">
          <cell r="U3290" t="str">
            <v>东新店</v>
          </cell>
          <cell r="V3290" t="str">
            <v>2026-3-03</v>
          </cell>
          <cell r="W3290">
            <v>51.48</v>
          </cell>
        </row>
        <row r="3291">
          <cell r="U3291" t="str">
            <v>泉秀店</v>
          </cell>
          <cell r="V3291" t="str">
            <v>2026-3-03</v>
          </cell>
          <cell r="W3291">
            <v>14.87</v>
          </cell>
        </row>
        <row r="3292">
          <cell r="U3292" t="str">
            <v>大坪店</v>
          </cell>
          <cell r="V3292" t="str">
            <v>2026-3-03</v>
          </cell>
          <cell r="W3292">
            <v>23</v>
          </cell>
        </row>
        <row r="3293">
          <cell r="U3293" t="str">
            <v>凤城二路店</v>
          </cell>
          <cell r="V3293" t="str">
            <v>2026-3-03</v>
          </cell>
          <cell r="W3293">
            <v>24.8</v>
          </cell>
        </row>
        <row r="3294">
          <cell r="U3294" t="str">
            <v>洛江店</v>
          </cell>
          <cell r="V3294" t="str">
            <v>2026-3-03</v>
          </cell>
          <cell r="W3294">
            <v>18.36</v>
          </cell>
        </row>
        <row r="3295">
          <cell r="U3295" t="str">
            <v>官渡店</v>
          </cell>
          <cell r="V3295" t="str">
            <v>2026-3-03</v>
          </cell>
          <cell r="W3295">
            <v>0</v>
          </cell>
        </row>
        <row r="3296">
          <cell r="U3296" t="str">
            <v>武侯店</v>
          </cell>
          <cell r="V3296" t="str">
            <v>2026-3-03</v>
          </cell>
          <cell r="W3296">
            <v>16.18</v>
          </cell>
        </row>
        <row r="3297">
          <cell r="U3297" t="str">
            <v>黄雁村店</v>
          </cell>
          <cell r="V3297" t="str">
            <v>2026-3-03</v>
          </cell>
          <cell r="W3297">
            <v>77.21</v>
          </cell>
        </row>
        <row r="3298">
          <cell r="U3298" t="str">
            <v>五华店</v>
          </cell>
          <cell r="V3298" t="str">
            <v>2026-3-03</v>
          </cell>
          <cell r="W3298">
            <v>15.14</v>
          </cell>
        </row>
        <row r="3299">
          <cell r="U3299" t="str">
            <v>长沙店</v>
          </cell>
          <cell r="V3299" t="str">
            <v>2026-3-03</v>
          </cell>
          <cell r="W3299">
            <v>4.31</v>
          </cell>
        </row>
        <row r="3300">
          <cell r="U3300" t="str">
            <v>鼓楼店</v>
          </cell>
          <cell r="V3300" t="str">
            <v>2026-3-03</v>
          </cell>
          <cell r="W3300">
            <v>0.32</v>
          </cell>
        </row>
        <row r="3301">
          <cell r="U3301" t="str">
            <v>文昌店</v>
          </cell>
          <cell r="V3301" t="str">
            <v>2026-3-03</v>
          </cell>
          <cell r="W3301">
            <v>5.88</v>
          </cell>
        </row>
        <row r="3302">
          <cell r="U3302" t="str">
            <v>百丈店</v>
          </cell>
          <cell r="V3302" t="str">
            <v>2026-3-03</v>
          </cell>
          <cell r="W3302">
            <v>28.15</v>
          </cell>
        </row>
        <row r="3303">
          <cell r="U3303" t="str">
            <v>观桥店</v>
          </cell>
          <cell r="V3303" t="str">
            <v>2026-3-03</v>
          </cell>
          <cell r="W3303">
            <v>14.18</v>
          </cell>
        </row>
        <row r="3304">
          <cell r="U3304" t="str">
            <v>余杭店</v>
          </cell>
          <cell r="V3304" t="str">
            <v>2026-3-03</v>
          </cell>
          <cell r="W3304">
            <v>3.83</v>
          </cell>
        </row>
        <row r="3305">
          <cell r="U3305" t="str">
            <v>首山店</v>
          </cell>
          <cell r="V3305" t="str">
            <v>2026-3-03</v>
          </cell>
          <cell r="W3305">
            <v>49.03</v>
          </cell>
        </row>
        <row r="3306">
          <cell r="U3306" t="str">
            <v>文灶店</v>
          </cell>
          <cell r="V3306" t="str">
            <v>2026-3-03</v>
          </cell>
          <cell r="W3306">
            <v>30.4</v>
          </cell>
        </row>
        <row r="3307">
          <cell r="U3307" t="str">
            <v>首南店</v>
          </cell>
          <cell r="V3307" t="str">
            <v>2026-3-03</v>
          </cell>
          <cell r="W3307">
            <v>69.71</v>
          </cell>
        </row>
        <row r="3308">
          <cell r="U3308" t="str">
            <v>东海店</v>
          </cell>
          <cell r="V3308" t="str">
            <v>2026-3-03</v>
          </cell>
          <cell r="W3308">
            <v>17.33</v>
          </cell>
        </row>
        <row r="3309">
          <cell r="U3309" t="str">
            <v>东海店</v>
          </cell>
          <cell r="V3309" t="str">
            <v>2026-3-03</v>
          </cell>
          <cell r="W3309">
            <v>12.8</v>
          </cell>
        </row>
        <row r="3310">
          <cell r="U3310" t="str">
            <v>滨江店</v>
          </cell>
          <cell r="V3310" t="str">
            <v>2026-3-03</v>
          </cell>
          <cell r="W3310">
            <v>4.04</v>
          </cell>
        </row>
        <row r="3311">
          <cell r="U3311" t="str">
            <v>下沙店</v>
          </cell>
          <cell r="V3311" t="str">
            <v>2026-3-03</v>
          </cell>
          <cell r="W3311">
            <v>5.47</v>
          </cell>
        </row>
        <row r="3312">
          <cell r="U3312" t="str">
            <v>南安店</v>
          </cell>
          <cell r="V3312" t="str">
            <v>2026-3-03</v>
          </cell>
          <cell r="W3312">
            <v>0</v>
          </cell>
        </row>
        <row r="3313">
          <cell r="U3313" t="str">
            <v>南安店</v>
          </cell>
          <cell r="V3313" t="str">
            <v>2026-3-03</v>
          </cell>
          <cell r="W3313">
            <v>1.54</v>
          </cell>
        </row>
        <row r="3314">
          <cell r="U3314" t="str">
            <v>南安店</v>
          </cell>
          <cell r="V3314" t="str">
            <v>2026-3-04</v>
          </cell>
          <cell r="W3314">
            <v>12.33</v>
          </cell>
        </row>
        <row r="3315">
          <cell r="U3315" t="str">
            <v>南安店</v>
          </cell>
          <cell r="V3315" t="str">
            <v>2026-3-04</v>
          </cell>
          <cell r="W3315">
            <v>0.15</v>
          </cell>
        </row>
        <row r="3316">
          <cell r="U3316" t="str">
            <v>启点店</v>
          </cell>
          <cell r="V3316" t="str">
            <v>2026-3-04</v>
          </cell>
          <cell r="W3316">
            <v>16.28</v>
          </cell>
        </row>
        <row r="3317">
          <cell r="U3317" t="str">
            <v>金牛店</v>
          </cell>
          <cell r="V3317" t="str">
            <v>2026-3-04</v>
          </cell>
          <cell r="W3317">
            <v>0.53</v>
          </cell>
        </row>
        <row r="3318">
          <cell r="U3318" t="str">
            <v>成华店</v>
          </cell>
          <cell r="V3318" t="str">
            <v>2026-3-04</v>
          </cell>
          <cell r="W3318">
            <v>45.4</v>
          </cell>
        </row>
        <row r="3319">
          <cell r="U3319" t="str">
            <v>西山店</v>
          </cell>
          <cell r="V3319" t="str">
            <v>2026-3-04</v>
          </cell>
          <cell r="W3319">
            <v>62.1</v>
          </cell>
        </row>
        <row r="3320">
          <cell r="U3320" t="str">
            <v>百捷店</v>
          </cell>
          <cell r="V3320" t="str">
            <v>2026-3-04</v>
          </cell>
          <cell r="W3320">
            <v>68.28</v>
          </cell>
        </row>
        <row r="3321">
          <cell r="U3321" t="str">
            <v>沙坪坝店</v>
          </cell>
          <cell r="V3321" t="str">
            <v>2026-3-04</v>
          </cell>
          <cell r="W3321">
            <v>48.98</v>
          </cell>
        </row>
        <row r="3322">
          <cell r="U3322" t="str">
            <v>五路口店</v>
          </cell>
          <cell r="V3322" t="str">
            <v>2026-3-04</v>
          </cell>
          <cell r="W3322">
            <v>30.17</v>
          </cell>
        </row>
        <row r="3323">
          <cell r="U3323" t="str">
            <v>济南店</v>
          </cell>
          <cell r="V3323" t="str">
            <v>2026-3-04</v>
          </cell>
          <cell r="W3323">
            <v>68.84</v>
          </cell>
        </row>
        <row r="3324">
          <cell r="U3324" t="str">
            <v>青羊店</v>
          </cell>
          <cell r="V3324" t="str">
            <v>2026-3-04</v>
          </cell>
          <cell r="W3324">
            <v>18.04</v>
          </cell>
        </row>
        <row r="3325">
          <cell r="U3325" t="str">
            <v>观音桥店</v>
          </cell>
          <cell r="V3325" t="str">
            <v>2026-3-04</v>
          </cell>
          <cell r="W3325">
            <v>58.34</v>
          </cell>
        </row>
        <row r="3326">
          <cell r="U3326" t="str">
            <v>西湖店</v>
          </cell>
          <cell r="V3326" t="str">
            <v>2026-3-04</v>
          </cell>
          <cell r="W3326">
            <v>54.64</v>
          </cell>
        </row>
        <row r="3327">
          <cell r="U3327" t="str">
            <v>诚毅店</v>
          </cell>
          <cell r="V3327" t="str">
            <v>2026-3-04</v>
          </cell>
          <cell r="W3327">
            <v>18.48</v>
          </cell>
        </row>
        <row r="3328">
          <cell r="U3328" t="str">
            <v>湖里店</v>
          </cell>
          <cell r="V3328" t="str">
            <v>2026-3-04</v>
          </cell>
          <cell r="W3328">
            <v>69.44</v>
          </cell>
        </row>
        <row r="3329">
          <cell r="U3329" t="str">
            <v>东新店</v>
          </cell>
          <cell r="V3329" t="str">
            <v>2026-3-04</v>
          </cell>
          <cell r="W3329">
            <v>87.63</v>
          </cell>
        </row>
        <row r="3330">
          <cell r="U3330" t="str">
            <v>泉秀店</v>
          </cell>
          <cell r="V3330" t="str">
            <v>2026-3-04</v>
          </cell>
          <cell r="W3330">
            <v>9.53</v>
          </cell>
        </row>
        <row r="3331">
          <cell r="U3331" t="str">
            <v>大坪店</v>
          </cell>
          <cell r="V3331" t="str">
            <v>2026-3-04</v>
          </cell>
          <cell r="W3331">
            <v>30.48</v>
          </cell>
        </row>
        <row r="3332">
          <cell r="U3332" t="str">
            <v>凤城二路店</v>
          </cell>
          <cell r="V3332" t="str">
            <v>2026-3-04</v>
          </cell>
          <cell r="W3332">
            <v>33.28</v>
          </cell>
        </row>
        <row r="3333">
          <cell r="U3333" t="str">
            <v>洛江店</v>
          </cell>
          <cell r="V3333" t="str">
            <v>2026-3-04</v>
          </cell>
          <cell r="W3333">
            <v>22.4</v>
          </cell>
        </row>
        <row r="3334">
          <cell r="U3334" t="str">
            <v>官渡店</v>
          </cell>
          <cell r="V3334" t="str">
            <v>2026-3-04</v>
          </cell>
          <cell r="W3334">
            <v>0.23</v>
          </cell>
        </row>
        <row r="3335">
          <cell r="U3335" t="str">
            <v>武侯店</v>
          </cell>
          <cell r="V3335" t="str">
            <v>2026-3-04</v>
          </cell>
          <cell r="W3335">
            <v>39.49</v>
          </cell>
        </row>
        <row r="3336">
          <cell r="U3336" t="str">
            <v>黄雁村店</v>
          </cell>
          <cell r="V3336" t="str">
            <v>2026-3-04</v>
          </cell>
          <cell r="W3336">
            <v>67.35</v>
          </cell>
        </row>
        <row r="3337">
          <cell r="U3337" t="str">
            <v>五华店</v>
          </cell>
          <cell r="V3337" t="str">
            <v>2026-3-04</v>
          </cell>
          <cell r="W3337">
            <v>33.93</v>
          </cell>
        </row>
        <row r="3338">
          <cell r="U3338" t="str">
            <v>长沙店</v>
          </cell>
          <cell r="V3338" t="str">
            <v>2026-3-04</v>
          </cell>
          <cell r="W3338">
            <v>12.63</v>
          </cell>
        </row>
        <row r="3339">
          <cell r="U3339" t="str">
            <v>鼓楼店</v>
          </cell>
          <cell r="V3339" t="str">
            <v>2026-3-04</v>
          </cell>
          <cell r="W3339">
            <v>0.97</v>
          </cell>
        </row>
        <row r="3340">
          <cell r="U3340" t="str">
            <v>文昌店</v>
          </cell>
          <cell r="V3340" t="str">
            <v>2026-3-04</v>
          </cell>
          <cell r="W3340">
            <v>14.11</v>
          </cell>
        </row>
        <row r="3341">
          <cell r="U3341" t="str">
            <v>百丈店</v>
          </cell>
          <cell r="V3341" t="str">
            <v>2026-3-04</v>
          </cell>
          <cell r="W3341">
            <v>20.97</v>
          </cell>
        </row>
        <row r="3342">
          <cell r="U3342" t="str">
            <v>观桥店</v>
          </cell>
          <cell r="V3342" t="str">
            <v>2026-3-04</v>
          </cell>
          <cell r="W3342">
            <v>44.07</v>
          </cell>
        </row>
        <row r="3343">
          <cell r="U3343" t="str">
            <v>余杭店</v>
          </cell>
          <cell r="V3343" t="str">
            <v>2026-3-04</v>
          </cell>
          <cell r="W3343">
            <v>53.65</v>
          </cell>
        </row>
        <row r="3344">
          <cell r="U3344" t="str">
            <v>首山店</v>
          </cell>
          <cell r="V3344" t="str">
            <v>2026-3-04</v>
          </cell>
          <cell r="W3344">
            <v>54.42</v>
          </cell>
        </row>
        <row r="3345">
          <cell r="U3345" t="str">
            <v>文灶店</v>
          </cell>
          <cell r="V3345" t="str">
            <v>2026-3-04</v>
          </cell>
          <cell r="W3345">
            <v>28.91</v>
          </cell>
        </row>
        <row r="3346">
          <cell r="U3346" t="str">
            <v>首南店</v>
          </cell>
          <cell r="V3346" t="str">
            <v>2026-3-04</v>
          </cell>
          <cell r="W3346">
            <v>52.72</v>
          </cell>
        </row>
        <row r="3347">
          <cell r="U3347" t="str">
            <v>东海店</v>
          </cell>
          <cell r="V3347" t="str">
            <v>2026-3-04</v>
          </cell>
          <cell r="W3347">
            <v>23.44</v>
          </cell>
        </row>
        <row r="3348">
          <cell r="U3348" t="str">
            <v>东海店</v>
          </cell>
          <cell r="V3348" t="str">
            <v>2026-3-04</v>
          </cell>
          <cell r="W3348">
            <v>19.03</v>
          </cell>
        </row>
        <row r="3349">
          <cell r="U3349" t="str">
            <v>滨江店</v>
          </cell>
          <cell r="V3349" t="str">
            <v>2026-3-04</v>
          </cell>
          <cell r="W3349">
            <v>5.09</v>
          </cell>
        </row>
        <row r="3350">
          <cell r="U3350" t="str">
            <v>下沙店</v>
          </cell>
          <cell r="V3350" t="str">
            <v>2026-3-04</v>
          </cell>
          <cell r="W3350">
            <v>5.7</v>
          </cell>
        </row>
        <row r="3351">
          <cell r="U3351" t="str">
            <v>启点店</v>
          </cell>
          <cell r="V3351" t="str">
            <v>2026-3-05</v>
          </cell>
          <cell r="W3351">
            <v>61.76</v>
          </cell>
        </row>
        <row r="3352">
          <cell r="U3352" t="str">
            <v>高新店</v>
          </cell>
          <cell r="V3352" t="str">
            <v>2026-3-05</v>
          </cell>
          <cell r="W3352">
            <v>39.36</v>
          </cell>
        </row>
        <row r="3353">
          <cell r="U3353" t="str">
            <v>金牛店</v>
          </cell>
          <cell r="V3353" t="str">
            <v>2026-3-05</v>
          </cell>
          <cell r="W3353">
            <v>24.06</v>
          </cell>
        </row>
        <row r="3354">
          <cell r="U3354" t="str">
            <v>成华店</v>
          </cell>
          <cell r="V3354" t="str">
            <v>2026-3-05</v>
          </cell>
          <cell r="W3354">
            <v>34.51</v>
          </cell>
        </row>
        <row r="3355">
          <cell r="U3355" t="str">
            <v>西山店</v>
          </cell>
          <cell r="V3355" t="str">
            <v>2026-3-05</v>
          </cell>
          <cell r="W3355">
            <v>26.11</v>
          </cell>
        </row>
        <row r="3356">
          <cell r="U3356" t="str">
            <v>百捷店</v>
          </cell>
          <cell r="V3356" t="str">
            <v>2026-3-05</v>
          </cell>
          <cell r="W3356">
            <v>74.12</v>
          </cell>
        </row>
        <row r="3357">
          <cell r="U3357" t="str">
            <v>沙坪坝店</v>
          </cell>
          <cell r="V3357" t="str">
            <v>2026-3-05</v>
          </cell>
          <cell r="W3357">
            <v>31.07</v>
          </cell>
        </row>
        <row r="3358">
          <cell r="U3358" t="str">
            <v>五路口店</v>
          </cell>
          <cell r="V3358" t="str">
            <v>2026-3-05</v>
          </cell>
          <cell r="W3358">
            <v>31.69</v>
          </cell>
        </row>
        <row r="3359">
          <cell r="U3359" t="str">
            <v>济南店</v>
          </cell>
          <cell r="V3359" t="str">
            <v>2026-3-05</v>
          </cell>
          <cell r="W3359">
            <v>60.8</v>
          </cell>
        </row>
        <row r="3360">
          <cell r="U3360" t="str">
            <v>青羊店</v>
          </cell>
          <cell r="V3360" t="str">
            <v>2026-3-05</v>
          </cell>
          <cell r="W3360">
            <v>48.71</v>
          </cell>
        </row>
        <row r="3361">
          <cell r="U3361" t="str">
            <v>观音桥店</v>
          </cell>
          <cell r="V3361" t="str">
            <v>2026-3-05</v>
          </cell>
          <cell r="W3361">
            <v>46.92</v>
          </cell>
        </row>
        <row r="3362">
          <cell r="U3362" t="str">
            <v>西湖店</v>
          </cell>
          <cell r="V3362" t="str">
            <v>2026-3-05</v>
          </cell>
          <cell r="W3362">
            <v>28.74</v>
          </cell>
        </row>
        <row r="3363">
          <cell r="U3363" t="str">
            <v>诚毅店</v>
          </cell>
          <cell r="V3363" t="str">
            <v>2026-3-05</v>
          </cell>
          <cell r="W3363">
            <v>40.2</v>
          </cell>
        </row>
        <row r="3364">
          <cell r="U3364" t="str">
            <v>湖里店</v>
          </cell>
          <cell r="V3364" t="str">
            <v>2026-3-05</v>
          </cell>
          <cell r="W3364">
            <v>40.02</v>
          </cell>
        </row>
        <row r="3365">
          <cell r="U3365" t="str">
            <v>东新店</v>
          </cell>
          <cell r="V3365" t="str">
            <v>2026-3-05</v>
          </cell>
          <cell r="W3365">
            <v>53.57</v>
          </cell>
        </row>
        <row r="3366">
          <cell r="U3366" t="str">
            <v>泉秀店</v>
          </cell>
          <cell r="V3366" t="str">
            <v>2026-3-05</v>
          </cell>
          <cell r="W3366">
            <v>14.39</v>
          </cell>
        </row>
        <row r="3367">
          <cell r="U3367" t="str">
            <v>大坪店</v>
          </cell>
          <cell r="V3367" t="str">
            <v>2026-3-05</v>
          </cell>
          <cell r="W3367">
            <v>22.55</v>
          </cell>
        </row>
        <row r="3368">
          <cell r="U3368" t="str">
            <v>凤城二路店</v>
          </cell>
          <cell r="V3368" t="str">
            <v>2026-3-05</v>
          </cell>
          <cell r="W3368">
            <v>41.86</v>
          </cell>
        </row>
        <row r="3369">
          <cell r="U3369" t="str">
            <v>洛江店</v>
          </cell>
          <cell r="V3369" t="str">
            <v>2026-3-05</v>
          </cell>
          <cell r="W3369">
            <v>21.12</v>
          </cell>
        </row>
        <row r="3370">
          <cell r="U3370" t="str">
            <v>官渡店</v>
          </cell>
          <cell r="V3370" t="str">
            <v>2026-3-05</v>
          </cell>
          <cell r="W3370">
            <v>0.19</v>
          </cell>
        </row>
        <row r="3371">
          <cell r="U3371" t="str">
            <v>武侯店</v>
          </cell>
          <cell r="V3371" t="str">
            <v>2026-3-05</v>
          </cell>
          <cell r="W3371">
            <v>12.71</v>
          </cell>
        </row>
        <row r="3372">
          <cell r="U3372" t="str">
            <v>黄雁村店</v>
          </cell>
          <cell r="V3372" t="str">
            <v>2026-3-05</v>
          </cell>
          <cell r="W3372">
            <v>59.36</v>
          </cell>
        </row>
        <row r="3373">
          <cell r="U3373" t="str">
            <v>五华店</v>
          </cell>
          <cell r="V3373" t="str">
            <v>2026-3-05</v>
          </cell>
          <cell r="W3373">
            <v>30.68</v>
          </cell>
        </row>
        <row r="3374">
          <cell r="U3374" t="str">
            <v>长沙店</v>
          </cell>
          <cell r="V3374" t="str">
            <v>2026-3-05</v>
          </cell>
          <cell r="W3374">
            <v>35.32</v>
          </cell>
        </row>
        <row r="3375">
          <cell r="U3375" t="str">
            <v>鼓楼店</v>
          </cell>
          <cell r="V3375" t="str">
            <v>2026-3-05</v>
          </cell>
          <cell r="W3375">
            <v>6.5</v>
          </cell>
        </row>
        <row r="3376">
          <cell r="U3376" t="str">
            <v>文昌店</v>
          </cell>
          <cell r="V3376" t="str">
            <v>2026-3-05</v>
          </cell>
          <cell r="W3376">
            <v>16.22</v>
          </cell>
        </row>
        <row r="3377">
          <cell r="U3377" t="str">
            <v>百丈店</v>
          </cell>
          <cell r="V3377" t="str">
            <v>2026-3-05</v>
          </cell>
          <cell r="W3377">
            <v>31.21</v>
          </cell>
        </row>
        <row r="3378">
          <cell r="U3378" t="str">
            <v>观桥店</v>
          </cell>
          <cell r="V3378" t="str">
            <v>2026-3-05</v>
          </cell>
          <cell r="W3378">
            <v>36.19</v>
          </cell>
        </row>
        <row r="3379">
          <cell r="U3379" t="str">
            <v>余杭店</v>
          </cell>
          <cell r="V3379" t="str">
            <v>2026-3-05</v>
          </cell>
          <cell r="W3379">
            <v>85.26</v>
          </cell>
        </row>
        <row r="3380">
          <cell r="U3380" t="str">
            <v>首山店</v>
          </cell>
          <cell r="V3380" t="str">
            <v>2026-3-05</v>
          </cell>
          <cell r="W3380">
            <v>94.68</v>
          </cell>
        </row>
        <row r="3381">
          <cell r="U3381" t="str">
            <v>文灶店</v>
          </cell>
          <cell r="V3381" t="str">
            <v>2026-3-05</v>
          </cell>
          <cell r="W3381">
            <v>16.6</v>
          </cell>
        </row>
        <row r="3382">
          <cell r="U3382" t="str">
            <v>首南店</v>
          </cell>
          <cell r="V3382" t="str">
            <v>2026-3-05</v>
          </cell>
          <cell r="W3382">
            <v>75.35</v>
          </cell>
        </row>
        <row r="3383">
          <cell r="U3383" t="str">
            <v>东海店</v>
          </cell>
          <cell r="V3383" t="str">
            <v>2026-3-05</v>
          </cell>
          <cell r="W3383">
            <v>17.75</v>
          </cell>
        </row>
        <row r="3384">
          <cell r="U3384" t="str">
            <v>东海店</v>
          </cell>
          <cell r="V3384" t="str">
            <v>2026-3-05</v>
          </cell>
          <cell r="W3384">
            <v>31.12</v>
          </cell>
        </row>
        <row r="3385">
          <cell r="U3385" t="str">
            <v>滨江店</v>
          </cell>
          <cell r="V3385" t="str">
            <v>2026-3-05</v>
          </cell>
          <cell r="W3385">
            <v>6</v>
          </cell>
        </row>
        <row r="3386">
          <cell r="U3386" t="str">
            <v>下沙店</v>
          </cell>
          <cell r="V3386" t="str">
            <v>2026-3-05</v>
          </cell>
          <cell r="W3386">
            <v>2.16</v>
          </cell>
        </row>
        <row r="3387">
          <cell r="U3387" t="str">
            <v>南安店</v>
          </cell>
          <cell r="V3387" t="str">
            <v>2026-3-05</v>
          </cell>
          <cell r="W3387">
            <v>8.48</v>
          </cell>
        </row>
        <row r="3388">
          <cell r="U3388" t="str">
            <v>南安店</v>
          </cell>
          <cell r="V3388" t="str">
            <v>2026-3-05</v>
          </cell>
          <cell r="W3388">
            <v>0</v>
          </cell>
        </row>
        <row r="3389">
          <cell r="U3389" t="str">
            <v>启点店</v>
          </cell>
          <cell r="V3389" t="str">
            <v>2026-3-06</v>
          </cell>
          <cell r="W3389">
            <v>50.58</v>
          </cell>
        </row>
        <row r="3390">
          <cell r="U3390" t="str">
            <v>高新店</v>
          </cell>
          <cell r="V3390" t="str">
            <v>2026-3-06</v>
          </cell>
          <cell r="W3390">
            <v>16.8</v>
          </cell>
        </row>
        <row r="3391">
          <cell r="U3391" t="str">
            <v>金牛店</v>
          </cell>
          <cell r="V3391" t="str">
            <v>2026-3-06</v>
          </cell>
          <cell r="W3391">
            <v>31.57</v>
          </cell>
        </row>
        <row r="3392">
          <cell r="U3392" t="str">
            <v>成华店</v>
          </cell>
          <cell r="V3392" t="str">
            <v>2026-3-06</v>
          </cell>
          <cell r="W3392">
            <v>15.04</v>
          </cell>
        </row>
        <row r="3393">
          <cell r="U3393" t="str">
            <v>西山店</v>
          </cell>
          <cell r="V3393" t="str">
            <v>2026-3-06</v>
          </cell>
          <cell r="W3393">
            <v>17.41</v>
          </cell>
        </row>
        <row r="3394">
          <cell r="U3394" t="str">
            <v>百捷店</v>
          </cell>
          <cell r="V3394" t="str">
            <v>2026-3-06</v>
          </cell>
          <cell r="W3394">
            <v>80.53</v>
          </cell>
        </row>
        <row r="3395">
          <cell r="U3395" t="str">
            <v>沙坪坝店</v>
          </cell>
          <cell r="V3395" t="str">
            <v>2026-3-06</v>
          </cell>
          <cell r="W3395">
            <v>4.93</v>
          </cell>
        </row>
        <row r="3396">
          <cell r="U3396" t="str">
            <v>五路口店</v>
          </cell>
          <cell r="V3396" t="str">
            <v>2026-3-06</v>
          </cell>
          <cell r="W3396">
            <v>31.29</v>
          </cell>
        </row>
        <row r="3397">
          <cell r="U3397" t="str">
            <v>济南店</v>
          </cell>
          <cell r="V3397" t="str">
            <v>2026-3-06</v>
          </cell>
          <cell r="W3397">
            <v>62.08</v>
          </cell>
        </row>
        <row r="3398">
          <cell r="U3398" t="str">
            <v>青羊店</v>
          </cell>
          <cell r="V3398" t="str">
            <v>2026-3-06</v>
          </cell>
          <cell r="W3398">
            <v>27.93</v>
          </cell>
        </row>
        <row r="3399">
          <cell r="U3399" t="str">
            <v>观音桥店</v>
          </cell>
          <cell r="V3399" t="str">
            <v>2026-3-06</v>
          </cell>
          <cell r="W3399">
            <v>24.22</v>
          </cell>
        </row>
        <row r="3400">
          <cell r="U3400" t="str">
            <v>西湖店</v>
          </cell>
          <cell r="V3400" t="str">
            <v>2026-3-06</v>
          </cell>
          <cell r="W3400">
            <v>37.25</v>
          </cell>
        </row>
        <row r="3401">
          <cell r="U3401" t="str">
            <v>诚毅店</v>
          </cell>
          <cell r="V3401" t="str">
            <v>2026-3-06</v>
          </cell>
          <cell r="W3401">
            <v>10.99</v>
          </cell>
        </row>
        <row r="3402">
          <cell r="U3402" t="str">
            <v>湖里店</v>
          </cell>
          <cell r="V3402" t="str">
            <v>2026-3-06</v>
          </cell>
          <cell r="W3402">
            <v>25.28</v>
          </cell>
        </row>
        <row r="3403">
          <cell r="U3403" t="str">
            <v>东新店</v>
          </cell>
          <cell r="V3403" t="str">
            <v>2026-3-06</v>
          </cell>
          <cell r="W3403">
            <v>71.41</v>
          </cell>
        </row>
        <row r="3404">
          <cell r="U3404" t="str">
            <v>泉秀店</v>
          </cell>
          <cell r="V3404" t="str">
            <v>2026-3-06</v>
          </cell>
          <cell r="W3404">
            <v>37.8</v>
          </cell>
        </row>
        <row r="3405">
          <cell r="U3405" t="str">
            <v>大坪店</v>
          </cell>
          <cell r="V3405" t="str">
            <v>2026-3-06</v>
          </cell>
          <cell r="W3405">
            <v>26.29</v>
          </cell>
        </row>
        <row r="3406">
          <cell r="U3406" t="str">
            <v>凤城二路店</v>
          </cell>
          <cell r="V3406" t="str">
            <v>2026-3-06</v>
          </cell>
          <cell r="W3406">
            <v>11.54</v>
          </cell>
        </row>
        <row r="3407">
          <cell r="U3407" t="str">
            <v>洛江店</v>
          </cell>
          <cell r="V3407" t="str">
            <v>2026-3-06</v>
          </cell>
          <cell r="W3407">
            <v>16.97</v>
          </cell>
        </row>
        <row r="3408">
          <cell r="U3408" t="str">
            <v>官渡店</v>
          </cell>
          <cell r="V3408" t="str">
            <v>2026-3-06</v>
          </cell>
          <cell r="W3408">
            <v>22.16</v>
          </cell>
        </row>
        <row r="3409">
          <cell r="U3409" t="str">
            <v>武侯店</v>
          </cell>
          <cell r="V3409" t="str">
            <v>2026-3-06</v>
          </cell>
          <cell r="W3409">
            <v>25.27</v>
          </cell>
        </row>
        <row r="3410">
          <cell r="U3410" t="str">
            <v>黄雁村店</v>
          </cell>
          <cell r="V3410" t="str">
            <v>2026-3-06</v>
          </cell>
          <cell r="W3410">
            <v>14.78</v>
          </cell>
        </row>
        <row r="3411">
          <cell r="U3411" t="str">
            <v>五华店</v>
          </cell>
          <cell r="V3411" t="str">
            <v>2026-3-06</v>
          </cell>
          <cell r="W3411">
            <v>26.1</v>
          </cell>
        </row>
        <row r="3412">
          <cell r="U3412" t="str">
            <v>长沙店</v>
          </cell>
          <cell r="V3412" t="str">
            <v>2026-3-06</v>
          </cell>
          <cell r="W3412">
            <v>56.25</v>
          </cell>
        </row>
        <row r="3413">
          <cell r="U3413" t="str">
            <v>鼓楼店</v>
          </cell>
          <cell r="V3413" t="str">
            <v>2026-3-06</v>
          </cell>
          <cell r="W3413">
            <v>7.79</v>
          </cell>
        </row>
        <row r="3414">
          <cell r="U3414" t="str">
            <v>文昌店</v>
          </cell>
          <cell r="V3414" t="str">
            <v>2026-3-06</v>
          </cell>
          <cell r="W3414">
            <v>22.24</v>
          </cell>
        </row>
        <row r="3415">
          <cell r="U3415" t="str">
            <v>百丈店</v>
          </cell>
          <cell r="V3415" t="str">
            <v>2026-3-06</v>
          </cell>
          <cell r="W3415">
            <v>46.99</v>
          </cell>
        </row>
        <row r="3416">
          <cell r="U3416" t="str">
            <v>观桥店</v>
          </cell>
          <cell r="V3416" t="str">
            <v>2026-3-06</v>
          </cell>
          <cell r="W3416">
            <v>23.29</v>
          </cell>
        </row>
        <row r="3417">
          <cell r="U3417" t="str">
            <v>余杭店</v>
          </cell>
          <cell r="V3417" t="str">
            <v>2026-3-06</v>
          </cell>
          <cell r="W3417">
            <v>61.43</v>
          </cell>
        </row>
        <row r="3418">
          <cell r="U3418" t="str">
            <v>首山店</v>
          </cell>
          <cell r="V3418" t="str">
            <v>2026-3-06</v>
          </cell>
          <cell r="W3418">
            <v>30.76</v>
          </cell>
        </row>
        <row r="3419">
          <cell r="U3419" t="str">
            <v>文灶店</v>
          </cell>
          <cell r="V3419" t="str">
            <v>2026-3-06</v>
          </cell>
          <cell r="W3419">
            <v>10.62</v>
          </cell>
        </row>
        <row r="3420">
          <cell r="U3420" t="str">
            <v>首南店</v>
          </cell>
          <cell r="V3420" t="str">
            <v>2026-3-06</v>
          </cell>
          <cell r="W3420">
            <v>59.12</v>
          </cell>
        </row>
        <row r="3421">
          <cell r="U3421" t="str">
            <v>东海店</v>
          </cell>
          <cell r="V3421" t="str">
            <v>2026-3-06</v>
          </cell>
          <cell r="W3421">
            <v>57.55</v>
          </cell>
        </row>
        <row r="3422">
          <cell r="U3422" t="str">
            <v>东海店</v>
          </cell>
          <cell r="V3422" t="str">
            <v>2026-3-06</v>
          </cell>
          <cell r="W3422">
            <v>17.73</v>
          </cell>
        </row>
        <row r="3423">
          <cell r="U3423" t="str">
            <v>滨江店</v>
          </cell>
          <cell r="V3423" t="str">
            <v>2026-3-06</v>
          </cell>
          <cell r="W3423">
            <v>20.19</v>
          </cell>
        </row>
        <row r="3424">
          <cell r="U3424" t="str">
            <v>下沙店</v>
          </cell>
          <cell r="V3424" t="str">
            <v>2026-3-06</v>
          </cell>
          <cell r="W3424">
            <v>6.27</v>
          </cell>
        </row>
        <row r="3425">
          <cell r="U3425" t="str">
            <v>启点店</v>
          </cell>
          <cell r="V3425" t="str">
            <v>2026-3-07</v>
          </cell>
          <cell r="W3425">
            <v>46.41</v>
          </cell>
        </row>
        <row r="3426">
          <cell r="U3426" t="str">
            <v>高新店</v>
          </cell>
          <cell r="V3426" t="str">
            <v>2026-3-07</v>
          </cell>
          <cell r="W3426">
            <v>1.47</v>
          </cell>
        </row>
        <row r="3427">
          <cell r="U3427" t="str">
            <v>金牛店</v>
          </cell>
          <cell r="V3427" t="str">
            <v>2026-3-07</v>
          </cell>
          <cell r="W3427">
            <v>22.15</v>
          </cell>
        </row>
        <row r="3428">
          <cell r="U3428" t="str">
            <v>成华店</v>
          </cell>
          <cell r="V3428" t="str">
            <v>2026-3-07</v>
          </cell>
          <cell r="W3428">
            <v>45.32</v>
          </cell>
        </row>
        <row r="3429">
          <cell r="U3429" t="str">
            <v>西山店</v>
          </cell>
          <cell r="V3429" t="str">
            <v>2026-3-07</v>
          </cell>
          <cell r="W3429">
            <v>39.55</v>
          </cell>
        </row>
        <row r="3430">
          <cell r="U3430" t="str">
            <v>百捷店</v>
          </cell>
          <cell r="V3430" t="str">
            <v>2026-3-07</v>
          </cell>
          <cell r="W3430">
            <v>49.07</v>
          </cell>
        </row>
        <row r="3431">
          <cell r="U3431" t="str">
            <v>沙坪坝店</v>
          </cell>
          <cell r="V3431" t="str">
            <v>2026-3-07</v>
          </cell>
          <cell r="W3431">
            <v>3.78</v>
          </cell>
        </row>
        <row r="3432">
          <cell r="U3432" t="str">
            <v>五路口店</v>
          </cell>
          <cell r="V3432" t="str">
            <v>2026-3-07</v>
          </cell>
          <cell r="W3432">
            <v>3.49</v>
          </cell>
        </row>
        <row r="3433">
          <cell r="U3433" t="str">
            <v>济南店</v>
          </cell>
          <cell r="V3433" t="str">
            <v>2026-3-07</v>
          </cell>
          <cell r="W3433">
            <v>8.09</v>
          </cell>
        </row>
        <row r="3434">
          <cell r="U3434" t="str">
            <v>青羊店</v>
          </cell>
          <cell r="V3434" t="str">
            <v>2026-3-07</v>
          </cell>
          <cell r="W3434">
            <v>2.78</v>
          </cell>
        </row>
        <row r="3435">
          <cell r="U3435" t="str">
            <v>观音桥店</v>
          </cell>
          <cell r="V3435" t="str">
            <v>2026-3-07</v>
          </cell>
          <cell r="W3435">
            <v>2.49</v>
          </cell>
        </row>
        <row r="3436">
          <cell r="U3436" t="str">
            <v>西湖店</v>
          </cell>
          <cell r="V3436" t="str">
            <v>2026-3-07</v>
          </cell>
          <cell r="W3436">
            <v>49.14</v>
          </cell>
        </row>
        <row r="3437">
          <cell r="U3437" t="str">
            <v>诚毅店</v>
          </cell>
          <cell r="V3437" t="str">
            <v>2026-3-07</v>
          </cell>
          <cell r="W3437">
            <v>5.09</v>
          </cell>
        </row>
        <row r="3438">
          <cell r="U3438" t="str">
            <v>湖里店</v>
          </cell>
          <cell r="V3438" t="str">
            <v>2026-3-07</v>
          </cell>
          <cell r="W3438">
            <v>10.99</v>
          </cell>
        </row>
        <row r="3439">
          <cell r="U3439" t="str">
            <v>东新店</v>
          </cell>
          <cell r="V3439" t="str">
            <v>2026-3-07</v>
          </cell>
          <cell r="W3439">
            <v>75.05</v>
          </cell>
        </row>
        <row r="3440">
          <cell r="U3440" t="str">
            <v>泉秀店</v>
          </cell>
          <cell r="V3440" t="str">
            <v>2026-3-07</v>
          </cell>
          <cell r="W3440">
            <v>8.17</v>
          </cell>
        </row>
        <row r="3441">
          <cell r="U3441" t="str">
            <v>大坪店</v>
          </cell>
          <cell r="V3441" t="str">
            <v>2026-3-07</v>
          </cell>
          <cell r="W3441">
            <v>2.54</v>
          </cell>
        </row>
        <row r="3442">
          <cell r="U3442" t="str">
            <v>凤城二路店</v>
          </cell>
          <cell r="V3442" t="str">
            <v>2026-3-07</v>
          </cell>
          <cell r="W3442">
            <v>4.32</v>
          </cell>
        </row>
        <row r="3443">
          <cell r="U3443" t="str">
            <v>洛江店</v>
          </cell>
          <cell r="V3443" t="str">
            <v>2026-3-07</v>
          </cell>
          <cell r="W3443">
            <v>21.93</v>
          </cell>
        </row>
        <row r="3444">
          <cell r="U3444" t="str">
            <v>官渡店</v>
          </cell>
          <cell r="V3444" t="str">
            <v>2026-3-07</v>
          </cell>
          <cell r="W3444">
            <v>14.15</v>
          </cell>
        </row>
        <row r="3445">
          <cell r="U3445" t="str">
            <v>武侯店</v>
          </cell>
          <cell r="V3445" t="str">
            <v>2026-3-07</v>
          </cell>
          <cell r="W3445">
            <v>26.46</v>
          </cell>
        </row>
        <row r="3446">
          <cell r="U3446" t="str">
            <v>黄雁村店</v>
          </cell>
          <cell r="V3446" t="str">
            <v>2026-3-07</v>
          </cell>
          <cell r="W3446">
            <v>5.87</v>
          </cell>
        </row>
        <row r="3447">
          <cell r="U3447" t="str">
            <v>五华店</v>
          </cell>
          <cell r="V3447" t="str">
            <v>2026-3-07</v>
          </cell>
          <cell r="W3447">
            <v>32.3</v>
          </cell>
        </row>
        <row r="3448">
          <cell r="U3448" t="str">
            <v>长沙店</v>
          </cell>
          <cell r="V3448" t="str">
            <v>2026-3-07</v>
          </cell>
          <cell r="W3448">
            <v>55.75</v>
          </cell>
        </row>
        <row r="3449">
          <cell r="U3449" t="str">
            <v>鼓楼店</v>
          </cell>
          <cell r="V3449" t="str">
            <v>2026-3-07</v>
          </cell>
          <cell r="W3449">
            <v>8.08</v>
          </cell>
        </row>
        <row r="3450">
          <cell r="U3450" t="str">
            <v>文昌店</v>
          </cell>
          <cell r="V3450" t="str">
            <v>2026-3-07</v>
          </cell>
          <cell r="W3450">
            <v>16.59</v>
          </cell>
        </row>
        <row r="3451">
          <cell r="U3451" t="str">
            <v>百丈店</v>
          </cell>
          <cell r="V3451" t="str">
            <v>2026-3-07</v>
          </cell>
          <cell r="W3451">
            <v>21.01</v>
          </cell>
        </row>
        <row r="3452">
          <cell r="U3452" t="str">
            <v>观桥店</v>
          </cell>
          <cell r="V3452" t="str">
            <v>2026-3-07</v>
          </cell>
          <cell r="W3452">
            <v>2.6</v>
          </cell>
        </row>
        <row r="3453">
          <cell r="U3453" t="str">
            <v>余杭店</v>
          </cell>
          <cell r="V3453" t="str">
            <v>2026-3-07</v>
          </cell>
          <cell r="W3453">
            <v>117.38</v>
          </cell>
        </row>
        <row r="3454">
          <cell r="U3454" t="str">
            <v>首山店</v>
          </cell>
          <cell r="V3454" t="str">
            <v>2026-3-07</v>
          </cell>
          <cell r="W3454">
            <v>7.59</v>
          </cell>
        </row>
        <row r="3455">
          <cell r="U3455" t="str">
            <v>文灶店</v>
          </cell>
          <cell r="V3455" t="str">
            <v>2026-3-07</v>
          </cell>
          <cell r="W3455">
            <v>0.5</v>
          </cell>
        </row>
        <row r="3456">
          <cell r="U3456" t="str">
            <v>首南店</v>
          </cell>
          <cell r="V3456" t="str">
            <v>2026-3-07</v>
          </cell>
          <cell r="W3456">
            <v>74.85</v>
          </cell>
        </row>
        <row r="3457">
          <cell r="U3457" t="str">
            <v>东海店</v>
          </cell>
          <cell r="V3457" t="str">
            <v>2026-3-07</v>
          </cell>
          <cell r="W3457">
            <v>13.52</v>
          </cell>
        </row>
        <row r="3458">
          <cell r="U3458" t="str">
            <v>东海店</v>
          </cell>
          <cell r="V3458" t="str">
            <v>2026-3-07</v>
          </cell>
          <cell r="W3458">
            <v>16.37</v>
          </cell>
        </row>
        <row r="3459">
          <cell r="U3459" t="str">
            <v>滨江店</v>
          </cell>
          <cell r="V3459" t="str">
            <v>2026-3-07</v>
          </cell>
          <cell r="W3459">
            <v>52.7</v>
          </cell>
        </row>
        <row r="3460">
          <cell r="U3460" t="str">
            <v>下沙店</v>
          </cell>
          <cell r="V3460" t="str">
            <v>2026-3-07</v>
          </cell>
          <cell r="W3460">
            <v>7.15</v>
          </cell>
        </row>
        <row r="3461">
          <cell r="U3461" t="str">
            <v>启点店</v>
          </cell>
          <cell r="V3461" t="str">
            <v>2026-3-08</v>
          </cell>
          <cell r="W3461">
            <v>51.92</v>
          </cell>
        </row>
        <row r="3462">
          <cell r="U3462" t="str">
            <v>高新店</v>
          </cell>
          <cell r="V3462" t="str">
            <v>2026-3-08</v>
          </cell>
          <cell r="W3462">
            <v>0.58</v>
          </cell>
        </row>
        <row r="3463">
          <cell r="U3463" t="str">
            <v>金牛店</v>
          </cell>
          <cell r="V3463" t="str">
            <v>2026-3-08</v>
          </cell>
          <cell r="W3463">
            <v>19.36</v>
          </cell>
        </row>
        <row r="3464">
          <cell r="U3464" t="str">
            <v>成华店</v>
          </cell>
          <cell r="V3464" t="str">
            <v>2026-3-08</v>
          </cell>
          <cell r="W3464">
            <v>23.35</v>
          </cell>
        </row>
        <row r="3465">
          <cell r="U3465" t="str">
            <v>西山店</v>
          </cell>
          <cell r="V3465" t="str">
            <v>2026-3-08</v>
          </cell>
          <cell r="W3465">
            <v>20.61</v>
          </cell>
        </row>
        <row r="3466">
          <cell r="U3466" t="str">
            <v>百捷店</v>
          </cell>
          <cell r="V3466" t="str">
            <v>2026-3-08</v>
          </cell>
          <cell r="W3466">
            <v>35.74</v>
          </cell>
        </row>
        <row r="3467">
          <cell r="U3467" t="str">
            <v>沙坪坝店</v>
          </cell>
          <cell r="V3467" t="str">
            <v>2026-3-08</v>
          </cell>
          <cell r="W3467">
            <v>0.67</v>
          </cell>
        </row>
        <row r="3468">
          <cell r="U3468" t="str">
            <v>五路口店</v>
          </cell>
          <cell r="V3468" t="str">
            <v>2026-3-08</v>
          </cell>
          <cell r="W3468">
            <v>4.29</v>
          </cell>
        </row>
        <row r="3469">
          <cell r="U3469" t="str">
            <v>济南店</v>
          </cell>
          <cell r="V3469" t="str">
            <v>2026-3-08</v>
          </cell>
          <cell r="W3469">
            <v>7.53</v>
          </cell>
        </row>
        <row r="3470">
          <cell r="U3470" t="str">
            <v>青羊店</v>
          </cell>
          <cell r="V3470" t="str">
            <v>2026-3-08</v>
          </cell>
          <cell r="W3470">
            <v>3.55</v>
          </cell>
        </row>
        <row r="3471">
          <cell r="U3471" t="str">
            <v>观音桥店</v>
          </cell>
          <cell r="V3471" t="str">
            <v>2026-3-08</v>
          </cell>
          <cell r="W3471">
            <v>6.02</v>
          </cell>
        </row>
        <row r="3472">
          <cell r="U3472" t="str">
            <v>西湖店</v>
          </cell>
          <cell r="V3472" t="str">
            <v>2026-3-08</v>
          </cell>
          <cell r="W3472">
            <v>53.96</v>
          </cell>
        </row>
        <row r="3473">
          <cell r="U3473" t="str">
            <v>诚毅店</v>
          </cell>
          <cell r="V3473" t="str">
            <v>2026-3-08</v>
          </cell>
          <cell r="W3473">
            <v>6.67</v>
          </cell>
        </row>
        <row r="3474">
          <cell r="U3474" t="str">
            <v>湖里店</v>
          </cell>
          <cell r="V3474" t="str">
            <v>2026-3-08</v>
          </cell>
          <cell r="W3474">
            <v>2.7</v>
          </cell>
        </row>
        <row r="3475">
          <cell r="U3475" t="str">
            <v>东新店</v>
          </cell>
          <cell r="V3475" t="str">
            <v>2026-3-08</v>
          </cell>
          <cell r="W3475">
            <v>102.69</v>
          </cell>
        </row>
        <row r="3476">
          <cell r="U3476" t="str">
            <v>泉秀店</v>
          </cell>
          <cell r="V3476" t="str">
            <v>2026-3-08</v>
          </cell>
          <cell r="W3476">
            <v>17.07</v>
          </cell>
        </row>
        <row r="3477">
          <cell r="U3477" t="str">
            <v>大坪店</v>
          </cell>
          <cell r="V3477" t="str">
            <v>2026-3-08</v>
          </cell>
          <cell r="W3477">
            <v>0.36</v>
          </cell>
        </row>
        <row r="3478">
          <cell r="U3478" t="str">
            <v>凤城二路店</v>
          </cell>
          <cell r="V3478" t="str">
            <v>2026-3-08</v>
          </cell>
          <cell r="W3478">
            <v>0.32</v>
          </cell>
        </row>
        <row r="3479">
          <cell r="U3479" t="str">
            <v>洛江店</v>
          </cell>
          <cell r="V3479" t="str">
            <v>2026-3-08</v>
          </cell>
          <cell r="W3479">
            <v>0</v>
          </cell>
        </row>
        <row r="3480">
          <cell r="U3480" t="str">
            <v>官渡店</v>
          </cell>
          <cell r="V3480" t="str">
            <v>2026-3-08</v>
          </cell>
          <cell r="W3480">
            <v>31.63</v>
          </cell>
        </row>
        <row r="3481">
          <cell r="U3481" t="str">
            <v>武侯店</v>
          </cell>
          <cell r="V3481" t="str">
            <v>2026-3-08</v>
          </cell>
          <cell r="W3481">
            <v>19.06</v>
          </cell>
        </row>
        <row r="3482">
          <cell r="U3482" t="str">
            <v>黄雁村店</v>
          </cell>
          <cell r="V3482" t="str">
            <v>2026-3-08</v>
          </cell>
          <cell r="W3482">
            <v>3.75</v>
          </cell>
        </row>
        <row r="3483">
          <cell r="U3483" t="str">
            <v>五华店</v>
          </cell>
          <cell r="V3483" t="str">
            <v>2026-3-08</v>
          </cell>
          <cell r="W3483">
            <v>20.65</v>
          </cell>
        </row>
        <row r="3484">
          <cell r="U3484" t="str">
            <v>长沙店</v>
          </cell>
          <cell r="V3484" t="str">
            <v>2026-3-08</v>
          </cell>
          <cell r="W3484">
            <v>68.32</v>
          </cell>
        </row>
        <row r="3485">
          <cell r="U3485" t="str">
            <v>鼓楼店</v>
          </cell>
          <cell r="V3485" t="str">
            <v>2026-3-08</v>
          </cell>
          <cell r="W3485">
            <v>12.36</v>
          </cell>
        </row>
        <row r="3486">
          <cell r="U3486" t="str">
            <v>文昌店</v>
          </cell>
          <cell r="V3486" t="str">
            <v>2026-3-08</v>
          </cell>
          <cell r="W3486">
            <v>24.48</v>
          </cell>
        </row>
        <row r="3487">
          <cell r="U3487" t="str">
            <v>百丈店</v>
          </cell>
          <cell r="V3487" t="str">
            <v>2026-3-08</v>
          </cell>
          <cell r="W3487">
            <v>38.6</v>
          </cell>
        </row>
        <row r="3488">
          <cell r="U3488" t="str">
            <v>观桥店</v>
          </cell>
          <cell r="V3488" t="str">
            <v>2026-3-08</v>
          </cell>
          <cell r="W3488">
            <v>0.52</v>
          </cell>
        </row>
        <row r="3489">
          <cell r="U3489" t="str">
            <v>余杭店</v>
          </cell>
          <cell r="V3489" t="str">
            <v>2026-3-08</v>
          </cell>
          <cell r="W3489">
            <v>99.48</v>
          </cell>
        </row>
        <row r="3490">
          <cell r="U3490" t="str">
            <v>首山店</v>
          </cell>
          <cell r="V3490" t="str">
            <v>2026-3-08</v>
          </cell>
          <cell r="W3490">
            <v>7.36</v>
          </cell>
        </row>
        <row r="3491">
          <cell r="U3491" t="str">
            <v>文灶店</v>
          </cell>
          <cell r="V3491" t="str">
            <v>2026-3-08</v>
          </cell>
          <cell r="W3491">
            <v>1.65</v>
          </cell>
        </row>
        <row r="3492">
          <cell r="U3492" t="str">
            <v>首南店</v>
          </cell>
          <cell r="V3492" t="str">
            <v>2026-3-08</v>
          </cell>
          <cell r="W3492">
            <v>60.47</v>
          </cell>
        </row>
        <row r="3493">
          <cell r="U3493" t="str">
            <v>东海店</v>
          </cell>
          <cell r="V3493" t="str">
            <v>2026-3-08</v>
          </cell>
          <cell r="W3493">
            <v>24.68</v>
          </cell>
        </row>
        <row r="3494">
          <cell r="U3494" t="str">
            <v>东海店</v>
          </cell>
          <cell r="V3494" t="str">
            <v>2026-3-08</v>
          </cell>
          <cell r="W3494">
            <v>22.52</v>
          </cell>
        </row>
        <row r="3495">
          <cell r="U3495" t="str">
            <v>滨江店</v>
          </cell>
          <cell r="V3495" t="str">
            <v>2026-3-08</v>
          </cell>
          <cell r="W3495">
            <v>51.63</v>
          </cell>
        </row>
        <row r="3496">
          <cell r="U3496" t="str">
            <v>下沙店</v>
          </cell>
          <cell r="V3496" t="str">
            <v>2026-3-08</v>
          </cell>
          <cell r="W3496">
            <v>4.19</v>
          </cell>
        </row>
        <row r="3497">
          <cell r="U3497" t="str">
            <v>南安店</v>
          </cell>
          <cell r="V3497" t="str">
            <v>2026-3-06</v>
          </cell>
          <cell r="W3497">
            <v>6.69</v>
          </cell>
        </row>
        <row r="3498">
          <cell r="U3498" t="str">
            <v>南安店</v>
          </cell>
          <cell r="V3498" t="str">
            <v>2026-3-06</v>
          </cell>
          <cell r="W3498">
            <v>0</v>
          </cell>
        </row>
        <row r="3499">
          <cell r="U3499" t="str">
            <v>南安店</v>
          </cell>
          <cell r="V3499" t="str">
            <v>2026-3-07</v>
          </cell>
          <cell r="W3499">
            <v>10.74</v>
          </cell>
        </row>
        <row r="3500">
          <cell r="U3500" t="str">
            <v>南安店</v>
          </cell>
          <cell r="V3500" t="str">
            <v>2026-3-07</v>
          </cell>
          <cell r="W3500">
            <v>0</v>
          </cell>
        </row>
        <row r="3501">
          <cell r="U3501" t="str">
            <v>南安店</v>
          </cell>
          <cell r="V3501" t="str">
            <v>2026-3-08</v>
          </cell>
          <cell r="W3501">
            <v>11.57</v>
          </cell>
        </row>
        <row r="3502">
          <cell r="U3502" t="str">
            <v>南安店</v>
          </cell>
          <cell r="V3502" t="str">
            <v>2026-3-08</v>
          </cell>
          <cell r="W3502">
            <v>0</v>
          </cell>
        </row>
        <row r="3503">
          <cell r="U3503" t="str">
            <v>启点店</v>
          </cell>
          <cell r="V3503" t="str">
            <v>2026-3-09</v>
          </cell>
          <cell r="W3503">
            <v>96.17</v>
          </cell>
        </row>
        <row r="3504">
          <cell r="U3504" t="str">
            <v>高新店</v>
          </cell>
          <cell r="V3504" t="str">
            <v>2026-3-09</v>
          </cell>
          <cell r="W3504">
            <v>1.33</v>
          </cell>
        </row>
        <row r="3505">
          <cell r="U3505" t="str">
            <v>金牛店</v>
          </cell>
          <cell r="V3505" t="str">
            <v>2026-3-09</v>
          </cell>
          <cell r="W3505">
            <v>30.51</v>
          </cell>
        </row>
        <row r="3506">
          <cell r="U3506" t="str">
            <v>成华店</v>
          </cell>
          <cell r="V3506" t="str">
            <v>2026-3-09</v>
          </cell>
          <cell r="W3506">
            <v>18.52</v>
          </cell>
        </row>
        <row r="3507">
          <cell r="U3507" t="str">
            <v>西山店</v>
          </cell>
          <cell r="V3507" t="str">
            <v>2026-3-09</v>
          </cell>
          <cell r="W3507">
            <v>26.22</v>
          </cell>
        </row>
        <row r="3508">
          <cell r="U3508" t="str">
            <v>百捷店</v>
          </cell>
          <cell r="V3508" t="str">
            <v>2026-3-09</v>
          </cell>
          <cell r="W3508">
            <v>45.17</v>
          </cell>
        </row>
        <row r="3509">
          <cell r="U3509" t="str">
            <v>沙坪坝店</v>
          </cell>
          <cell r="V3509" t="str">
            <v>2026-3-09</v>
          </cell>
          <cell r="W3509">
            <v>3.26</v>
          </cell>
        </row>
        <row r="3510">
          <cell r="U3510" t="str">
            <v>五路口店</v>
          </cell>
          <cell r="V3510" t="str">
            <v>2026-3-09</v>
          </cell>
          <cell r="W3510">
            <v>1.99</v>
          </cell>
        </row>
        <row r="3511">
          <cell r="U3511" t="str">
            <v>济南店</v>
          </cell>
          <cell r="V3511" t="str">
            <v>2026-3-09</v>
          </cell>
          <cell r="W3511">
            <v>9.65</v>
          </cell>
        </row>
        <row r="3512">
          <cell r="U3512" t="str">
            <v>青羊店</v>
          </cell>
          <cell r="V3512" t="str">
            <v>2026-3-09</v>
          </cell>
          <cell r="W3512">
            <v>0.38</v>
          </cell>
        </row>
        <row r="3513">
          <cell r="U3513" t="str">
            <v>观音桥店</v>
          </cell>
          <cell r="V3513" t="str">
            <v>2026-3-09</v>
          </cell>
          <cell r="W3513">
            <v>2.99</v>
          </cell>
        </row>
        <row r="3514">
          <cell r="U3514" t="str">
            <v>西湖店</v>
          </cell>
          <cell r="V3514" t="str">
            <v>2026-3-09</v>
          </cell>
          <cell r="W3514">
            <v>44.05</v>
          </cell>
        </row>
        <row r="3515">
          <cell r="U3515" t="str">
            <v>诚毅店</v>
          </cell>
          <cell r="V3515" t="str">
            <v>2026-3-09</v>
          </cell>
          <cell r="W3515">
            <v>14.7</v>
          </cell>
        </row>
        <row r="3516">
          <cell r="U3516" t="str">
            <v>湖里店</v>
          </cell>
          <cell r="V3516" t="str">
            <v>2026-3-09</v>
          </cell>
          <cell r="W3516">
            <v>4.33</v>
          </cell>
        </row>
        <row r="3517">
          <cell r="U3517" t="str">
            <v>东新店</v>
          </cell>
          <cell r="V3517" t="str">
            <v>2026-3-09</v>
          </cell>
          <cell r="W3517">
            <v>82.65</v>
          </cell>
        </row>
        <row r="3518">
          <cell r="U3518" t="str">
            <v>泉秀店</v>
          </cell>
          <cell r="V3518" t="str">
            <v>2026-3-09</v>
          </cell>
          <cell r="W3518">
            <v>18.13</v>
          </cell>
        </row>
        <row r="3519">
          <cell r="U3519" t="str">
            <v>大坪店</v>
          </cell>
          <cell r="V3519" t="str">
            <v>2026-3-09</v>
          </cell>
          <cell r="W3519">
            <v>10.66</v>
          </cell>
        </row>
        <row r="3520">
          <cell r="U3520" t="str">
            <v>凤城二路店</v>
          </cell>
          <cell r="V3520" t="str">
            <v>2026-3-09</v>
          </cell>
          <cell r="W3520">
            <v>3.3</v>
          </cell>
        </row>
        <row r="3521">
          <cell r="U3521" t="str">
            <v>洛江店</v>
          </cell>
          <cell r="V3521" t="str">
            <v>2026-3-09</v>
          </cell>
          <cell r="W3521">
            <v>26.19</v>
          </cell>
        </row>
        <row r="3522">
          <cell r="U3522" t="str">
            <v>官渡店</v>
          </cell>
          <cell r="V3522" t="str">
            <v>2026-3-09</v>
          </cell>
          <cell r="W3522">
            <v>33.47</v>
          </cell>
        </row>
        <row r="3523">
          <cell r="U3523" t="str">
            <v>武侯店</v>
          </cell>
          <cell r="V3523" t="str">
            <v>2026-3-09</v>
          </cell>
          <cell r="W3523">
            <v>27.73</v>
          </cell>
        </row>
        <row r="3524">
          <cell r="U3524" t="str">
            <v>黄雁村店</v>
          </cell>
          <cell r="V3524" t="str">
            <v>2026-3-09</v>
          </cell>
          <cell r="W3524">
            <v>5.08</v>
          </cell>
        </row>
        <row r="3525">
          <cell r="U3525" t="str">
            <v>五华店</v>
          </cell>
          <cell r="V3525" t="str">
            <v>2026-3-09</v>
          </cell>
          <cell r="W3525">
            <v>21.27</v>
          </cell>
        </row>
        <row r="3526">
          <cell r="U3526" t="str">
            <v>长沙店</v>
          </cell>
          <cell r="V3526" t="str">
            <v>2026-3-09</v>
          </cell>
          <cell r="W3526">
            <v>26.34</v>
          </cell>
        </row>
        <row r="3527">
          <cell r="U3527" t="str">
            <v>鼓楼店</v>
          </cell>
          <cell r="V3527" t="str">
            <v>2026-3-09</v>
          </cell>
          <cell r="W3527">
            <v>11.8</v>
          </cell>
        </row>
        <row r="3528">
          <cell r="U3528" t="str">
            <v>文昌店</v>
          </cell>
          <cell r="V3528" t="str">
            <v>2026-3-09</v>
          </cell>
          <cell r="W3528">
            <v>22.03</v>
          </cell>
        </row>
        <row r="3529">
          <cell r="U3529" t="str">
            <v>百丈店</v>
          </cell>
          <cell r="V3529" t="str">
            <v>2026-3-09</v>
          </cell>
          <cell r="W3529">
            <v>29.97</v>
          </cell>
        </row>
        <row r="3530">
          <cell r="U3530" t="str">
            <v>观桥店</v>
          </cell>
          <cell r="V3530" t="str">
            <v>2026-3-09</v>
          </cell>
          <cell r="W3530">
            <v>1.61</v>
          </cell>
        </row>
        <row r="3531">
          <cell r="U3531" t="str">
            <v>余杭店</v>
          </cell>
          <cell r="V3531" t="str">
            <v>2026-3-09</v>
          </cell>
          <cell r="W3531">
            <v>113.5</v>
          </cell>
        </row>
        <row r="3532">
          <cell r="U3532" t="str">
            <v>首山店</v>
          </cell>
          <cell r="V3532" t="str">
            <v>2026-3-09</v>
          </cell>
          <cell r="W3532">
            <v>5.6</v>
          </cell>
        </row>
        <row r="3533">
          <cell r="U3533" t="str">
            <v>文灶店</v>
          </cell>
          <cell r="V3533" t="str">
            <v>2026-3-09</v>
          </cell>
          <cell r="W3533">
            <v>0.87</v>
          </cell>
        </row>
        <row r="3534">
          <cell r="U3534" t="str">
            <v>首南店</v>
          </cell>
          <cell r="V3534" t="str">
            <v>2026-3-09</v>
          </cell>
          <cell r="W3534">
            <v>64.96</v>
          </cell>
        </row>
        <row r="3535">
          <cell r="U3535" t="str">
            <v>东海店</v>
          </cell>
          <cell r="V3535" t="str">
            <v>2026-3-09</v>
          </cell>
          <cell r="W3535">
            <v>6.78</v>
          </cell>
        </row>
        <row r="3536">
          <cell r="U3536" t="str">
            <v>东海店</v>
          </cell>
          <cell r="V3536" t="str">
            <v>2026-3-09</v>
          </cell>
          <cell r="W3536">
            <v>2.53</v>
          </cell>
        </row>
        <row r="3537">
          <cell r="U3537" t="str">
            <v>滨江店</v>
          </cell>
          <cell r="V3537" t="str">
            <v>2026-3-09</v>
          </cell>
          <cell r="W3537">
            <v>90.1</v>
          </cell>
        </row>
        <row r="3538">
          <cell r="U3538" t="str">
            <v>下沙店</v>
          </cell>
          <cell r="V3538" t="str">
            <v>2026-3-09</v>
          </cell>
          <cell r="W3538">
            <v>3.78</v>
          </cell>
        </row>
        <row r="3539">
          <cell r="U3539" t="str">
            <v>南安店</v>
          </cell>
          <cell r="V3539" t="str">
            <v>2026-3-09</v>
          </cell>
          <cell r="W3539">
            <v>9.41</v>
          </cell>
        </row>
        <row r="3540">
          <cell r="U3540" t="str">
            <v>南安店</v>
          </cell>
          <cell r="V3540" t="str">
            <v>2026-3-09</v>
          </cell>
          <cell r="W3540">
            <v>0</v>
          </cell>
        </row>
        <row r="3541">
          <cell r="U3541" t="str">
            <v>启点店</v>
          </cell>
          <cell r="V3541" t="str">
            <v>2026-3-10</v>
          </cell>
          <cell r="W3541">
            <v>39.2</v>
          </cell>
        </row>
        <row r="3542">
          <cell r="U3542" t="str">
            <v>高新店</v>
          </cell>
          <cell r="V3542" t="str">
            <v>2026-3-10</v>
          </cell>
          <cell r="W3542">
            <v>2.58</v>
          </cell>
        </row>
        <row r="3543">
          <cell r="U3543" t="str">
            <v>金牛店</v>
          </cell>
          <cell r="V3543" t="str">
            <v>2026-3-10</v>
          </cell>
          <cell r="W3543">
            <v>27.1</v>
          </cell>
        </row>
        <row r="3544">
          <cell r="U3544" t="str">
            <v>成华店</v>
          </cell>
          <cell r="V3544" t="str">
            <v>2026-3-10</v>
          </cell>
          <cell r="W3544">
            <v>71.47</v>
          </cell>
        </row>
        <row r="3545">
          <cell r="U3545" t="str">
            <v>西山店</v>
          </cell>
          <cell r="V3545" t="str">
            <v>2026-3-10</v>
          </cell>
          <cell r="W3545">
            <v>16.58</v>
          </cell>
        </row>
        <row r="3546">
          <cell r="U3546" t="str">
            <v>百捷店</v>
          </cell>
          <cell r="V3546" t="str">
            <v>2026-3-10</v>
          </cell>
          <cell r="W3546">
            <v>70.22</v>
          </cell>
        </row>
        <row r="3547">
          <cell r="U3547" t="str">
            <v>沙坪坝店</v>
          </cell>
          <cell r="V3547" t="str">
            <v>2026-3-10</v>
          </cell>
          <cell r="W3547">
            <v>0.37</v>
          </cell>
        </row>
        <row r="3548">
          <cell r="U3548" t="str">
            <v>五路口店</v>
          </cell>
          <cell r="V3548" t="str">
            <v>2026-3-10</v>
          </cell>
          <cell r="W3548">
            <v>1.13</v>
          </cell>
        </row>
        <row r="3549">
          <cell r="U3549" t="str">
            <v>济南店</v>
          </cell>
          <cell r="V3549" t="str">
            <v>2026-3-10</v>
          </cell>
          <cell r="W3549">
            <v>6.87</v>
          </cell>
        </row>
        <row r="3550">
          <cell r="U3550" t="str">
            <v>青羊店</v>
          </cell>
          <cell r="V3550" t="str">
            <v>2026-3-10</v>
          </cell>
          <cell r="W3550">
            <v>4.23</v>
          </cell>
        </row>
        <row r="3551">
          <cell r="U3551" t="str">
            <v>观音桥店</v>
          </cell>
          <cell r="V3551" t="str">
            <v>2026-3-10</v>
          </cell>
          <cell r="W3551">
            <v>5.38</v>
          </cell>
        </row>
        <row r="3552">
          <cell r="U3552" t="str">
            <v>西湖店</v>
          </cell>
          <cell r="V3552" t="str">
            <v>2026-3-10</v>
          </cell>
          <cell r="W3552">
            <v>53.66</v>
          </cell>
        </row>
        <row r="3553">
          <cell r="U3553" t="str">
            <v>诚毅店</v>
          </cell>
          <cell r="V3553" t="str">
            <v>2026-3-10</v>
          </cell>
          <cell r="W3553">
            <v>48.21</v>
          </cell>
        </row>
        <row r="3554">
          <cell r="U3554" t="str">
            <v>湖里店</v>
          </cell>
          <cell r="V3554" t="str">
            <v>2026-3-10</v>
          </cell>
          <cell r="W3554">
            <v>7.52</v>
          </cell>
        </row>
        <row r="3555">
          <cell r="U3555" t="str">
            <v>东新店</v>
          </cell>
          <cell r="V3555" t="str">
            <v>2026-3-10</v>
          </cell>
          <cell r="W3555">
            <v>104.92</v>
          </cell>
        </row>
        <row r="3556">
          <cell r="U3556" t="str">
            <v>泉秀店</v>
          </cell>
          <cell r="V3556" t="str">
            <v>2026-3-10</v>
          </cell>
          <cell r="W3556">
            <v>9.16</v>
          </cell>
        </row>
        <row r="3557">
          <cell r="U3557" t="str">
            <v>大坪店</v>
          </cell>
          <cell r="V3557" t="str">
            <v>2026-3-10</v>
          </cell>
          <cell r="W3557">
            <v>22.38</v>
          </cell>
        </row>
        <row r="3558">
          <cell r="U3558" t="str">
            <v>凤城二路店</v>
          </cell>
          <cell r="V3558" t="str">
            <v>2026-3-10</v>
          </cell>
          <cell r="W3558">
            <v>4.03</v>
          </cell>
        </row>
        <row r="3559">
          <cell r="U3559" t="str">
            <v>洛江店</v>
          </cell>
          <cell r="V3559" t="str">
            <v>2026-3-10</v>
          </cell>
          <cell r="W3559">
            <v>39.41</v>
          </cell>
        </row>
        <row r="3560">
          <cell r="U3560" t="str">
            <v>官渡店</v>
          </cell>
          <cell r="V3560" t="str">
            <v>2026-3-10</v>
          </cell>
          <cell r="W3560">
            <v>26.63</v>
          </cell>
        </row>
        <row r="3561">
          <cell r="U3561" t="str">
            <v>武侯店</v>
          </cell>
          <cell r="V3561" t="str">
            <v>2026-3-10</v>
          </cell>
          <cell r="W3561">
            <v>14.11</v>
          </cell>
        </row>
        <row r="3562">
          <cell r="U3562" t="str">
            <v>黄雁村店</v>
          </cell>
          <cell r="V3562" t="str">
            <v>2026-3-10</v>
          </cell>
          <cell r="W3562">
            <v>5.22</v>
          </cell>
        </row>
        <row r="3563">
          <cell r="U3563" t="str">
            <v>五华店</v>
          </cell>
          <cell r="V3563" t="str">
            <v>2026-3-10</v>
          </cell>
          <cell r="W3563">
            <v>17.35</v>
          </cell>
        </row>
        <row r="3564">
          <cell r="U3564" t="str">
            <v>长沙店</v>
          </cell>
          <cell r="V3564" t="str">
            <v>2026-3-10</v>
          </cell>
          <cell r="W3564">
            <v>38.17</v>
          </cell>
        </row>
        <row r="3565">
          <cell r="U3565" t="str">
            <v>鼓楼店</v>
          </cell>
          <cell r="V3565" t="str">
            <v>2026-3-10</v>
          </cell>
          <cell r="W3565">
            <v>6.83</v>
          </cell>
        </row>
        <row r="3566">
          <cell r="U3566" t="str">
            <v>文昌店</v>
          </cell>
          <cell r="V3566" t="str">
            <v>2026-3-10</v>
          </cell>
          <cell r="W3566">
            <v>24.83</v>
          </cell>
        </row>
        <row r="3567">
          <cell r="U3567" t="str">
            <v>百丈店</v>
          </cell>
          <cell r="V3567" t="str">
            <v>2026-3-10</v>
          </cell>
          <cell r="W3567">
            <v>45.73</v>
          </cell>
        </row>
        <row r="3568">
          <cell r="U3568" t="str">
            <v>观桥店</v>
          </cell>
          <cell r="V3568" t="str">
            <v>2026-3-10</v>
          </cell>
          <cell r="W3568">
            <v>8.02</v>
          </cell>
        </row>
        <row r="3569">
          <cell r="U3569" t="str">
            <v>余杭店</v>
          </cell>
          <cell r="V3569" t="str">
            <v>2026-3-10</v>
          </cell>
          <cell r="W3569">
            <v>87.35</v>
          </cell>
        </row>
        <row r="3570">
          <cell r="U3570" t="str">
            <v>首山店</v>
          </cell>
          <cell r="V3570" t="str">
            <v>2026-3-10</v>
          </cell>
          <cell r="W3570">
            <v>3.26</v>
          </cell>
        </row>
        <row r="3571">
          <cell r="U3571" t="str">
            <v>文灶店</v>
          </cell>
          <cell r="V3571" t="str">
            <v>2026-3-10</v>
          </cell>
          <cell r="W3571">
            <v>1.16</v>
          </cell>
        </row>
        <row r="3572">
          <cell r="U3572" t="str">
            <v>首南店</v>
          </cell>
          <cell r="V3572" t="str">
            <v>2026-3-10</v>
          </cell>
          <cell r="W3572">
            <v>95.24</v>
          </cell>
        </row>
        <row r="3573">
          <cell r="U3573" t="str">
            <v>东海店</v>
          </cell>
          <cell r="V3573" t="str">
            <v>2026-3-10</v>
          </cell>
          <cell r="W3573">
            <v>2.16</v>
          </cell>
        </row>
        <row r="3574">
          <cell r="U3574" t="str">
            <v>东海店</v>
          </cell>
          <cell r="V3574" t="str">
            <v>2026-3-10</v>
          </cell>
          <cell r="W3574">
            <v>2.23</v>
          </cell>
        </row>
        <row r="3575">
          <cell r="U3575" t="str">
            <v>滨江店</v>
          </cell>
          <cell r="V3575" t="str">
            <v>2026-3-10</v>
          </cell>
          <cell r="W3575">
            <v>73.35</v>
          </cell>
        </row>
        <row r="3576">
          <cell r="U3576" t="str">
            <v>下沙店</v>
          </cell>
          <cell r="V3576" t="str">
            <v>2026-3-10</v>
          </cell>
          <cell r="W3576">
            <v>3.17</v>
          </cell>
        </row>
        <row r="3577">
          <cell r="U3577" t="str">
            <v>南安店</v>
          </cell>
          <cell r="V3577" t="str">
            <v>2026-3-10</v>
          </cell>
          <cell r="W3577">
            <v>9.62</v>
          </cell>
        </row>
        <row r="3578">
          <cell r="U3578" t="str">
            <v>南安店</v>
          </cell>
          <cell r="V3578" t="str">
            <v>2026-3-10</v>
          </cell>
          <cell r="W3578">
            <v>0</v>
          </cell>
        </row>
        <row r="3579">
          <cell r="U3579" t="str">
            <v>启点店</v>
          </cell>
          <cell r="V3579" t="str">
            <v>2026-3-11</v>
          </cell>
          <cell r="W3579">
            <v>86.29</v>
          </cell>
        </row>
        <row r="3580">
          <cell r="U3580" t="str">
            <v>高新店</v>
          </cell>
          <cell r="V3580" t="str">
            <v>2026-3-11</v>
          </cell>
          <cell r="W3580">
            <v>16.5</v>
          </cell>
        </row>
        <row r="3581">
          <cell r="U3581" t="str">
            <v>金牛店</v>
          </cell>
          <cell r="V3581" t="str">
            <v>2026-3-11</v>
          </cell>
          <cell r="W3581">
            <v>41.71</v>
          </cell>
        </row>
        <row r="3582">
          <cell r="U3582" t="str">
            <v>成华店</v>
          </cell>
          <cell r="V3582" t="str">
            <v>2026-3-11</v>
          </cell>
          <cell r="W3582">
            <v>3.69</v>
          </cell>
        </row>
        <row r="3583">
          <cell r="U3583" t="str">
            <v>西山店</v>
          </cell>
          <cell r="V3583" t="str">
            <v>2026-3-11</v>
          </cell>
          <cell r="W3583">
            <v>27.01</v>
          </cell>
        </row>
        <row r="3584">
          <cell r="U3584" t="str">
            <v>百捷店</v>
          </cell>
          <cell r="V3584" t="str">
            <v>2026-3-11</v>
          </cell>
          <cell r="W3584">
            <v>12.06</v>
          </cell>
        </row>
        <row r="3585">
          <cell r="U3585" t="str">
            <v>沙坪坝店</v>
          </cell>
          <cell r="V3585" t="str">
            <v>2026-3-11</v>
          </cell>
          <cell r="W3585">
            <v>0</v>
          </cell>
        </row>
        <row r="3586">
          <cell r="U3586" t="str">
            <v>五路口店</v>
          </cell>
          <cell r="V3586" t="str">
            <v>2026-3-11</v>
          </cell>
          <cell r="W3586">
            <v>0.24</v>
          </cell>
        </row>
        <row r="3587">
          <cell r="U3587" t="str">
            <v>济南店</v>
          </cell>
          <cell r="V3587" t="str">
            <v>2026-3-11</v>
          </cell>
          <cell r="W3587">
            <v>31.92</v>
          </cell>
        </row>
        <row r="3588">
          <cell r="U3588" t="str">
            <v>青羊店</v>
          </cell>
          <cell r="V3588" t="str">
            <v>2026-3-11</v>
          </cell>
          <cell r="W3588">
            <v>0</v>
          </cell>
        </row>
        <row r="3589">
          <cell r="U3589" t="str">
            <v>观音桥店</v>
          </cell>
          <cell r="V3589" t="str">
            <v>2026-3-11</v>
          </cell>
          <cell r="W3589">
            <v>2.55</v>
          </cell>
        </row>
        <row r="3590">
          <cell r="U3590" t="str">
            <v>西湖店</v>
          </cell>
          <cell r="V3590" t="str">
            <v>2026-3-11</v>
          </cell>
          <cell r="W3590">
            <v>120.82</v>
          </cell>
        </row>
        <row r="3591">
          <cell r="U3591" t="str">
            <v>诚毅店</v>
          </cell>
          <cell r="V3591" t="str">
            <v>2026-3-11</v>
          </cell>
          <cell r="W3591">
            <v>57.53</v>
          </cell>
        </row>
        <row r="3592">
          <cell r="U3592" t="str">
            <v>湖里店</v>
          </cell>
          <cell r="V3592" t="str">
            <v>2026-3-11</v>
          </cell>
          <cell r="W3592">
            <v>12.16</v>
          </cell>
        </row>
        <row r="3593">
          <cell r="U3593" t="str">
            <v>东新店</v>
          </cell>
          <cell r="V3593" t="str">
            <v>2026-3-11</v>
          </cell>
          <cell r="W3593">
            <v>87.58</v>
          </cell>
        </row>
        <row r="3594">
          <cell r="U3594" t="str">
            <v>泉秀店</v>
          </cell>
          <cell r="V3594" t="str">
            <v>2026-3-11</v>
          </cell>
          <cell r="W3594">
            <v>28.6</v>
          </cell>
        </row>
        <row r="3595">
          <cell r="U3595" t="str">
            <v>大坪店</v>
          </cell>
          <cell r="V3595" t="str">
            <v>2026-3-11</v>
          </cell>
          <cell r="W3595">
            <v>38.15</v>
          </cell>
        </row>
        <row r="3596">
          <cell r="U3596" t="str">
            <v>凤城二路店</v>
          </cell>
          <cell r="V3596" t="str">
            <v>2026-3-11</v>
          </cell>
          <cell r="W3596">
            <v>5.29</v>
          </cell>
        </row>
        <row r="3597">
          <cell r="U3597" t="str">
            <v>洛江店</v>
          </cell>
          <cell r="V3597" t="str">
            <v>2026-3-11</v>
          </cell>
          <cell r="W3597">
            <v>19.77</v>
          </cell>
        </row>
        <row r="3598">
          <cell r="U3598" t="str">
            <v>官渡店</v>
          </cell>
          <cell r="V3598" t="str">
            <v>2026-3-11</v>
          </cell>
          <cell r="W3598">
            <v>20.72</v>
          </cell>
        </row>
        <row r="3599">
          <cell r="U3599" t="str">
            <v>武侯店</v>
          </cell>
          <cell r="V3599" t="str">
            <v>2026-3-11</v>
          </cell>
          <cell r="W3599">
            <v>7.34</v>
          </cell>
        </row>
        <row r="3600">
          <cell r="U3600" t="str">
            <v>黄雁村店</v>
          </cell>
          <cell r="V3600" t="str">
            <v>2026-3-11</v>
          </cell>
          <cell r="W3600">
            <v>33.83</v>
          </cell>
        </row>
        <row r="3601">
          <cell r="U3601" t="str">
            <v>五华店</v>
          </cell>
          <cell r="V3601" t="str">
            <v>2026-3-11</v>
          </cell>
          <cell r="W3601">
            <v>23.25</v>
          </cell>
        </row>
        <row r="3602">
          <cell r="U3602" t="str">
            <v>长沙店</v>
          </cell>
          <cell r="V3602" t="str">
            <v>2026-3-11</v>
          </cell>
          <cell r="W3602">
            <v>37.15</v>
          </cell>
        </row>
        <row r="3603">
          <cell r="U3603" t="str">
            <v>鼓楼店</v>
          </cell>
          <cell r="V3603" t="str">
            <v>2026-3-11</v>
          </cell>
          <cell r="W3603">
            <v>10.6</v>
          </cell>
        </row>
        <row r="3604">
          <cell r="U3604" t="str">
            <v>文昌店</v>
          </cell>
          <cell r="V3604" t="str">
            <v>2026-3-11</v>
          </cell>
          <cell r="W3604">
            <v>14.26</v>
          </cell>
        </row>
        <row r="3605">
          <cell r="U3605" t="str">
            <v>百丈店</v>
          </cell>
          <cell r="V3605" t="str">
            <v>2026-3-11</v>
          </cell>
          <cell r="W3605">
            <v>52.74</v>
          </cell>
        </row>
        <row r="3606">
          <cell r="U3606" t="str">
            <v>观桥店</v>
          </cell>
          <cell r="V3606" t="str">
            <v>2026-3-11</v>
          </cell>
          <cell r="W3606">
            <v>35.55</v>
          </cell>
        </row>
        <row r="3607">
          <cell r="U3607" t="str">
            <v>余杭店</v>
          </cell>
          <cell r="V3607" t="str">
            <v>2026-3-11</v>
          </cell>
          <cell r="W3607">
            <v>96.21</v>
          </cell>
        </row>
        <row r="3608">
          <cell r="U3608" t="str">
            <v>首山店</v>
          </cell>
          <cell r="V3608" t="str">
            <v>2026-3-11</v>
          </cell>
          <cell r="W3608">
            <v>30.81</v>
          </cell>
        </row>
        <row r="3609">
          <cell r="U3609" t="str">
            <v>文灶店</v>
          </cell>
          <cell r="V3609" t="str">
            <v>2026-3-11</v>
          </cell>
          <cell r="W3609">
            <v>2.28</v>
          </cell>
        </row>
        <row r="3610">
          <cell r="U3610" t="str">
            <v>首南店</v>
          </cell>
          <cell r="V3610" t="str">
            <v>2026-3-11</v>
          </cell>
          <cell r="W3610">
            <v>78.76</v>
          </cell>
        </row>
        <row r="3611">
          <cell r="U3611" t="str">
            <v>东海店</v>
          </cell>
          <cell r="V3611" t="str">
            <v>2026-3-11</v>
          </cell>
          <cell r="W3611">
            <v>3.96</v>
          </cell>
        </row>
        <row r="3612">
          <cell r="U3612" t="str">
            <v>东海店</v>
          </cell>
          <cell r="V3612" t="str">
            <v>2026-3-11</v>
          </cell>
          <cell r="W3612">
            <v>0.17</v>
          </cell>
        </row>
        <row r="3613">
          <cell r="U3613" t="str">
            <v>滨江店</v>
          </cell>
          <cell r="V3613" t="str">
            <v>2026-3-11</v>
          </cell>
          <cell r="W3613">
            <v>65.86</v>
          </cell>
        </row>
        <row r="3614">
          <cell r="U3614" t="str">
            <v>下沙店</v>
          </cell>
          <cell r="V3614" t="str">
            <v>2026-3-11</v>
          </cell>
          <cell r="W3614">
            <v>6.21</v>
          </cell>
        </row>
        <row r="3615">
          <cell r="U3615" t="str">
            <v>南安店</v>
          </cell>
          <cell r="V3615" t="str">
            <v>2026-3-11</v>
          </cell>
          <cell r="W3615">
            <v>10.01</v>
          </cell>
        </row>
        <row r="3616">
          <cell r="U3616" t="str">
            <v>南安店</v>
          </cell>
          <cell r="V3616" t="str">
            <v>2026-3-11</v>
          </cell>
          <cell r="W3616">
            <v>0</v>
          </cell>
        </row>
        <row r="3617">
          <cell r="U3617" t="str">
            <v>启点店</v>
          </cell>
          <cell r="V3617" t="str">
            <v>2026-3-12</v>
          </cell>
          <cell r="W3617">
            <v>39.45</v>
          </cell>
        </row>
        <row r="3618">
          <cell r="U3618" t="str">
            <v>高新店</v>
          </cell>
          <cell r="V3618" t="str">
            <v>2026-3-12</v>
          </cell>
          <cell r="W3618">
            <v>32.47</v>
          </cell>
        </row>
        <row r="3619">
          <cell r="U3619" t="str">
            <v>金牛店</v>
          </cell>
          <cell r="V3619" t="str">
            <v>2026-3-12</v>
          </cell>
          <cell r="W3619">
            <v>34.09</v>
          </cell>
        </row>
        <row r="3620">
          <cell r="U3620" t="str">
            <v>成华店</v>
          </cell>
          <cell r="V3620" t="str">
            <v>2026-3-12</v>
          </cell>
          <cell r="W3620">
            <v>35.57</v>
          </cell>
        </row>
        <row r="3621">
          <cell r="U3621" t="str">
            <v>西山店</v>
          </cell>
          <cell r="V3621" t="str">
            <v>2026-3-12</v>
          </cell>
          <cell r="W3621">
            <v>26.52</v>
          </cell>
        </row>
        <row r="3622">
          <cell r="U3622" t="str">
            <v>百捷店</v>
          </cell>
          <cell r="V3622" t="str">
            <v>2026-3-12</v>
          </cell>
          <cell r="W3622">
            <v>4.28</v>
          </cell>
        </row>
        <row r="3623">
          <cell r="U3623" t="str">
            <v>沙坪坝店</v>
          </cell>
          <cell r="V3623" t="str">
            <v>2026-3-12</v>
          </cell>
          <cell r="W3623">
            <v>0</v>
          </cell>
        </row>
        <row r="3624">
          <cell r="U3624" t="str">
            <v>五路口店</v>
          </cell>
          <cell r="V3624" t="str">
            <v>2026-3-12</v>
          </cell>
          <cell r="W3624">
            <v>2.77</v>
          </cell>
        </row>
        <row r="3625">
          <cell r="U3625" t="str">
            <v>济南店</v>
          </cell>
          <cell r="V3625" t="str">
            <v>2026-3-12</v>
          </cell>
          <cell r="W3625">
            <v>79.28</v>
          </cell>
        </row>
        <row r="3626">
          <cell r="U3626" t="str">
            <v>青羊店</v>
          </cell>
          <cell r="V3626" t="str">
            <v>2026-3-12</v>
          </cell>
          <cell r="W3626">
            <v>0.1</v>
          </cell>
        </row>
        <row r="3627">
          <cell r="U3627" t="str">
            <v>观音桥店</v>
          </cell>
          <cell r="V3627" t="str">
            <v>2026-3-12</v>
          </cell>
          <cell r="W3627">
            <v>1.03</v>
          </cell>
        </row>
        <row r="3628">
          <cell r="U3628" t="str">
            <v>西湖店</v>
          </cell>
          <cell r="V3628" t="str">
            <v>2026-3-12</v>
          </cell>
          <cell r="W3628">
            <v>107.84</v>
          </cell>
        </row>
        <row r="3629">
          <cell r="U3629" t="str">
            <v>诚毅店</v>
          </cell>
          <cell r="V3629" t="str">
            <v>2026-3-12</v>
          </cell>
          <cell r="W3629">
            <v>78.92</v>
          </cell>
        </row>
        <row r="3630">
          <cell r="U3630" t="str">
            <v>湖里店</v>
          </cell>
          <cell r="V3630" t="str">
            <v>2026-3-12</v>
          </cell>
          <cell r="W3630">
            <v>8.16</v>
          </cell>
        </row>
        <row r="3631">
          <cell r="U3631" t="str">
            <v>东新店</v>
          </cell>
          <cell r="V3631" t="str">
            <v>2026-3-12</v>
          </cell>
          <cell r="W3631">
            <v>109.02</v>
          </cell>
        </row>
        <row r="3632">
          <cell r="U3632" t="str">
            <v>泉秀店</v>
          </cell>
          <cell r="V3632" t="str">
            <v>2026-3-12</v>
          </cell>
          <cell r="W3632">
            <v>14.84</v>
          </cell>
        </row>
        <row r="3633">
          <cell r="U3633" t="str">
            <v>大坪店</v>
          </cell>
          <cell r="V3633" t="str">
            <v>2026-3-12</v>
          </cell>
          <cell r="W3633">
            <v>22.38</v>
          </cell>
        </row>
        <row r="3634">
          <cell r="U3634" t="str">
            <v>凤城二路店</v>
          </cell>
          <cell r="V3634" t="str">
            <v>2026-3-12</v>
          </cell>
          <cell r="W3634">
            <v>0.2</v>
          </cell>
        </row>
        <row r="3635">
          <cell r="U3635" t="str">
            <v>洛江店</v>
          </cell>
          <cell r="V3635" t="str">
            <v>2026-3-12</v>
          </cell>
          <cell r="W3635">
            <v>28.63</v>
          </cell>
        </row>
        <row r="3636">
          <cell r="U3636" t="str">
            <v>官渡店</v>
          </cell>
          <cell r="V3636" t="str">
            <v>2026-3-12</v>
          </cell>
          <cell r="W3636">
            <v>15.43</v>
          </cell>
        </row>
        <row r="3637">
          <cell r="U3637" t="str">
            <v>武侯店</v>
          </cell>
          <cell r="V3637" t="str">
            <v>2026-3-12</v>
          </cell>
          <cell r="W3637">
            <v>3.56</v>
          </cell>
        </row>
        <row r="3638">
          <cell r="U3638" t="str">
            <v>黄雁村店</v>
          </cell>
          <cell r="V3638" t="str">
            <v>2026-3-12</v>
          </cell>
          <cell r="W3638">
            <v>34.32</v>
          </cell>
        </row>
        <row r="3639">
          <cell r="U3639" t="str">
            <v>五华店</v>
          </cell>
          <cell r="V3639" t="str">
            <v>2026-3-12</v>
          </cell>
          <cell r="W3639">
            <v>46.34</v>
          </cell>
        </row>
        <row r="3640">
          <cell r="U3640" t="str">
            <v>长沙店</v>
          </cell>
          <cell r="V3640" t="str">
            <v>2026-3-12</v>
          </cell>
          <cell r="W3640">
            <v>81.4</v>
          </cell>
        </row>
        <row r="3641">
          <cell r="U3641" t="str">
            <v>鼓楼店</v>
          </cell>
          <cell r="V3641" t="str">
            <v>2026-3-12</v>
          </cell>
          <cell r="W3641">
            <v>52.89</v>
          </cell>
        </row>
        <row r="3642">
          <cell r="U3642" t="str">
            <v>文昌店</v>
          </cell>
          <cell r="V3642" t="str">
            <v>2026-3-12</v>
          </cell>
          <cell r="W3642">
            <v>21.49</v>
          </cell>
        </row>
        <row r="3643">
          <cell r="U3643" t="str">
            <v>百丈店</v>
          </cell>
          <cell r="V3643" t="str">
            <v>2026-3-12</v>
          </cell>
          <cell r="W3643">
            <v>37</v>
          </cell>
        </row>
        <row r="3644">
          <cell r="U3644" t="str">
            <v>观桥店</v>
          </cell>
          <cell r="V3644" t="str">
            <v>2026-3-12</v>
          </cell>
          <cell r="W3644">
            <v>20.95</v>
          </cell>
        </row>
        <row r="3645">
          <cell r="U3645" t="str">
            <v>余杭店</v>
          </cell>
          <cell r="V3645" t="str">
            <v>2026-3-12</v>
          </cell>
          <cell r="W3645">
            <v>121.44</v>
          </cell>
        </row>
        <row r="3646">
          <cell r="U3646" t="str">
            <v>首山店</v>
          </cell>
          <cell r="V3646" t="str">
            <v>2026-3-12</v>
          </cell>
          <cell r="W3646">
            <v>81.59</v>
          </cell>
        </row>
        <row r="3647">
          <cell r="U3647" t="str">
            <v>文灶店</v>
          </cell>
          <cell r="V3647" t="str">
            <v>2026-3-12</v>
          </cell>
          <cell r="W3647">
            <v>1.61</v>
          </cell>
        </row>
        <row r="3648">
          <cell r="U3648" t="str">
            <v>首南店</v>
          </cell>
          <cell r="V3648" t="str">
            <v>2026-3-12</v>
          </cell>
          <cell r="W3648">
            <v>66.78</v>
          </cell>
        </row>
        <row r="3649">
          <cell r="U3649" t="str">
            <v>东海店</v>
          </cell>
          <cell r="V3649" t="str">
            <v>2026-3-12</v>
          </cell>
          <cell r="W3649">
            <v>3.16</v>
          </cell>
        </row>
        <row r="3650">
          <cell r="U3650" t="str">
            <v>滨江店</v>
          </cell>
          <cell r="V3650" t="str">
            <v>2026-3-12</v>
          </cell>
          <cell r="W3650">
            <v>55.59</v>
          </cell>
        </row>
        <row r="3651">
          <cell r="U3651" t="str">
            <v>下沙店</v>
          </cell>
          <cell r="V3651" t="str">
            <v>2026-3-12</v>
          </cell>
          <cell r="W3651">
            <v>3.32</v>
          </cell>
        </row>
        <row r="3652">
          <cell r="U3652" t="str">
            <v>南安店</v>
          </cell>
          <cell r="V3652" t="str">
            <v>2026-3-12</v>
          </cell>
          <cell r="W3652">
            <v>7.17</v>
          </cell>
        </row>
        <row r="3653">
          <cell r="U3653" t="str">
            <v>南安店</v>
          </cell>
          <cell r="V3653" t="str">
            <v>2026-3-12</v>
          </cell>
          <cell r="W3653">
            <v>0</v>
          </cell>
        </row>
        <row r="3654">
          <cell r="U3654" t="str">
            <v>南安店</v>
          </cell>
          <cell r="V3654" t="str">
            <v>2026-3-13</v>
          </cell>
          <cell r="W3654">
            <v>6.6</v>
          </cell>
        </row>
        <row r="3655">
          <cell r="U3655" t="str">
            <v>南安店</v>
          </cell>
          <cell r="V3655" t="str">
            <v>2026-3-13</v>
          </cell>
          <cell r="W3655">
            <v>0</v>
          </cell>
        </row>
        <row r="3656">
          <cell r="U3656" t="str">
            <v>南安店</v>
          </cell>
          <cell r="V3656" t="str">
            <v>2026-3-14</v>
          </cell>
          <cell r="W3656">
            <v>0</v>
          </cell>
        </row>
        <row r="3657">
          <cell r="U3657" t="str">
            <v>南安店</v>
          </cell>
          <cell r="V3657" t="str">
            <v>2026-3-15</v>
          </cell>
          <cell r="W3657">
            <v>0</v>
          </cell>
        </row>
        <row r="3658">
          <cell r="U3658" t="str">
            <v>启点店</v>
          </cell>
          <cell r="V3658" t="str">
            <v>2026-3-13</v>
          </cell>
          <cell r="W3658">
            <v>49.09</v>
          </cell>
        </row>
        <row r="3659">
          <cell r="U3659" t="str">
            <v>高新店</v>
          </cell>
          <cell r="V3659" t="str">
            <v>2026-3-13</v>
          </cell>
          <cell r="W3659">
            <v>53.48</v>
          </cell>
        </row>
        <row r="3660">
          <cell r="U3660" t="str">
            <v>金牛店</v>
          </cell>
          <cell r="V3660" t="str">
            <v>2026-3-13</v>
          </cell>
          <cell r="W3660">
            <v>33.95</v>
          </cell>
        </row>
        <row r="3661">
          <cell r="U3661" t="str">
            <v>成华店</v>
          </cell>
          <cell r="V3661" t="str">
            <v>2026-3-13</v>
          </cell>
          <cell r="W3661">
            <v>8.05</v>
          </cell>
        </row>
        <row r="3662">
          <cell r="U3662" t="str">
            <v>西山店</v>
          </cell>
          <cell r="V3662" t="str">
            <v>2026-3-13</v>
          </cell>
          <cell r="W3662">
            <v>45.15</v>
          </cell>
        </row>
        <row r="3663">
          <cell r="U3663" t="str">
            <v>百捷店</v>
          </cell>
          <cell r="V3663" t="str">
            <v>2026-3-13</v>
          </cell>
          <cell r="W3663">
            <v>4.08</v>
          </cell>
        </row>
        <row r="3664">
          <cell r="U3664" t="str">
            <v>沙坪坝店</v>
          </cell>
          <cell r="V3664" t="str">
            <v>2026-3-13</v>
          </cell>
          <cell r="W3664">
            <v>3.9</v>
          </cell>
        </row>
        <row r="3665">
          <cell r="U3665" t="str">
            <v>五路口店</v>
          </cell>
          <cell r="V3665" t="str">
            <v>2026-3-13</v>
          </cell>
          <cell r="W3665">
            <v>6.89</v>
          </cell>
        </row>
        <row r="3666">
          <cell r="U3666" t="str">
            <v>济南店</v>
          </cell>
          <cell r="V3666" t="str">
            <v>2026-3-13</v>
          </cell>
          <cell r="W3666">
            <v>140.52</v>
          </cell>
        </row>
        <row r="3667">
          <cell r="U3667" t="str">
            <v>青羊店</v>
          </cell>
          <cell r="V3667" t="str">
            <v>2026-3-13</v>
          </cell>
          <cell r="W3667">
            <v>0</v>
          </cell>
        </row>
        <row r="3668">
          <cell r="U3668" t="str">
            <v>观音桥店</v>
          </cell>
          <cell r="V3668" t="str">
            <v>2026-3-13</v>
          </cell>
          <cell r="W3668">
            <v>0.65</v>
          </cell>
        </row>
        <row r="3669">
          <cell r="U3669" t="str">
            <v>西湖店</v>
          </cell>
          <cell r="V3669" t="str">
            <v>2026-3-13</v>
          </cell>
          <cell r="W3669">
            <v>104.48</v>
          </cell>
        </row>
        <row r="3670">
          <cell r="U3670" t="str">
            <v>诚毅店</v>
          </cell>
          <cell r="V3670" t="str">
            <v>2026-3-13</v>
          </cell>
          <cell r="W3670">
            <v>123.42</v>
          </cell>
        </row>
        <row r="3671">
          <cell r="U3671" t="str">
            <v>湖里店</v>
          </cell>
          <cell r="V3671" t="str">
            <v>2026-3-13</v>
          </cell>
          <cell r="W3671">
            <v>7.98</v>
          </cell>
        </row>
        <row r="3672">
          <cell r="U3672" t="str">
            <v>东新店</v>
          </cell>
          <cell r="V3672" t="str">
            <v>2026-3-13</v>
          </cell>
          <cell r="W3672">
            <v>67.29</v>
          </cell>
        </row>
        <row r="3673">
          <cell r="U3673" t="str">
            <v>泉秀店</v>
          </cell>
          <cell r="V3673" t="str">
            <v>2026-3-13</v>
          </cell>
          <cell r="W3673">
            <v>9.85</v>
          </cell>
        </row>
        <row r="3674">
          <cell r="U3674" t="str">
            <v>大坪店</v>
          </cell>
          <cell r="V3674" t="str">
            <v>2026-3-13</v>
          </cell>
          <cell r="W3674">
            <v>45.08</v>
          </cell>
        </row>
        <row r="3675">
          <cell r="U3675" t="str">
            <v>凤城二路店</v>
          </cell>
          <cell r="V3675" t="str">
            <v>2026-3-13</v>
          </cell>
          <cell r="W3675">
            <v>2.53</v>
          </cell>
        </row>
        <row r="3676">
          <cell r="U3676" t="str">
            <v>洛江店</v>
          </cell>
          <cell r="V3676" t="str">
            <v>2026-3-13</v>
          </cell>
          <cell r="W3676">
            <v>30.95</v>
          </cell>
        </row>
        <row r="3677">
          <cell r="U3677" t="str">
            <v>官渡店</v>
          </cell>
          <cell r="V3677" t="str">
            <v>2026-3-13</v>
          </cell>
          <cell r="W3677">
            <v>23.53</v>
          </cell>
        </row>
        <row r="3678">
          <cell r="U3678" t="str">
            <v>武侯店</v>
          </cell>
          <cell r="V3678" t="str">
            <v>2026-3-13</v>
          </cell>
          <cell r="W3678">
            <v>2.94</v>
          </cell>
        </row>
        <row r="3679">
          <cell r="U3679" t="str">
            <v>黄雁村店</v>
          </cell>
          <cell r="V3679" t="str">
            <v>2026-3-13</v>
          </cell>
          <cell r="W3679">
            <v>37.89</v>
          </cell>
        </row>
        <row r="3680">
          <cell r="U3680" t="str">
            <v>五华店</v>
          </cell>
          <cell r="V3680" t="str">
            <v>2026-3-13</v>
          </cell>
          <cell r="W3680">
            <v>11.58</v>
          </cell>
        </row>
        <row r="3681">
          <cell r="U3681" t="str">
            <v>长沙店</v>
          </cell>
          <cell r="V3681" t="str">
            <v>2026-3-13</v>
          </cell>
          <cell r="W3681">
            <v>47.35</v>
          </cell>
        </row>
        <row r="3682">
          <cell r="U3682" t="str">
            <v>鼓楼店</v>
          </cell>
          <cell r="V3682" t="str">
            <v>2026-3-13</v>
          </cell>
          <cell r="W3682">
            <v>73.01</v>
          </cell>
        </row>
        <row r="3683">
          <cell r="U3683" t="str">
            <v>文昌店</v>
          </cell>
          <cell r="V3683" t="str">
            <v>2026-3-13</v>
          </cell>
          <cell r="W3683">
            <v>22.57</v>
          </cell>
        </row>
        <row r="3684">
          <cell r="U3684" t="str">
            <v>百丈店</v>
          </cell>
          <cell r="V3684" t="str">
            <v>2026-3-13</v>
          </cell>
          <cell r="W3684">
            <v>21.84</v>
          </cell>
        </row>
        <row r="3685">
          <cell r="U3685" t="str">
            <v>观桥店</v>
          </cell>
          <cell r="V3685" t="str">
            <v>2026-3-13</v>
          </cell>
          <cell r="W3685">
            <v>23.9</v>
          </cell>
        </row>
        <row r="3686">
          <cell r="U3686" t="str">
            <v>余杭店</v>
          </cell>
          <cell r="V3686" t="str">
            <v>2026-3-13</v>
          </cell>
          <cell r="W3686">
            <v>87.69</v>
          </cell>
        </row>
        <row r="3687">
          <cell r="U3687" t="str">
            <v>首山店</v>
          </cell>
          <cell r="V3687" t="str">
            <v>2026-3-13</v>
          </cell>
          <cell r="W3687">
            <v>73.51</v>
          </cell>
        </row>
        <row r="3688">
          <cell r="U3688" t="str">
            <v>文灶店</v>
          </cell>
          <cell r="V3688" t="str">
            <v>2026-3-13</v>
          </cell>
          <cell r="W3688">
            <v>1.95</v>
          </cell>
        </row>
        <row r="3689">
          <cell r="U3689" t="str">
            <v>首南店</v>
          </cell>
          <cell r="V3689" t="str">
            <v>2026-3-13</v>
          </cell>
          <cell r="W3689">
            <v>62.94</v>
          </cell>
        </row>
        <row r="3690">
          <cell r="U3690" t="str">
            <v>东海店</v>
          </cell>
          <cell r="V3690" t="str">
            <v>2026-3-13</v>
          </cell>
          <cell r="W3690">
            <v>2.66</v>
          </cell>
        </row>
        <row r="3691">
          <cell r="U3691" t="str">
            <v>滨江店</v>
          </cell>
          <cell r="V3691" t="str">
            <v>2026-3-13</v>
          </cell>
          <cell r="W3691">
            <v>76.51</v>
          </cell>
        </row>
        <row r="3692">
          <cell r="U3692" t="str">
            <v>下沙店</v>
          </cell>
          <cell r="V3692" t="str">
            <v>2026-3-13</v>
          </cell>
          <cell r="W3692">
            <v>6.35</v>
          </cell>
        </row>
        <row r="3693">
          <cell r="U3693" t="str">
            <v>启点店</v>
          </cell>
          <cell r="V3693" t="str">
            <v>2026-3-14</v>
          </cell>
          <cell r="W3693">
            <v>75.37</v>
          </cell>
        </row>
        <row r="3694">
          <cell r="U3694" t="str">
            <v>高新店</v>
          </cell>
          <cell r="V3694" t="str">
            <v>2026-3-14</v>
          </cell>
          <cell r="W3694">
            <v>34.07</v>
          </cell>
        </row>
        <row r="3695">
          <cell r="U3695" t="str">
            <v>金牛店</v>
          </cell>
          <cell r="V3695" t="str">
            <v>2026-3-14</v>
          </cell>
          <cell r="W3695">
            <v>39.63</v>
          </cell>
        </row>
        <row r="3696">
          <cell r="U3696" t="str">
            <v>成华店</v>
          </cell>
          <cell r="V3696" t="str">
            <v>2026-3-14</v>
          </cell>
          <cell r="W3696">
            <v>21.37</v>
          </cell>
        </row>
        <row r="3697">
          <cell r="U3697" t="str">
            <v>西山店</v>
          </cell>
          <cell r="V3697" t="str">
            <v>2026-3-14</v>
          </cell>
          <cell r="W3697">
            <v>37.51</v>
          </cell>
        </row>
        <row r="3698">
          <cell r="U3698" t="str">
            <v>百捷店</v>
          </cell>
          <cell r="V3698" t="str">
            <v>2026-3-14</v>
          </cell>
          <cell r="W3698">
            <v>0.64</v>
          </cell>
        </row>
        <row r="3699">
          <cell r="U3699" t="str">
            <v>沙坪坝店</v>
          </cell>
          <cell r="V3699" t="str">
            <v>2026-3-14</v>
          </cell>
          <cell r="W3699">
            <v>40.98</v>
          </cell>
        </row>
        <row r="3700">
          <cell r="U3700" t="str">
            <v>五路口店</v>
          </cell>
          <cell r="V3700" t="str">
            <v>2026-3-14</v>
          </cell>
          <cell r="W3700">
            <v>0.97</v>
          </cell>
        </row>
        <row r="3701">
          <cell r="U3701" t="str">
            <v>济南店</v>
          </cell>
          <cell r="V3701" t="str">
            <v>2026-3-14</v>
          </cell>
          <cell r="W3701">
            <v>166.17</v>
          </cell>
        </row>
        <row r="3702">
          <cell r="U3702" t="str">
            <v>青羊店</v>
          </cell>
          <cell r="V3702" t="str">
            <v>2026-3-14</v>
          </cell>
          <cell r="W3702">
            <v>0</v>
          </cell>
        </row>
        <row r="3703">
          <cell r="U3703" t="str">
            <v>观音桥店</v>
          </cell>
          <cell r="V3703" t="str">
            <v>2026-3-14</v>
          </cell>
          <cell r="W3703">
            <v>53.69</v>
          </cell>
        </row>
        <row r="3704">
          <cell r="U3704" t="str">
            <v>西湖店</v>
          </cell>
          <cell r="V3704" t="str">
            <v>2026-3-14</v>
          </cell>
          <cell r="W3704">
            <v>69.93</v>
          </cell>
        </row>
        <row r="3705">
          <cell r="U3705" t="str">
            <v>诚毅店</v>
          </cell>
          <cell r="V3705" t="str">
            <v>2026-3-14</v>
          </cell>
          <cell r="W3705">
            <v>26.5</v>
          </cell>
        </row>
        <row r="3706">
          <cell r="U3706" t="str">
            <v>湖里店</v>
          </cell>
          <cell r="V3706" t="str">
            <v>2026-3-14</v>
          </cell>
          <cell r="W3706">
            <v>8.06</v>
          </cell>
        </row>
        <row r="3707">
          <cell r="U3707" t="str">
            <v>东新店</v>
          </cell>
          <cell r="V3707" t="str">
            <v>2026-3-14</v>
          </cell>
          <cell r="W3707">
            <v>85.26</v>
          </cell>
        </row>
        <row r="3708">
          <cell r="U3708" t="str">
            <v>泉秀店</v>
          </cell>
          <cell r="V3708" t="str">
            <v>2026-3-14</v>
          </cell>
          <cell r="W3708">
            <v>42.08</v>
          </cell>
        </row>
        <row r="3709">
          <cell r="U3709" t="str">
            <v>大坪店</v>
          </cell>
          <cell r="V3709" t="str">
            <v>2026-3-14</v>
          </cell>
          <cell r="W3709">
            <v>57.51</v>
          </cell>
        </row>
        <row r="3710">
          <cell r="U3710" t="str">
            <v>凤城二路店</v>
          </cell>
          <cell r="V3710" t="str">
            <v>2026-3-14</v>
          </cell>
          <cell r="W3710">
            <v>4.3</v>
          </cell>
        </row>
        <row r="3711">
          <cell r="U3711" t="str">
            <v>洛江店</v>
          </cell>
          <cell r="V3711" t="str">
            <v>2026-3-14</v>
          </cell>
          <cell r="W3711">
            <v>0</v>
          </cell>
        </row>
        <row r="3712">
          <cell r="U3712" t="str">
            <v>官渡店</v>
          </cell>
          <cell r="V3712" t="str">
            <v>2026-3-14</v>
          </cell>
          <cell r="W3712">
            <v>20.44</v>
          </cell>
        </row>
        <row r="3713">
          <cell r="U3713" t="str">
            <v>武侯店</v>
          </cell>
          <cell r="V3713" t="str">
            <v>2026-3-14</v>
          </cell>
          <cell r="W3713">
            <v>2.6</v>
          </cell>
        </row>
        <row r="3714">
          <cell r="U3714" t="str">
            <v>黄雁村店</v>
          </cell>
          <cell r="V3714" t="str">
            <v>2026-3-14</v>
          </cell>
          <cell r="W3714">
            <v>53.63</v>
          </cell>
        </row>
        <row r="3715">
          <cell r="U3715" t="str">
            <v>五华店</v>
          </cell>
          <cell r="V3715" t="str">
            <v>2026-3-14</v>
          </cell>
          <cell r="W3715">
            <v>17.27</v>
          </cell>
        </row>
        <row r="3716">
          <cell r="U3716" t="str">
            <v>长沙店</v>
          </cell>
          <cell r="V3716" t="str">
            <v>2026-3-14</v>
          </cell>
          <cell r="W3716">
            <v>36.36</v>
          </cell>
        </row>
        <row r="3717">
          <cell r="U3717" t="str">
            <v>鼓楼店</v>
          </cell>
          <cell r="V3717" t="str">
            <v>2026-3-14</v>
          </cell>
          <cell r="W3717">
            <v>84.63</v>
          </cell>
        </row>
        <row r="3718">
          <cell r="U3718" t="str">
            <v>文昌店</v>
          </cell>
          <cell r="V3718" t="str">
            <v>2026-3-14</v>
          </cell>
          <cell r="W3718">
            <v>26.72</v>
          </cell>
        </row>
        <row r="3719">
          <cell r="U3719" t="str">
            <v>百丈店</v>
          </cell>
          <cell r="V3719" t="str">
            <v>2026-3-14</v>
          </cell>
          <cell r="W3719">
            <v>36.07</v>
          </cell>
        </row>
        <row r="3720">
          <cell r="U3720" t="str">
            <v>观桥店</v>
          </cell>
          <cell r="V3720" t="str">
            <v>2026-3-14</v>
          </cell>
          <cell r="W3720">
            <v>24.53</v>
          </cell>
        </row>
        <row r="3721">
          <cell r="U3721" t="str">
            <v>余杭店</v>
          </cell>
          <cell r="V3721" t="str">
            <v>2026-3-14</v>
          </cell>
          <cell r="W3721">
            <v>103.5</v>
          </cell>
        </row>
        <row r="3722">
          <cell r="U3722" t="str">
            <v>首山店</v>
          </cell>
          <cell r="V3722" t="str">
            <v>2026-3-14</v>
          </cell>
          <cell r="W3722">
            <v>72.22</v>
          </cell>
        </row>
        <row r="3723">
          <cell r="U3723" t="str">
            <v>文灶店</v>
          </cell>
          <cell r="V3723" t="str">
            <v>2026-3-14</v>
          </cell>
          <cell r="W3723">
            <v>1.31</v>
          </cell>
        </row>
        <row r="3724">
          <cell r="U3724" t="str">
            <v>首南店</v>
          </cell>
          <cell r="V3724" t="str">
            <v>2026-3-14</v>
          </cell>
          <cell r="W3724">
            <v>71.59</v>
          </cell>
        </row>
        <row r="3725">
          <cell r="U3725" t="str">
            <v>东海店</v>
          </cell>
          <cell r="V3725" t="str">
            <v>2026-3-14</v>
          </cell>
          <cell r="W3725">
            <v>11.31</v>
          </cell>
        </row>
        <row r="3726">
          <cell r="U3726" t="str">
            <v>滨江店</v>
          </cell>
          <cell r="V3726" t="str">
            <v>2026-3-14</v>
          </cell>
          <cell r="W3726">
            <v>104.03</v>
          </cell>
        </row>
        <row r="3727">
          <cell r="U3727" t="str">
            <v>下沙店</v>
          </cell>
          <cell r="V3727" t="str">
            <v>2026-3-14</v>
          </cell>
          <cell r="W3727">
            <v>3.32</v>
          </cell>
        </row>
        <row r="3728">
          <cell r="U3728" t="str">
            <v>启点店</v>
          </cell>
          <cell r="V3728" t="str">
            <v>2026-3-15</v>
          </cell>
          <cell r="W3728">
            <v>107.96</v>
          </cell>
        </row>
        <row r="3729">
          <cell r="U3729" t="str">
            <v>高新店</v>
          </cell>
          <cell r="V3729" t="str">
            <v>2026-3-15</v>
          </cell>
          <cell r="W3729">
            <v>23.35</v>
          </cell>
        </row>
        <row r="3730">
          <cell r="U3730" t="str">
            <v>金牛店</v>
          </cell>
          <cell r="V3730" t="str">
            <v>2026-3-15</v>
          </cell>
          <cell r="W3730">
            <v>6.88</v>
          </cell>
        </row>
        <row r="3731">
          <cell r="U3731" t="str">
            <v>成华店</v>
          </cell>
          <cell r="V3731" t="str">
            <v>2026-3-15</v>
          </cell>
          <cell r="W3731">
            <v>19.51</v>
          </cell>
        </row>
        <row r="3732">
          <cell r="U3732" t="str">
            <v>西山店</v>
          </cell>
          <cell r="V3732" t="str">
            <v>2026-3-15</v>
          </cell>
          <cell r="W3732">
            <v>27.47</v>
          </cell>
        </row>
        <row r="3733">
          <cell r="U3733" t="str">
            <v>百捷店</v>
          </cell>
          <cell r="V3733" t="str">
            <v>2026-3-15</v>
          </cell>
          <cell r="W3733">
            <v>0</v>
          </cell>
        </row>
        <row r="3734">
          <cell r="U3734" t="str">
            <v>沙坪坝店</v>
          </cell>
          <cell r="V3734" t="str">
            <v>2026-3-15</v>
          </cell>
          <cell r="W3734">
            <v>17.32</v>
          </cell>
        </row>
        <row r="3735">
          <cell r="U3735" t="str">
            <v>五路口店</v>
          </cell>
          <cell r="V3735" t="str">
            <v>2026-3-15</v>
          </cell>
          <cell r="W3735">
            <v>12.65</v>
          </cell>
        </row>
        <row r="3736">
          <cell r="U3736" t="str">
            <v>济南店</v>
          </cell>
          <cell r="V3736" t="str">
            <v>2026-3-15</v>
          </cell>
          <cell r="W3736">
            <v>70.09</v>
          </cell>
        </row>
        <row r="3737">
          <cell r="U3737" t="str">
            <v>青羊店</v>
          </cell>
          <cell r="V3737" t="str">
            <v>2026-3-15</v>
          </cell>
          <cell r="W3737">
            <v>2.19</v>
          </cell>
        </row>
        <row r="3738">
          <cell r="U3738" t="str">
            <v>观音桥店</v>
          </cell>
          <cell r="V3738" t="str">
            <v>2026-3-15</v>
          </cell>
          <cell r="W3738">
            <v>52.05</v>
          </cell>
        </row>
        <row r="3739">
          <cell r="U3739" t="str">
            <v>西湖店</v>
          </cell>
          <cell r="V3739" t="str">
            <v>2026-3-15</v>
          </cell>
          <cell r="W3739">
            <v>46.57</v>
          </cell>
        </row>
        <row r="3740">
          <cell r="U3740" t="str">
            <v>诚毅店</v>
          </cell>
          <cell r="V3740" t="str">
            <v>2026-3-15</v>
          </cell>
          <cell r="W3740">
            <v>40.22</v>
          </cell>
        </row>
        <row r="3741">
          <cell r="U3741" t="str">
            <v>湖里店</v>
          </cell>
          <cell r="V3741" t="str">
            <v>2026-3-15</v>
          </cell>
          <cell r="W3741">
            <v>5.12</v>
          </cell>
        </row>
        <row r="3742">
          <cell r="U3742" t="str">
            <v>东新店</v>
          </cell>
          <cell r="V3742" t="str">
            <v>2026-3-15</v>
          </cell>
          <cell r="W3742">
            <v>69.06</v>
          </cell>
        </row>
        <row r="3743">
          <cell r="U3743" t="str">
            <v>泉秀店</v>
          </cell>
          <cell r="V3743" t="str">
            <v>2026-3-15</v>
          </cell>
          <cell r="W3743">
            <v>37</v>
          </cell>
        </row>
        <row r="3744">
          <cell r="U3744" t="str">
            <v>大坪店</v>
          </cell>
          <cell r="V3744" t="str">
            <v>2026-3-15</v>
          </cell>
          <cell r="W3744">
            <v>30.77</v>
          </cell>
        </row>
        <row r="3745">
          <cell r="U3745" t="str">
            <v>凤城二路店</v>
          </cell>
          <cell r="V3745" t="str">
            <v>2026-3-15</v>
          </cell>
          <cell r="W3745">
            <v>1.1</v>
          </cell>
        </row>
        <row r="3746">
          <cell r="U3746" t="str">
            <v>洛江店</v>
          </cell>
          <cell r="V3746" t="str">
            <v>2026-3-15</v>
          </cell>
          <cell r="W3746">
            <v>13.71</v>
          </cell>
        </row>
        <row r="3747">
          <cell r="U3747" t="str">
            <v>官渡店</v>
          </cell>
          <cell r="V3747" t="str">
            <v>2026-3-15</v>
          </cell>
          <cell r="W3747">
            <v>13.11</v>
          </cell>
        </row>
        <row r="3748">
          <cell r="U3748" t="str">
            <v>武侯店</v>
          </cell>
          <cell r="V3748" t="str">
            <v>2026-3-15</v>
          </cell>
          <cell r="W3748">
            <v>1.6</v>
          </cell>
        </row>
        <row r="3749">
          <cell r="U3749" t="str">
            <v>黄雁村店</v>
          </cell>
          <cell r="V3749" t="str">
            <v>2026-3-15</v>
          </cell>
          <cell r="W3749">
            <v>40</v>
          </cell>
        </row>
        <row r="3750">
          <cell r="U3750" t="str">
            <v>五华店</v>
          </cell>
          <cell r="V3750" t="str">
            <v>2026-3-15</v>
          </cell>
          <cell r="W3750">
            <v>11.69</v>
          </cell>
        </row>
        <row r="3751">
          <cell r="U3751" t="str">
            <v>长沙店</v>
          </cell>
          <cell r="V3751" t="str">
            <v>2026-3-15</v>
          </cell>
          <cell r="W3751">
            <v>22.45</v>
          </cell>
        </row>
        <row r="3752">
          <cell r="U3752" t="str">
            <v>鼓楼店</v>
          </cell>
          <cell r="V3752" t="str">
            <v>2026-3-15</v>
          </cell>
          <cell r="W3752">
            <v>41.69</v>
          </cell>
        </row>
        <row r="3753">
          <cell r="U3753" t="str">
            <v>文昌店</v>
          </cell>
          <cell r="V3753" t="str">
            <v>2026-3-15</v>
          </cell>
          <cell r="W3753">
            <v>27.7</v>
          </cell>
        </row>
        <row r="3754">
          <cell r="U3754" t="str">
            <v>百丈店</v>
          </cell>
          <cell r="V3754" t="str">
            <v>2026-3-15</v>
          </cell>
          <cell r="W3754">
            <v>18.12</v>
          </cell>
        </row>
        <row r="3755">
          <cell r="U3755" t="str">
            <v>观桥店</v>
          </cell>
          <cell r="V3755" t="str">
            <v>2026-3-15</v>
          </cell>
          <cell r="W3755">
            <v>3.51</v>
          </cell>
        </row>
        <row r="3756">
          <cell r="U3756" t="str">
            <v>余杭店</v>
          </cell>
          <cell r="V3756" t="str">
            <v>2026-3-15</v>
          </cell>
          <cell r="W3756">
            <v>54.19</v>
          </cell>
        </row>
        <row r="3757">
          <cell r="U3757" t="str">
            <v>首山店</v>
          </cell>
          <cell r="V3757" t="str">
            <v>2026-3-15</v>
          </cell>
          <cell r="W3757">
            <v>62.26</v>
          </cell>
        </row>
        <row r="3758">
          <cell r="U3758" t="str">
            <v>文灶店</v>
          </cell>
          <cell r="V3758" t="str">
            <v>2026-3-15</v>
          </cell>
          <cell r="W3758">
            <v>0.66</v>
          </cell>
        </row>
        <row r="3759">
          <cell r="U3759" t="str">
            <v>首南店</v>
          </cell>
          <cell r="V3759" t="str">
            <v>2026-3-15</v>
          </cell>
          <cell r="W3759">
            <v>59.68</v>
          </cell>
        </row>
        <row r="3760">
          <cell r="U3760" t="str">
            <v>东海店</v>
          </cell>
          <cell r="V3760" t="str">
            <v>2026-3-15</v>
          </cell>
          <cell r="W3760">
            <v>39.96</v>
          </cell>
        </row>
        <row r="3761">
          <cell r="U3761" t="str">
            <v>东海店</v>
          </cell>
          <cell r="V3761" t="str">
            <v>2026-3-15</v>
          </cell>
          <cell r="W3761">
            <v>11.98</v>
          </cell>
        </row>
        <row r="3762">
          <cell r="U3762" t="str">
            <v>滨江店</v>
          </cell>
          <cell r="V3762" t="str">
            <v>2026-3-15</v>
          </cell>
          <cell r="W3762">
            <v>49.62</v>
          </cell>
        </row>
        <row r="3763">
          <cell r="U3763" t="str">
            <v>下沙店</v>
          </cell>
          <cell r="V3763" t="str">
            <v>2026-3-15</v>
          </cell>
          <cell r="W3763">
            <v>2.77</v>
          </cell>
        </row>
        <row r="3764">
          <cell r="U3764" t="str">
            <v>启点店</v>
          </cell>
          <cell r="V3764" t="str">
            <v>2026-3-16</v>
          </cell>
          <cell r="W3764">
            <v>49.03</v>
          </cell>
        </row>
        <row r="3765">
          <cell r="U3765" t="str">
            <v>高新店</v>
          </cell>
          <cell r="V3765" t="str">
            <v>2026-3-16</v>
          </cell>
          <cell r="W3765">
            <v>40.58</v>
          </cell>
        </row>
        <row r="3766">
          <cell r="U3766" t="str">
            <v>金牛店</v>
          </cell>
          <cell r="V3766" t="str">
            <v>2026-3-16</v>
          </cell>
          <cell r="W3766">
            <v>16.5</v>
          </cell>
        </row>
        <row r="3767">
          <cell r="U3767" t="str">
            <v>成华店</v>
          </cell>
          <cell r="V3767" t="str">
            <v>2026-3-16</v>
          </cell>
          <cell r="W3767">
            <v>16.18</v>
          </cell>
        </row>
        <row r="3768">
          <cell r="U3768" t="str">
            <v>西山店</v>
          </cell>
          <cell r="V3768" t="str">
            <v>2026-3-16</v>
          </cell>
          <cell r="W3768">
            <v>16.54</v>
          </cell>
        </row>
        <row r="3769">
          <cell r="U3769" t="str">
            <v>百捷店</v>
          </cell>
          <cell r="V3769" t="str">
            <v>2026-3-16</v>
          </cell>
          <cell r="W3769">
            <v>0</v>
          </cell>
        </row>
        <row r="3770">
          <cell r="U3770" t="str">
            <v>沙坪坝店</v>
          </cell>
          <cell r="V3770" t="str">
            <v>2026-3-16</v>
          </cell>
          <cell r="W3770">
            <v>35.09</v>
          </cell>
        </row>
        <row r="3771">
          <cell r="U3771" t="str">
            <v>五路口店</v>
          </cell>
          <cell r="V3771" t="str">
            <v>2026-3-16</v>
          </cell>
          <cell r="W3771">
            <v>28.41</v>
          </cell>
        </row>
        <row r="3772">
          <cell r="U3772" t="str">
            <v>济南店</v>
          </cell>
          <cell r="V3772" t="str">
            <v>2026-3-16</v>
          </cell>
          <cell r="W3772">
            <v>80.91</v>
          </cell>
        </row>
        <row r="3773">
          <cell r="U3773" t="str">
            <v>青羊店</v>
          </cell>
          <cell r="V3773" t="str">
            <v>2026-3-16</v>
          </cell>
          <cell r="W3773">
            <v>1.15</v>
          </cell>
        </row>
        <row r="3774">
          <cell r="U3774" t="str">
            <v>观音桥店</v>
          </cell>
          <cell r="V3774" t="str">
            <v>2026-3-16</v>
          </cell>
          <cell r="W3774">
            <v>38.85</v>
          </cell>
        </row>
        <row r="3775">
          <cell r="U3775" t="str">
            <v>西湖店</v>
          </cell>
          <cell r="V3775" t="str">
            <v>2026-3-16</v>
          </cell>
          <cell r="W3775">
            <v>73.64</v>
          </cell>
        </row>
        <row r="3776">
          <cell r="U3776" t="str">
            <v>诚毅店</v>
          </cell>
          <cell r="V3776" t="str">
            <v>2026-3-16</v>
          </cell>
          <cell r="W3776">
            <v>41.06</v>
          </cell>
        </row>
        <row r="3777">
          <cell r="U3777" t="str">
            <v>湖里店</v>
          </cell>
          <cell r="V3777" t="str">
            <v>2026-3-16</v>
          </cell>
          <cell r="W3777">
            <v>5.66</v>
          </cell>
        </row>
        <row r="3778">
          <cell r="U3778" t="str">
            <v>东新店</v>
          </cell>
          <cell r="V3778" t="str">
            <v>2026-3-16</v>
          </cell>
          <cell r="W3778">
            <v>48.87</v>
          </cell>
        </row>
        <row r="3779">
          <cell r="U3779" t="str">
            <v>泉秀店</v>
          </cell>
          <cell r="V3779" t="str">
            <v>2026-3-16</v>
          </cell>
          <cell r="W3779">
            <v>6.41</v>
          </cell>
        </row>
        <row r="3780">
          <cell r="U3780" t="str">
            <v>大坪店</v>
          </cell>
          <cell r="V3780" t="str">
            <v>2026-3-16</v>
          </cell>
          <cell r="W3780">
            <v>48.96</v>
          </cell>
        </row>
        <row r="3781">
          <cell r="U3781" t="str">
            <v>凤城二路店</v>
          </cell>
          <cell r="V3781" t="str">
            <v>2026-3-16</v>
          </cell>
          <cell r="W3781">
            <v>0.74</v>
          </cell>
        </row>
        <row r="3782">
          <cell r="U3782" t="str">
            <v>洛江店</v>
          </cell>
          <cell r="V3782" t="str">
            <v>2026-3-16</v>
          </cell>
          <cell r="W3782">
            <v>31.4</v>
          </cell>
        </row>
        <row r="3783">
          <cell r="U3783" t="str">
            <v>官渡店</v>
          </cell>
          <cell r="V3783" t="str">
            <v>2026-3-16</v>
          </cell>
          <cell r="W3783">
            <v>18.48</v>
          </cell>
        </row>
        <row r="3784">
          <cell r="U3784" t="str">
            <v>武侯店</v>
          </cell>
          <cell r="V3784" t="str">
            <v>2026-3-16</v>
          </cell>
          <cell r="W3784">
            <v>3.58</v>
          </cell>
        </row>
        <row r="3785">
          <cell r="U3785" t="str">
            <v>黄雁村店</v>
          </cell>
          <cell r="V3785" t="str">
            <v>2026-3-16</v>
          </cell>
          <cell r="W3785">
            <v>43.8</v>
          </cell>
        </row>
        <row r="3786">
          <cell r="U3786" t="str">
            <v>五华店</v>
          </cell>
          <cell r="V3786" t="str">
            <v>2026-3-16</v>
          </cell>
          <cell r="W3786">
            <v>30.31</v>
          </cell>
        </row>
        <row r="3787">
          <cell r="U3787" t="str">
            <v>长沙店</v>
          </cell>
          <cell r="V3787" t="str">
            <v>2026-3-16</v>
          </cell>
          <cell r="W3787">
            <v>30.68</v>
          </cell>
        </row>
        <row r="3788">
          <cell r="U3788" t="str">
            <v>鼓楼店</v>
          </cell>
          <cell r="V3788" t="str">
            <v>2026-3-16</v>
          </cell>
          <cell r="W3788">
            <v>72.65</v>
          </cell>
        </row>
        <row r="3789">
          <cell r="U3789" t="str">
            <v>文昌店</v>
          </cell>
          <cell r="V3789" t="str">
            <v>2026-3-16</v>
          </cell>
          <cell r="W3789">
            <v>11.42</v>
          </cell>
        </row>
        <row r="3790">
          <cell r="U3790" t="str">
            <v>百丈店</v>
          </cell>
          <cell r="V3790" t="str">
            <v>2026-3-16</v>
          </cell>
          <cell r="W3790">
            <v>21.64</v>
          </cell>
        </row>
        <row r="3791">
          <cell r="U3791" t="str">
            <v>观桥店</v>
          </cell>
          <cell r="V3791" t="str">
            <v>2026-3-16</v>
          </cell>
          <cell r="W3791">
            <v>13.57</v>
          </cell>
        </row>
        <row r="3792">
          <cell r="U3792" t="str">
            <v>余杭店</v>
          </cell>
          <cell r="V3792" t="str">
            <v>2026-3-16</v>
          </cell>
          <cell r="W3792">
            <v>72.12</v>
          </cell>
        </row>
        <row r="3793">
          <cell r="U3793" t="str">
            <v>首山店</v>
          </cell>
          <cell r="V3793" t="str">
            <v>2026-3-16</v>
          </cell>
          <cell r="W3793">
            <v>63.87</v>
          </cell>
        </row>
        <row r="3794">
          <cell r="U3794" t="str">
            <v>文灶店</v>
          </cell>
          <cell r="V3794" t="str">
            <v>2026-3-16</v>
          </cell>
          <cell r="W3794">
            <v>2.46</v>
          </cell>
        </row>
        <row r="3795">
          <cell r="U3795" t="str">
            <v>首南店</v>
          </cell>
          <cell r="V3795" t="str">
            <v>2026-3-16</v>
          </cell>
          <cell r="W3795">
            <v>49.62</v>
          </cell>
        </row>
        <row r="3796">
          <cell r="U3796" t="str">
            <v>东海店</v>
          </cell>
          <cell r="V3796" t="str">
            <v>2026-3-16</v>
          </cell>
          <cell r="W3796">
            <v>24.22</v>
          </cell>
        </row>
        <row r="3797">
          <cell r="U3797" t="str">
            <v>东海店</v>
          </cell>
          <cell r="V3797" t="str">
            <v>2026-3-16</v>
          </cell>
          <cell r="W3797">
            <v>16.7</v>
          </cell>
        </row>
        <row r="3798">
          <cell r="U3798" t="str">
            <v>滨江店</v>
          </cell>
          <cell r="V3798" t="str">
            <v>2026-3-16</v>
          </cell>
          <cell r="W3798">
            <v>81.98</v>
          </cell>
        </row>
        <row r="3799">
          <cell r="U3799" t="str">
            <v>下沙店</v>
          </cell>
          <cell r="V3799" t="str">
            <v>2026-3-16</v>
          </cell>
          <cell r="W3799">
            <v>1.78</v>
          </cell>
        </row>
        <row r="3800">
          <cell r="U3800" t="str">
            <v>南安店</v>
          </cell>
          <cell r="V3800" t="str">
            <v>2026-3-16</v>
          </cell>
          <cell r="W3800">
            <v>0</v>
          </cell>
        </row>
        <row r="3801">
          <cell r="U3801" t="str">
            <v>启点店</v>
          </cell>
          <cell r="V3801" t="str">
            <v>2026-3-17</v>
          </cell>
          <cell r="W3801">
            <v>32.93</v>
          </cell>
        </row>
        <row r="3802">
          <cell r="U3802" t="str">
            <v>高新店</v>
          </cell>
          <cell r="V3802" t="str">
            <v>2026-3-17</v>
          </cell>
          <cell r="W3802">
            <v>53.62</v>
          </cell>
        </row>
        <row r="3803">
          <cell r="U3803" t="str">
            <v>金牛店</v>
          </cell>
          <cell r="V3803" t="str">
            <v>2026-3-17</v>
          </cell>
          <cell r="W3803">
            <v>31.31</v>
          </cell>
        </row>
        <row r="3804">
          <cell r="U3804" t="str">
            <v>成华店</v>
          </cell>
          <cell r="V3804" t="str">
            <v>2026-3-17</v>
          </cell>
          <cell r="W3804">
            <v>24.11</v>
          </cell>
        </row>
        <row r="3805">
          <cell r="U3805" t="str">
            <v>西山店</v>
          </cell>
          <cell r="V3805" t="str">
            <v>2026-3-17</v>
          </cell>
          <cell r="W3805">
            <v>33.53</v>
          </cell>
        </row>
        <row r="3806">
          <cell r="U3806" t="str">
            <v>百捷店</v>
          </cell>
          <cell r="V3806" t="str">
            <v>2026-3-17</v>
          </cell>
          <cell r="W3806">
            <v>4.94</v>
          </cell>
        </row>
        <row r="3807">
          <cell r="U3807" t="str">
            <v>沙坪坝店</v>
          </cell>
          <cell r="V3807" t="str">
            <v>2026-3-17</v>
          </cell>
          <cell r="W3807">
            <v>20.55</v>
          </cell>
        </row>
        <row r="3808">
          <cell r="U3808" t="str">
            <v>五路口店</v>
          </cell>
          <cell r="V3808" t="str">
            <v>2026-3-17</v>
          </cell>
          <cell r="W3808">
            <v>27.88</v>
          </cell>
        </row>
        <row r="3809">
          <cell r="U3809" t="str">
            <v>济南店</v>
          </cell>
          <cell r="V3809" t="str">
            <v>2026-3-17</v>
          </cell>
          <cell r="W3809">
            <v>87.32</v>
          </cell>
        </row>
        <row r="3810">
          <cell r="U3810" t="str">
            <v>青羊店</v>
          </cell>
          <cell r="V3810" t="str">
            <v>2026-3-17</v>
          </cell>
          <cell r="W3810">
            <v>4.08</v>
          </cell>
        </row>
        <row r="3811">
          <cell r="U3811" t="str">
            <v>观音桥店</v>
          </cell>
          <cell r="V3811" t="str">
            <v>2026-3-17</v>
          </cell>
          <cell r="W3811">
            <v>27.96</v>
          </cell>
        </row>
        <row r="3812">
          <cell r="U3812" t="str">
            <v>西湖店</v>
          </cell>
          <cell r="V3812" t="str">
            <v>2026-3-17</v>
          </cell>
          <cell r="W3812">
            <v>84.72</v>
          </cell>
        </row>
        <row r="3813">
          <cell r="U3813" t="str">
            <v>诚毅店</v>
          </cell>
          <cell r="V3813" t="str">
            <v>2026-3-17</v>
          </cell>
          <cell r="W3813">
            <v>39.12</v>
          </cell>
        </row>
        <row r="3814">
          <cell r="U3814" t="str">
            <v>湖里店</v>
          </cell>
          <cell r="V3814" t="str">
            <v>2026-3-17</v>
          </cell>
          <cell r="W3814">
            <v>11.43</v>
          </cell>
        </row>
        <row r="3815">
          <cell r="U3815" t="str">
            <v>东新店</v>
          </cell>
          <cell r="V3815" t="str">
            <v>2026-3-17</v>
          </cell>
          <cell r="W3815">
            <v>77.71</v>
          </cell>
        </row>
        <row r="3816">
          <cell r="U3816" t="str">
            <v>泉秀店</v>
          </cell>
          <cell r="V3816" t="str">
            <v>2026-3-17</v>
          </cell>
          <cell r="W3816">
            <v>1.04</v>
          </cell>
        </row>
        <row r="3817">
          <cell r="U3817" t="str">
            <v>大坪店</v>
          </cell>
          <cell r="V3817" t="str">
            <v>2026-3-17</v>
          </cell>
          <cell r="W3817">
            <v>26.6</v>
          </cell>
        </row>
        <row r="3818">
          <cell r="U3818" t="str">
            <v>凤城二路店</v>
          </cell>
          <cell r="V3818" t="str">
            <v>2026-3-17</v>
          </cell>
          <cell r="W3818">
            <v>0.31</v>
          </cell>
        </row>
        <row r="3819">
          <cell r="U3819" t="str">
            <v>洛江店</v>
          </cell>
          <cell r="V3819" t="str">
            <v>2026-3-17</v>
          </cell>
          <cell r="W3819">
            <v>19.52</v>
          </cell>
        </row>
        <row r="3820">
          <cell r="U3820" t="str">
            <v>官渡店</v>
          </cell>
          <cell r="V3820" t="str">
            <v>2026-3-17</v>
          </cell>
          <cell r="W3820">
            <v>25.3</v>
          </cell>
        </row>
        <row r="3821">
          <cell r="U3821" t="str">
            <v>武侯店</v>
          </cell>
          <cell r="V3821" t="str">
            <v>2026-3-17</v>
          </cell>
          <cell r="W3821">
            <v>11.34</v>
          </cell>
        </row>
        <row r="3822">
          <cell r="U3822" t="str">
            <v>黄雁村店</v>
          </cell>
          <cell r="V3822" t="str">
            <v>2026-3-17</v>
          </cell>
          <cell r="W3822">
            <v>42.1</v>
          </cell>
        </row>
        <row r="3823">
          <cell r="U3823" t="str">
            <v>五华店</v>
          </cell>
          <cell r="V3823" t="str">
            <v>2026-3-17</v>
          </cell>
          <cell r="W3823">
            <v>26.77</v>
          </cell>
        </row>
        <row r="3824">
          <cell r="U3824" t="str">
            <v>长沙店</v>
          </cell>
          <cell r="V3824" t="str">
            <v>2026-3-17</v>
          </cell>
          <cell r="W3824">
            <v>60.45</v>
          </cell>
        </row>
        <row r="3825">
          <cell r="U3825" t="str">
            <v>鼓楼店</v>
          </cell>
          <cell r="V3825" t="str">
            <v>2026-3-17</v>
          </cell>
          <cell r="W3825">
            <v>54.56</v>
          </cell>
        </row>
        <row r="3826">
          <cell r="U3826" t="str">
            <v>文昌店</v>
          </cell>
          <cell r="V3826" t="str">
            <v>2026-3-17</v>
          </cell>
          <cell r="W3826">
            <v>28.33</v>
          </cell>
        </row>
        <row r="3827">
          <cell r="U3827" t="str">
            <v>百丈店</v>
          </cell>
          <cell r="V3827" t="str">
            <v>2026-3-17</v>
          </cell>
          <cell r="W3827">
            <v>19.14</v>
          </cell>
        </row>
        <row r="3828">
          <cell r="U3828" t="str">
            <v>观桥店</v>
          </cell>
          <cell r="V3828" t="str">
            <v>2026-3-17</v>
          </cell>
          <cell r="W3828">
            <v>30.52</v>
          </cell>
        </row>
        <row r="3829">
          <cell r="U3829" t="str">
            <v>余杭店</v>
          </cell>
          <cell r="V3829" t="str">
            <v>2026-3-17</v>
          </cell>
          <cell r="W3829">
            <v>70.82</v>
          </cell>
        </row>
        <row r="3830">
          <cell r="U3830" t="str">
            <v>首山店</v>
          </cell>
          <cell r="V3830" t="str">
            <v>2026-3-17</v>
          </cell>
          <cell r="W3830">
            <v>74.55</v>
          </cell>
        </row>
        <row r="3831">
          <cell r="U3831" t="str">
            <v>文灶店</v>
          </cell>
          <cell r="V3831" t="str">
            <v>2026-3-17</v>
          </cell>
          <cell r="W3831">
            <v>0.2</v>
          </cell>
        </row>
        <row r="3832">
          <cell r="U3832" t="str">
            <v>首南店</v>
          </cell>
          <cell r="V3832" t="str">
            <v>2026-3-17</v>
          </cell>
          <cell r="W3832">
            <v>77.53</v>
          </cell>
        </row>
        <row r="3833">
          <cell r="U3833" t="str">
            <v>东海店</v>
          </cell>
          <cell r="V3833" t="str">
            <v>2026-3-17</v>
          </cell>
          <cell r="W3833">
            <v>140.49</v>
          </cell>
        </row>
        <row r="3834">
          <cell r="U3834" t="str">
            <v>东海店</v>
          </cell>
          <cell r="V3834" t="str">
            <v>2026-3-17</v>
          </cell>
          <cell r="W3834">
            <v>18.66</v>
          </cell>
        </row>
        <row r="3835">
          <cell r="U3835" t="str">
            <v>滨江店</v>
          </cell>
          <cell r="V3835" t="str">
            <v>2026-3-17</v>
          </cell>
          <cell r="W3835">
            <v>71.47</v>
          </cell>
        </row>
        <row r="3836">
          <cell r="U3836" t="str">
            <v>下沙店</v>
          </cell>
          <cell r="V3836" t="str">
            <v>2026-3-17</v>
          </cell>
          <cell r="W3836">
            <v>5.79</v>
          </cell>
        </row>
        <row r="3837">
          <cell r="U3837" t="str">
            <v>启点店</v>
          </cell>
          <cell r="V3837" t="str">
            <v>2026-3-18</v>
          </cell>
          <cell r="W3837">
            <v>41.68</v>
          </cell>
        </row>
        <row r="3838">
          <cell r="U3838" t="str">
            <v>高新店</v>
          </cell>
          <cell r="V3838" t="str">
            <v>2026-3-18</v>
          </cell>
          <cell r="W3838">
            <v>34.11</v>
          </cell>
        </row>
        <row r="3839">
          <cell r="U3839" t="str">
            <v>金牛店</v>
          </cell>
          <cell r="V3839" t="str">
            <v>2026-3-18</v>
          </cell>
          <cell r="W3839">
            <v>14.01</v>
          </cell>
        </row>
        <row r="3840">
          <cell r="U3840" t="str">
            <v>成华店</v>
          </cell>
          <cell r="V3840" t="str">
            <v>2026-3-18</v>
          </cell>
          <cell r="W3840">
            <v>15.91</v>
          </cell>
        </row>
        <row r="3841">
          <cell r="U3841" t="str">
            <v>西山店</v>
          </cell>
          <cell r="V3841" t="str">
            <v>2026-3-18</v>
          </cell>
          <cell r="W3841">
            <v>8.84</v>
          </cell>
        </row>
        <row r="3842">
          <cell r="U3842" t="str">
            <v>百捷店</v>
          </cell>
          <cell r="V3842" t="str">
            <v>2026-3-18</v>
          </cell>
          <cell r="W3842">
            <v>62.61</v>
          </cell>
        </row>
        <row r="3843">
          <cell r="U3843" t="str">
            <v>沙坪坝店</v>
          </cell>
          <cell r="V3843" t="str">
            <v>2026-3-18</v>
          </cell>
          <cell r="W3843">
            <v>15.31</v>
          </cell>
        </row>
        <row r="3844">
          <cell r="U3844" t="str">
            <v>五路口店</v>
          </cell>
          <cell r="V3844" t="str">
            <v>2026-3-18</v>
          </cell>
          <cell r="W3844">
            <v>52.42</v>
          </cell>
        </row>
        <row r="3845">
          <cell r="U3845" t="str">
            <v>济南店</v>
          </cell>
          <cell r="V3845" t="str">
            <v>2026-3-18</v>
          </cell>
          <cell r="W3845">
            <v>115.49</v>
          </cell>
        </row>
        <row r="3846">
          <cell r="U3846" t="str">
            <v>青羊店</v>
          </cell>
          <cell r="V3846" t="str">
            <v>2026-3-18</v>
          </cell>
          <cell r="W3846">
            <v>22.58</v>
          </cell>
        </row>
        <row r="3847">
          <cell r="U3847" t="str">
            <v>观音桥店</v>
          </cell>
          <cell r="V3847" t="str">
            <v>2026-3-18</v>
          </cell>
          <cell r="W3847">
            <v>39.05</v>
          </cell>
        </row>
        <row r="3848">
          <cell r="U3848" t="str">
            <v>西湖店</v>
          </cell>
          <cell r="V3848" t="str">
            <v>2026-3-18</v>
          </cell>
          <cell r="W3848">
            <v>64.55</v>
          </cell>
        </row>
        <row r="3849">
          <cell r="U3849" t="str">
            <v>诚毅店</v>
          </cell>
          <cell r="V3849" t="str">
            <v>2026-3-18</v>
          </cell>
          <cell r="W3849">
            <v>25.65</v>
          </cell>
        </row>
        <row r="3850">
          <cell r="U3850" t="str">
            <v>湖里店</v>
          </cell>
          <cell r="V3850" t="str">
            <v>2026-3-18</v>
          </cell>
          <cell r="W3850">
            <v>9.7</v>
          </cell>
        </row>
        <row r="3851">
          <cell r="U3851" t="str">
            <v>东新店</v>
          </cell>
          <cell r="V3851" t="str">
            <v>2026-3-18</v>
          </cell>
          <cell r="W3851">
            <v>74.3</v>
          </cell>
        </row>
        <row r="3852">
          <cell r="U3852" t="str">
            <v>泉秀店</v>
          </cell>
          <cell r="V3852" t="str">
            <v>2026-3-18</v>
          </cell>
          <cell r="W3852">
            <v>1.14</v>
          </cell>
        </row>
        <row r="3853">
          <cell r="U3853" t="str">
            <v>大坪店</v>
          </cell>
          <cell r="V3853" t="str">
            <v>2026-3-18</v>
          </cell>
          <cell r="W3853">
            <v>153.72</v>
          </cell>
        </row>
        <row r="3854">
          <cell r="U3854" t="str">
            <v>凤城二路店</v>
          </cell>
          <cell r="V3854" t="str">
            <v>2026-3-18</v>
          </cell>
          <cell r="W3854">
            <v>6.78</v>
          </cell>
        </row>
        <row r="3855">
          <cell r="U3855" t="str">
            <v>洛江店</v>
          </cell>
          <cell r="V3855" t="str">
            <v>2026-3-18</v>
          </cell>
          <cell r="W3855">
            <v>15.95</v>
          </cell>
        </row>
        <row r="3856">
          <cell r="U3856" t="str">
            <v>官渡店</v>
          </cell>
          <cell r="V3856" t="str">
            <v>2026-3-18</v>
          </cell>
          <cell r="W3856">
            <v>41.96</v>
          </cell>
        </row>
        <row r="3857">
          <cell r="U3857" t="str">
            <v>武侯店</v>
          </cell>
          <cell r="V3857" t="str">
            <v>2026-3-18</v>
          </cell>
          <cell r="W3857">
            <v>55.89</v>
          </cell>
        </row>
        <row r="3858">
          <cell r="U3858" t="str">
            <v>黄雁村店</v>
          </cell>
          <cell r="V3858" t="str">
            <v>2026-3-18</v>
          </cell>
          <cell r="W3858">
            <v>42.32</v>
          </cell>
        </row>
        <row r="3859">
          <cell r="U3859" t="str">
            <v>五华店</v>
          </cell>
          <cell r="V3859" t="str">
            <v>2026-3-18</v>
          </cell>
          <cell r="W3859">
            <v>22.57</v>
          </cell>
        </row>
        <row r="3860">
          <cell r="U3860" t="str">
            <v>长沙店</v>
          </cell>
          <cell r="V3860" t="str">
            <v>2026-3-18</v>
          </cell>
          <cell r="W3860">
            <v>38.09</v>
          </cell>
        </row>
        <row r="3861">
          <cell r="U3861" t="str">
            <v>鼓楼店</v>
          </cell>
          <cell r="V3861" t="str">
            <v>2026-3-18</v>
          </cell>
          <cell r="W3861">
            <v>74.1</v>
          </cell>
        </row>
        <row r="3862">
          <cell r="U3862" t="str">
            <v>文昌店</v>
          </cell>
          <cell r="V3862" t="str">
            <v>2026-3-18</v>
          </cell>
          <cell r="W3862">
            <v>29.62</v>
          </cell>
        </row>
        <row r="3863">
          <cell r="U3863" t="str">
            <v>百丈店</v>
          </cell>
          <cell r="V3863" t="str">
            <v>2026-3-18</v>
          </cell>
          <cell r="W3863">
            <v>34.47</v>
          </cell>
        </row>
        <row r="3864">
          <cell r="U3864" t="str">
            <v>观桥店</v>
          </cell>
          <cell r="V3864" t="str">
            <v>2026-3-18</v>
          </cell>
          <cell r="W3864">
            <v>24.79</v>
          </cell>
        </row>
        <row r="3865">
          <cell r="U3865" t="str">
            <v>余杭店</v>
          </cell>
          <cell r="V3865" t="str">
            <v>2026-3-18</v>
          </cell>
          <cell r="W3865">
            <v>60.88</v>
          </cell>
        </row>
        <row r="3866">
          <cell r="U3866" t="str">
            <v>首山店</v>
          </cell>
          <cell r="V3866" t="str">
            <v>2026-3-18</v>
          </cell>
          <cell r="W3866">
            <v>64.51</v>
          </cell>
        </row>
        <row r="3867">
          <cell r="U3867" t="str">
            <v>文灶店</v>
          </cell>
          <cell r="V3867" t="str">
            <v>2026-3-18</v>
          </cell>
          <cell r="W3867">
            <v>0.76</v>
          </cell>
        </row>
        <row r="3868">
          <cell r="U3868" t="str">
            <v>首南店</v>
          </cell>
          <cell r="V3868" t="str">
            <v>2026-3-18</v>
          </cell>
          <cell r="W3868">
            <v>66.99</v>
          </cell>
        </row>
        <row r="3869">
          <cell r="U3869" t="str">
            <v>东海店</v>
          </cell>
          <cell r="V3869" t="str">
            <v>2026-3-18</v>
          </cell>
          <cell r="W3869">
            <v>33.66</v>
          </cell>
        </row>
        <row r="3870">
          <cell r="U3870" t="str">
            <v>东海店</v>
          </cell>
          <cell r="V3870" t="str">
            <v>2026-3-18</v>
          </cell>
          <cell r="W3870">
            <v>3.29</v>
          </cell>
        </row>
        <row r="3871">
          <cell r="U3871" t="str">
            <v>滨江店</v>
          </cell>
          <cell r="V3871" t="str">
            <v>2026-3-18</v>
          </cell>
          <cell r="W3871">
            <v>37.39</v>
          </cell>
        </row>
        <row r="3872">
          <cell r="U3872" t="str">
            <v>下沙店</v>
          </cell>
          <cell r="V3872" t="str">
            <v>2026-3-18</v>
          </cell>
          <cell r="W3872">
            <v>4.32</v>
          </cell>
        </row>
        <row r="3873">
          <cell r="U3873" t="str">
            <v>南安店</v>
          </cell>
          <cell r="V3873" t="str">
            <v>2026-3-18</v>
          </cell>
          <cell r="W3873">
            <v>0</v>
          </cell>
        </row>
        <row r="3874">
          <cell r="U3874" t="str">
            <v>南安店</v>
          </cell>
          <cell r="V3874" t="str">
            <v>2026-3-18</v>
          </cell>
          <cell r="W3874">
            <v>1.13</v>
          </cell>
        </row>
        <row r="3875">
          <cell r="U3875" t="str">
            <v>启点店</v>
          </cell>
          <cell r="V3875" t="str">
            <v>2026-3-19</v>
          </cell>
          <cell r="W3875">
            <v>46.72</v>
          </cell>
        </row>
        <row r="3876">
          <cell r="U3876" t="str">
            <v>高新店</v>
          </cell>
          <cell r="V3876" t="str">
            <v>2026-3-19</v>
          </cell>
          <cell r="W3876">
            <v>29.38</v>
          </cell>
        </row>
        <row r="3877">
          <cell r="U3877" t="str">
            <v>金牛店</v>
          </cell>
          <cell r="V3877" t="str">
            <v>2026-3-19</v>
          </cell>
          <cell r="W3877">
            <v>15.7</v>
          </cell>
        </row>
        <row r="3878">
          <cell r="U3878" t="str">
            <v>成华店</v>
          </cell>
          <cell r="V3878" t="str">
            <v>2026-3-19</v>
          </cell>
          <cell r="W3878">
            <v>31.01</v>
          </cell>
        </row>
        <row r="3879">
          <cell r="U3879" t="str">
            <v>西山店</v>
          </cell>
          <cell r="V3879" t="str">
            <v>2026-3-19</v>
          </cell>
          <cell r="W3879">
            <v>21.1</v>
          </cell>
        </row>
        <row r="3880">
          <cell r="U3880" t="str">
            <v>百捷店</v>
          </cell>
          <cell r="V3880" t="str">
            <v>2026-3-19</v>
          </cell>
          <cell r="W3880">
            <v>62.04</v>
          </cell>
        </row>
        <row r="3881">
          <cell r="U3881" t="str">
            <v>沙坪坝店</v>
          </cell>
          <cell r="V3881" t="str">
            <v>2026-3-19</v>
          </cell>
          <cell r="W3881">
            <v>19.37</v>
          </cell>
        </row>
        <row r="3882">
          <cell r="U3882" t="str">
            <v>五路口店</v>
          </cell>
          <cell r="V3882" t="str">
            <v>2026-3-19</v>
          </cell>
          <cell r="W3882">
            <v>28.17</v>
          </cell>
        </row>
        <row r="3883">
          <cell r="U3883" t="str">
            <v>济南店</v>
          </cell>
          <cell r="V3883" t="str">
            <v>2026-3-19</v>
          </cell>
          <cell r="W3883">
            <v>94.69</v>
          </cell>
        </row>
        <row r="3884">
          <cell r="U3884" t="str">
            <v>青羊店</v>
          </cell>
          <cell r="V3884" t="str">
            <v>2026-3-19</v>
          </cell>
          <cell r="W3884">
            <v>25.38</v>
          </cell>
        </row>
        <row r="3885">
          <cell r="U3885" t="str">
            <v>观音桥店</v>
          </cell>
          <cell r="V3885" t="str">
            <v>2026-3-19</v>
          </cell>
          <cell r="W3885">
            <v>39.25</v>
          </cell>
        </row>
        <row r="3886">
          <cell r="U3886" t="str">
            <v>西湖店</v>
          </cell>
          <cell r="V3886" t="str">
            <v>2026-3-19</v>
          </cell>
          <cell r="W3886">
            <v>69.33</v>
          </cell>
        </row>
        <row r="3887">
          <cell r="U3887" t="str">
            <v>诚毅店</v>
          </cell>
          <cell r="V3887" t="str">
            <v>2026-3-19</v>
          </cell>
          <cell r="W3887">
            <v>53.96</v>
          </cell>
        </row>
        <row r="3888">
          <cell r="U3888" t="str">
            <v>湖里店</v>
          </cell>
          <cell r="V3888" t="str">
            <v>2026-3-19</v>
          </cell>
          <cell r="W3888">
            <v>7.62</v>
          </cell>
        </row>
        <row r="3889">
          <cell r="U3889" t="str">
            <v>东新店</v>
          </cell>
          <cell r="V3889" t="str">
            <v>2026-3-19</v>
          </cell>
          <cell r="W3889">
            <v>76.58</v>
          </cell>
        </row>
        <row r="3890">
          <cell r="U3890" t="str">
            <v>泉秀店</v>
          </cell>
          <cell r="V3890" t="str">
            <v>2026-3-19</v>
          </cell>
          <cell r="W3890">
            <v>0.93</v>
          </cell>
        </row>
        <row r="3891">
          <cell r="U3891" t="str">
            <v>大坪店</v>
          </cell>
          <cell r="V3891" t="str">
            <v>2026-3-19</v>
          </cell>
          <cell r="W3891">
            <v>45.21</v>
          </cell>
        </row>
        <row r="3892">
          <cell r="U3892" t="str">
            <v>凤城二路店</v>
          </cell>
          <cell r="V3892" t="str">
            <v>2026-3-19</v>
          </cell>
          <cell r="W3892">
            <v>1.47</v>
          </cell>
        </row>
        <row r="3893">
          <cell r="U3893" t="str">
            <v>洛江店</v>
          </cell>
          <cell r="V3893" t="str">
            <v>2026-3-19</v>
          </cell>
          <cell r="W3893">
            <v>14.18</v>
          </cell>
        </row>
        <row r="3894">
          <cell r="U3894" t="str">
            <v>官渡店</v>
          </cell>
          <cell r="V3894" t="str">
            <v>2026-3-19</v>
          </cell>
          <cell r="W3894">
            <v>32.88</v>
          </cell>
        </row>
        <row r="3895">
          <cell r="U3895" t="str">
            <v>武侯店</v>
          </cell>
          <cell r="V3895" t="str">
            <v>2026-3-19</v>
          </cell>
          <cell r="W3895">
            <v>16.13</v>
          </cell>
        </row>
        <row r="3896">
          <cell r="U3896" t="str">
            <v>黄雁村店</v>
          </cell>
          <cell r="V3896" t="str">
            <v>2026-3-19</v>
          </cell>
          <cell r="W3896">
            <v>44.04</v>
          </cell>
        </row>
        <row r="3897">
          <cell r="U3897" t="str">
            <v>五华店</v>
          </cell>
          <cell r="V3897" t="str">
            <v>2026-3-19</v>
          </cell>
          <cell r="W3897">
            <v>17.9</v>
          </cell>
        </row>
        <row r="3898">
          <cell r="U3898" t="str">
            <v>长沙店</v>
          </cell>
          <cell r="V3898" t="str">
            <v>2026-3-19</v>
          </cell>
          <cell r="W3898">
            <v>34.76</v>
          </cell>
        </row>
        <row r="3899">
          <cell r="U3899" t="str">
            <v>鼓楼店</v>
          </cell>
          <cell r="V3899" t="str">
            <v>2026-3-19</v>
          </cell>
          <cell r="W3899">
            <v>111.27</v>
          </cell>
        </row>
        <row r="3900">
          <cell r="U3900" t="str">
            <v>文昌店</v>
          </cell>
          <cell r="V3900" t="str">
            <v>2026-3-19</v>
          </cell>
          <cell r="W3900">
            <v>6.78</v>
          </cell>
        </row>
        <row r="3901">
          <cell r="U3901" t="str">
            <v>百丈店</v>
          </cell>
          <cell r="V3901" t="str">
            <v>2026-3-19</v>
          </cell>
          <cell r="W3901">
            <v>70.79</v>
          </cell>
        </row>
        <row r="3902">
          <cell r="U3902" t="str">
            <v>观桥店</v>
          </cell>
          <cell r="V3902" t="str">
            <v>2026-3-19</v>
          </cell>
          <cell r="W3902">
            <v>23.16</v>
          </cell>
        </row>
        <row r="3903">
          <cell r="U3903" t="str">
            <v>余杭店</v>
          </cell>
          <cell r="V3903" t="str">
            <v>2026-3-19</v>
          </cell>
          <cell r="W3903">
            <v>81.3</v>
          </cell>
        </row>
        <row r="3904">
          <cell r="U3904" t="str">
            <v>首山店</v>
          </cell>
          <cell r="V3904" t="str">
            <v>2026-3-19</v>
          </cell>
          <cell r="W3904">
            <v>70.94</v>
          </cell>
        </row>
        <row r="3905">
          <cell r="U3905" t="str">
            <v>文灶店</v>
          </cell>
          <cell r="V3905" t="str">
            <v>2026-3-19</v>
          </cell>
          <cell r="W3905">
            <v>1.6</v>
          </cell>
        </row>
        <row r="3906">
          <cell r="U3906" t="str">
            <v>首南店</v>
          </cell>
          <cell r="V3906" t="str">
            <v>2026-3-19</v>
          </cell>
          <cell r="W3906">
            <v>78.74</v>
          </cell>
        </row>
        <row r="3907">
          <cell r="U3907" t="str">
            <v>东海店</v>
          </cell>
          <cell r="V3907" t="str">
            <v>2026-3-19</v>
          </cell>
          <cell r="W3907">
            <v>32.77</v>
          </cell>
        </row>
        <row r="3908">
          <cell r="U3908" t="str">
            <v>滨江店</v>
          </cell>
          <cell r="V3908" t="str">
            <v>2026-3-19</v>
          </cell>
          <cell r="W3908">
            <v>72.47</v>
          </cell>
        </row>
        <row r="3909">
          <cell r="U3909" t="str">
            <v>下沙店</v>
          </cell>
          <cell r="V3909" t="str">
            <v>2026-3-19</v>
          </cell>
          <cell r="W3909">
            <v>25.36</v>
          </cell>
        </row>
        <row r="3910">
          <cell r="U3910" t="str">
            <v>南安店</v>
          </cell>
          <cell r="V3910" t="str">
            <v>2026-3-19</v>
          </cell>
          <cell r="W3910">
            <v>0</v>
          </cell>
        </row>
        <row r="3911">
          <cell r="U3911" t="str">
            <v>南安店</v>
          </cell>
          <cell r="V3911" t="str">
            <v>2026-3-19</v>
          </cell>
          <cell r="W3911">
            <v>4.46</v>
          </cell>
        </row>
        <row r="3912">
          <cell r="U3912" t="str">
            <v>启点店</v>
          </cell>
          <cell r="V3912" t="str">
            <v>2026-3-20</v>
          </cell>
          <cell r="W3912">
            <v>38.32</v>
          </cell>
        </row>
        <row r="3913">
          <cell r="U3913" t="str">
            <v>高新店</v>
          </cell>
          <cell r="V3913" t="str">
            <v>2026-3-20</v>
          </cell>
          <cell r="W3913">
            <v>51.62</v>
          </cell>
        </row>
        <row r="3914">
          <cell r="U3914" t="str">
            <v>金牛店</v>
          </cell>
          <cell r="V3914" t="str">
            <v>2026-3-20</v>
          </cell>
          <cell r="W3914">
            <v>27.45</v>
          </cell>
        </row>
        <row r="3915">
          <cell r="U3915" t="str">
            <v>成华店</v>
          </cell>
          <cell r="V3915" t="str">
            <v>2026-3-20</v>
          </cell>
          <cell r="W3915">
            <v>25.47</v>
          </cell>
        </row>
        <row r="3916">
          <cell r="U3916" t="str">
            <v>西山店</v>
          </cell>
          <cell r="V3916" t="str">
            <v>2026-3-20</v>
          </cell>
          <cell r="W3916">
            <v>28.16</v>
          </cell>
        </row>
        <row r="3917">
          <cell r="U3917" t="str">
            <v>百捷店</v>
          </cell>
          <cell r="V3917" t="str">
            <v>2026-3-20</v>
          </cell>
          <cell r="W3917">
            <v>45.63</v>
          </cell>
        </row>
        <row r="3918">
          <cell r="U3918" t="str">
            <v>沙坪坝店</v>
          </cell>
          <cell r="V3918" t="str">
            <v>2026-3-20</v>
          </cell>
          <cell r="W3918">
            <v>34.24</v>
          </cell>
        </row>
        <row r="3919">
          <cell r="U3919" t="str">
            <v>五路口店</v>
          </cell>
          <cell r="V3919" t="str">
            <v>2026-3-20</v>
          </cell>
          <cell r="W3919">
            <v>29.46</v>
          </cell>
        </row>
        <row r="3920">
          <cell r="U3920" t="str">
            <v>济南店</v>
          </cell>
          <cell r="V3920" t="str">
            <v>2026-3-20</v>
          </cell>
          <cell r="W3920">
            <v>109.62</v>
          </cell>
        </row>
        <row r="3921">
          <cell r="U3921" t="str">
            <v>青羊店</v>
          </cell>
          <cell r="V3921" t="str">
            <v>2026-3-20</v>
          </cell>
          <cell r="W3921">
            <v>22.19</v>
          </cell>
        </row>
        <row r="3922">
          <cell r="U3922" t="str">
            <v>观音桥店</v>
          </cell>
          <cell r="V3922" t="str">
            <v>2026-3-20</v>
          </cell>
          <cell r="W3922">
            <v>75.21</v>
          </cell>
        </row>
        <row r="3923">
          <cell r="U3923" t="str">
            <v>西湖店</v>
          </cell>
          <cell r="V3923" t="str">
            <v>2026-3-20</v>
          </cell>
          <cell r="W3923">
            <v>115.21</v>
          </cell>
        </row>
        <row r="3924">
          <cell r="U3924" t="str">
            <v>诚毅店</v>
          </cell>
          <cell r="V3924" t="str">
            <v>2026-3-20</v>
          </cell>
          <cell r="W3924">
            <v>85.71</v>
          </cell>
        </row>
        <row r="3925">
          <cell r="U3925" t="str">
            <v>湖里店</v>
          </cell>
          <cell r="V3925" t="str">
            <v>2026-3-20</v>
          </cell>
          <cell r="W3925">
            <v>9.62</v>
          </cell>
        </row>
        <row r="3926">
          <cell r="U3926" t="str">
            <v>东新店</v>
          </cell>
          <cell r="V3926" t="str">
            <v>2026-3-20</v>
          </cell>
          <cell r="W3926">
            <v>125.12</v>
          </cell>
        </row>
        <row r="3927">
          <cell r="U3927" t="str">
            <v>泉秀店</v>
          </cell>
          <cell r="V3927" t="str">
            <v>2026-3-20</v>
          </cell>
          <cell r="W3927">
            <v>0.88</v>
          </cell>
        </row>
        <row r="3928">
          <cell r="U3928" t="str">
            <v>大坪店</v>
          </cell>
          <cell r="V3928" t="str">
            <v>2026-3-20</v>
          </cell>
          <cell r="W3928">
            <v>18.69</v>
          </cell>
        </row>
        <row r="3929">
          <cell r="U3929" t="str">
            <v>凤城二路店</v>
          </cell>
          <cell r="V3929" t="str">
            <v>2026-3-20</v>
          </cell>
          <cell r="W3929">
            <v>6.86</v>
          </cell>
        </row>
        <row r="3930">
          <cell r="U3930" t="str">
            <v>洛江店</v>
          </cell>
          <cell r="V3930" t="str">
            <v>2026-3-20</v>
          </cell>
          <cell r="W3930">
            <v>22.66</v>
          </cell>
        </row>
        <row r="3931">
          <cell r="U3931" t="str">
            <v>官渡店</v>
          </cell>
          <cell r="V3931" t="str">
            <v>2026-3-20</v>
          </cell>
          <cell r="W3931">
            <v>23.83</v>
          </cell>
        </row>
        <row r="3932">
          <cell r="U3932" t="str">
            <v>武侯店</v>
          </cell>
          <cell r="V3932" t="str">
            <v>2026-3-20</v>
          </cell>
          <cell r="W3932">
            <v>55.44</v>
          </cell>
        </row>
        <row r="3933">
          <cell r="U3933" t="str">
            <v>黄雁村店</v>
          </cell>
          <cell r="V3933" t="str">
            <v>2026-3-20</v>
          </cell>
          <cell r="W3933">
            <v>76.83</v>
          </cell>
        </row>
        <row r="3934">
          <cell r="U3934" t="str">
            <v>五华店</v>
          </cell>
          <cell r="V3934" t="str">
            <v>2026-3-20</v>
          </cell>
          <cell r="W3934">
            <v>15.48</v>
          </cell>
        </row>
        <row r="3935">
          <cell r="U3935" t="str">
            <v>长沙店</v>
          </cell>
          <cell r="V3935" t="str">
            <v>2026-3-20</v>
          </cell>
          <cell r="W3935">
            <v>46.86</v>
          </cell>
        </row>
        <row r="3936">
          <cell r="U3936" t="str">
            <v>鼓楼店</v>
          </cell>
          <cell r="V3936" t="str">
            <v>2026-3-20</v>
          </cell>
          <cell r="W3936">
            <v>58.44</v>
          </cell>
        </row>
        <row r="3937">
          <cell r="U3937" t="str">
            <v>文昌店</v>
          </cell>
          <cell r="V3937" t="str">
            <v>2026-3-20</v>
          </cell>
          <cell r="W3937">
            <v>13.39</v>
          </cell>
        </row>
        <row r="3938">
          <cell r="U3938" t="str">
            <v>百丈店</v>
          </cell>
          <cell r="V3938" t="str">
            <v>2026-3-20</v>
          </cell>
          <cell r="W3938">
            <v>11.21</v>
          </cell>
        </row>
        <row r="3939">
          <cell r="U3939" t="str">
            <v>观桥店</v>
          </cell>
          <cell r="V3939" t="str">
            <v>2026-3-20</v>
          </cell>
          <cell r="W3939">
            <v>21.43</v>
          </cell>
        </row>
        <row r="3940">
          <cell r="U3940" t="str">
            <v>余杭店</v>
          </cell>
          <cell r="V3940" t="str">
            <v>2026-3-20</v>
          </cell>
          <cell r="W3940">
            <v>73.96</v>
          </cell>
        </row>
        <row r="3941">
          <cell r="U3941" t="str">
            <v>首山店</v>
          </cell>
          <cell r="V3941" t="str">
            <v>2026-3-20</v>
          </cell>
          <cell r="W3941">
            <v>54.86</v>
          </cell>
        </row>
        <row r="3942">
          <cell r="U3942" t="str">
            <v>文灶店</v>
          </cell>
          <cell r="V3942" t="str">
            <v>2026-3-20</v>
          </cell>
          <cell r="W3942">
            <v>0.29</v>
          </cell>
        </row>
        <row r="3943">
          <cell r="U3943" t="str">
            <v>首南店</v>
          </cell>
          <cell r="V3943" t="str">
            <v>2026-3-20</v>
          </cell>
          <cell r="W3943">
            <v>99.14</v>
          </cell>
        </row>
        <row r="3944">
          <cell r="U3944" t="str">
            <v>东海店</v>
          </cell>
          <cell r="V3944" t="str">
            <v>2026-3-20</v>
          </cell>
          <cell r="W3944">
            <v>37.02</v>
          </cell>
        </row>
        <row r="3945">
          <cell r="U3945" t="str">
            <v>滨江店</v>
          </cell>
          <cell r="V3945" t="str">
            <v>2026-3-20</v>
          </cell>
          <cell r="W3945">
            <v>65.06</v>
          </cell>
        </row>
        <row r="3946">
          <cell r="U3946" t="str">
            <v>下沙店</v>
          </cell>
          <cell r="V3946" t="str">
            <v>2026-3-20</v>
          </cell>
          <cell r="W3946">
            <v>48.84</v>
          </cell>
        </row>
        <row r="3947">
          <cell r="U3947" t="str">
            <v>启点店</v>
          </cell>
          <cell r="V3947" t="str">
            <v>2026-3-21</v>
          </cell>
          <cell r="W3947">
            <v>47.13</v>
          </cell>
        </row>
        <row r="3948">
          <cell r="U3948" t="str">
            <v>高新店</v>
          </cell>
          <cell r="V3948" t="str">
            <v>2026-3-21</v>
          </cell>
          <cell r="W3948">
            <v>40.02</v>
          </cell>
        </row>
        <row r="3949">
          <cell r="U3949" t="str">
            <v>金牛店</v>
          </cell>
          <cell r="V3949" t="str">
            <v>2026-3-21</v>
          </cell>
          <cell r="W3949">
            <v>22.23</v>
          </cell>
        </row>
        <row r="3950">
          <cell r="U3950" t="str">
            <v>成华店</v>
          </cell>
          <cell r="V3950" t="str">
            <v>2026-3-21</v>
          </cell>
          <cell r="W3950">
            <v>41.41</v>
          </cell>
        </row>
        <row r="3951">
          <cell r="U3951" t="str">
            <v>西山店</v>
          </cell>
          <cell r="V3951" t="str">
            <v>2026-3-21</v>
          </cell>
          <cell r="W3951">
            <v>36.52</v>
          </cell>
        </row>
        <row r="3952">
          <cell r="U3952" t="str">
            <v>百捷店</v>
          </cell>
          <cell r="V3952" t="str">
            <v>2026-3-21</v>
          </cell>
          <cell r="W3952">
            <v>39.61</v>
          </cell>
        </row>
        <row r="3953">
          <cell r="U3953" t="str">
            <v>沙坪坝店</v>
          </cell>
          <cell r="V3953" t="str">
            <v>2026-3-21</v>
          </cell>
          <cell r="W3953">
            <v>24.32</v>
          </cell>
        </row>
        <row r="3954">
          <cell r="U3954" t="str">
            <v>五路口店</v>
          </cell>
          <cell r="V3954" t="str">
            <v>2026-3-21</v>
          </cell>
          <cell r="W3954">
            <v>58.78</v>
          </cell>
        </row>
        <row r="3955">
          <cell r="U3955" t="str">
            <v>济南店</v>
          </cell>
          <cell r="V3955" t="str">
            <v>2026-3-21</v>
          </cell>
          <cell r="W3955">
            <v>59.4</v>
          </cell>
        </row>
        <row r="3956">
          <cell r="U3956" t="str">
            <v>青羊店</v>
          </cell>
          <cell r="V3956" t="str">
            <v>2026-3-21</v>
          </cell>
          <cell r="W3956">
            <v>25.56</v>
          </cell>
        </row>
        <row r="3957">
          <cell r="U3957" t="str">
            <v>观音桥店</v>
          </cell>
          <cell r="V3957" t="str">
            <v>2026-3-21</v>
          </cell>
          <cell r="W3957">
            <v>66.9</v>
          </cell>
        </row>
        <row r="3958">
          <cell r="U3958" t="str">
            <v>西湖店</v>
          </cell>
          <cell r="V3958" t="str">
            <v>2026-3-21</v>
          </cell>
          <cell r="W3958">
            <v>89.13</v>
          </cell>
        </row>
        <row r="3959">
          <cell r="U3959" t="str">
            <v>诚毅店</v>
          </cell>
          <cell r="V3959" t="str">
            <v>2026-3-21</v>
          </cell>
          <cell r="W3959">
            <v>75.84</v>
          </cell>
        </row>
        <row r="3960">
          <cell r="U3960" t="str">
            <v>湖里店</v>
          </cell>
          <cell r="V3960" t="str">
            <v>2026-3-21</v>
          </cell>
          <cell r="W3960">
            <v>8.73</v>
          </cell>
        </row>
        <row r="3961">
          <cell r="U3961" t="str">
            <v>东新店</v>
          </cell>
          <cell r="V3961" t="str">
            <v>2026-3-21</v>
          </cell>
          <cell r="W3961">
            <v>106.49</v>
          </cell>
        </row>
        <row r="3962">
          <cell r="U3962" t="str">
            <v>泉秀店</v>
          </cell>
          <cell r="V3962" t="str">
            <v>2026-3-21</v>
          </cell>
          <cell r="W3962">
            <v>5.75</v>
          </cell>
        </row>
        <row r="3963">
          <cell r="U3963" t="str">
            <v>大坪店</v>
          </cell>
          <cell r="V3963" t="str">
            <v>2026-3-21</v>
          </cell>
          <cell r="W3963">
            <v>38.75</v>
          </cell>
        </row>
        <row r="3964">
          <cell r="U3964" t="str">
            <v>凤城二路店</v>
          </cell>
          <cell r="V3964" t="str">
            <v>2026-3-21</v>
          </cell>
          <cell r="W3964">
            <v>7.91</v>
          </cell>
        </row>
        <row r="3965">
          <cell r="U3965" t="str">
            <v>洛江店</v>
          </cell>
          <cell r="V3965" t="str">
            <v>2026-3-21</v>
          </cell>
          <cell r="W3965">
            <v>0</v>
          </cell>
        </row>
        <row r="3966">
          <cell r="U3966" t="str">
            <v>官渡店</v>
          </cell>
          <cell r="V3966" t="str">
            <v>2026-3-21</v>
          </cell>
          <cell r="W3966">
            <v>56.9</v>
          </cell>
        </row>
        <row r="3967">
          <cell r="U3967" t="str">
            <v>武侯店</v>
          </cell>
          <cell r="V3967" t="str">
            <v>2026-3-21</v>
          </cell>
          <cell r="W3967">
            <v>38.68</v>
          </cell>
        </row>
        <row r="3968">
          <cell r="U3968" t="str">
            <v>黄雁村店</v>
          </cell>
          <cell r="V3968" t="str">
            <v>2026-3-21</v>
          </cell>
          <cell r="W3968">
            <v>94.39</v>
          </cell>
        </row>
        <row r="3969">
          <cell r="U3969" t="str">
            <v>五华店</v>
          </cell>
          <cell r="V3969" t="str">
            <v>2026-3-21</v>
          </cell>
          <cell r="W3969">
            <v>40.48</v>
          </cell>
        </row>
        <row r="3970">
          <cell r="U3970" t="str">
            <v>长沙店</v>
          </cell>
          <cell r="V3970" t="str">
            <v>2026-3-21</v>
          </cell>
          <cell r="W3970">
            <v>51.03</v>
          </cell>
        </row>
        <row r="3971">
          <cell r="U3971" t="str">
            <v>鼓楼店</v>
          </cell>
          <cell r="V3971" t="str">
            <v>2026-3-21</v>
          </cell>
          <cell r="W3971">
            <v>63.48</v>
          </cell>
        </row>
        <row r="3972">
          <cell r="U3972" t="str">
            <v>文昌店</v>
          </cell>
          <cell r="V3972" t="str">
            <v>2026-3-21</v>
          </cell>
          <cell r="W3972">
            <v>18.17</v>
          </cell>
        </row>
        <row r="3973">
          <cell r="U3973" t="str">
            <v>百丈店</v>
          </cell>
          <cell r="V3973" t="str">
            <v>2026-3-21</v>
          </cell>
          <cell r="W3973">
            <v>32.27</v>
          </cell>
        </row>
        <row r="3974">
          <cell r="U3974" t="str">
            <v>观桥店</v>
          </cell>
          <cell r="V3974" t="str">
            <v>2026-3-21</v>
          </cell>
          <cell r="W3974">
            <v>25.86</v>
          </cell>
        </row>
        <row r="3975">
          <cell r="U3975" t="str">
            <v>余杭店</v>
          </cell>
          <cell r="V3975" t="str">
            <v>2026-3-21</v>
          </cell>
          <cell r="W3975">
            <v>85.56</v>
          </cell>
        </row>
        <row r="3976">
          <cell r="U3976" t="str">
            <v>首山店</v>
          </cell>
          <cell r="V3976" t="str">
            <v>2026-3-21</v>
          </cell>
          <cell r="W3976">
            <v>55.2</v>
          </cell>
        </row>
        <row r="3977">
          <cell r="U3977" t="str">
            <v>文灶店</v>
          </cell>
          <cell r="V3977" t="str">
            <v>2026-3-21</v>
          </cell>
          <cell r="W3977">
            <v>0.37</v>
          </cell>
        </row>
        <row r="3978">
          <cell r="U3978" t="str">
            <v>首南店</v>
          </cell>
          <cell r="V3978" t="str">
            <v>2026-3-21</v>
          </cell>
          <cell r="W3978">
            <v>79.95</v>
          </cell>
        </row>
        <row r="3979">
          <cell r="U3979" t="str">
            <v>东海店</v>
          </cell>
          <cell r="V3979" t="str">
            <v>2026-3-21</v>
          </cell>
          <cell r="W3979">
            <v>54.78</v>
          </cell>
        </row>
        <row r="3980">
          <cell r="U3980" t="str">
            <v>滨江店</v>
          </cell>
          <cell r="V3980" t="str">
            <v>2026-3-21</v>
          </cell>
          <cell r="W3980">
            <v>64.06</v>
          </cell>
        </row>
        <row r="3981">
          <cell r="U3981" t="str">
            <v>下沙店</v>
          </cell>
          <cell r="V3981" t="str">
            <v>2026-3-21</v>
          </cell>
          <cell r="W3981">
            <v>37.87</v>
          </cell>
        </row>
        <row r="3982">
          <cell r="U3982" t="str">
            <v>启点店</v>
          </cell>
          <cell r="V3982" t="str">
            <v>2026-3-22</v>
          </cell>
          <cell r="W3982">
            <v>35.89</v>
          </cell>
        </row>
        <row r="3983">
          <cell r="U3983" t="str">
            <v>高新店</v>
          </cell>
          <cell r="V3983" t="str">
            <v>2026-3-22</v>
          </cell>
          <cell r="W3983">
            <v>46.06</v>
          </cell>
        </row>
        <row r="3984">
          <cell r="U3984" t="str">
            <v>金牛店</v>
          </cell>
          <cell r="V3984" t="str">
            <v>2026-3-22</v>
          </cell>
          <cell r="W3984">
            <v>37</v>
          </cell>
        </row>
        <row r="3985">
          <cell r="U3985" t="str">
            <v>成华店</v>
          </cell>
          <cell r="V3985" t="str">
            <v>2026-3-22</v>
          </cell>
          <cell r="W3985">
            <v>68.92</v>
          </cell>
        </row>
        <row r="3986">
          <cell r="U3986" t="str">
            <v>西山店</v>
          </cell>
          <cell r="V3986" t="str">
            <v>2026-3-22</v>
          </cell>
          <cell r="W3986">
            <v>19.37</v>
          </cell>
        </row>
        <row r="3987">
          <cell r="U3987" t="str">
            <v>百捷店</v>
          </cell>
          <cell r="V3987" t="str">
            <v>2026-3-22</v>
          </cell>
          <cell r="W3987">
            <v>41.51</v>
          </cell>
        </row>
        <row r="3988">
          <cell r="U3988" t="str">
            <v>沙坪坝店</v>
          </cell>
          <cell r="V3988" t="str">
            <v>2026-3-22</v>
          </cell>
          <cell r="W3988">
            <v>22.29</v>
          </cell>
        </row>
        <row r="3989">
          <cell r="U3989" t="str">
            <v>五路口店</v>
          </cell>
          <cell r="V3989" t="str">
            <v>2026-3-22</v>
          </cell>
          <cell r="W3989">
            <v>50.98</v>
          </cell>
        </row>
        <row r="3990">
          <cell r="U3990" t="str">
            <v>济南店</v>
          </cell>
          <cell r="V3990" t="str">
            <v>2026-3-22</v>
          </cell>
          <cell r="W3990">
            <v>115.8</v>
          </cell>
        </row>
        <row r="3991">
          <cell r="U3991" t="str">
            <v>青羊店</v>
          </cell>
          <cell r="V3991" t="str">
            <v>2026-3-22</v>
          </cell>
          <cell r="W3991">
            <v>28.26</v>
          </cell>
        </row>
        <row r="3992">
          <cell r="U3992" t="str">
            <v>观音桥店</v>
          </cell>
          <cell r="V3992" t="str">
            <v>2026-3-22</v>
          </cell>
          <cell r="W3992">
            <v>81.91</v>
          </cell>
        </row>
        <row r="3993">
          <cell r="U3993" t="str">
            <v>西湖店</v>
          </cell>
          <cell r="V3993" t="str">
            <v>2026-3-22</v>
          </cell>
          <cell r="W3993">
            <v>83.66</v>
          </cell>
        </row>
        <row r="3994">
          <cell r="U3994" t="str">
            <v>诚毅店</v>
          </cell>
          <cell r="V3994" t="str">
            <v>2026-3-22</v>
          </cell>
          <cell r="W3994">
            <v>28.46</v>
          </cell>
        </row>
        <row r="3995">
          <cell r="U3995" t="str">
            <v>湖里店</v>
          </cell>
          <cell r="V3995" t="str">
            <v>2026-3-22</v>
          </cell>
          <cell r="W3995">
            <v>12.24</v>
          </cell>
        </row>
        <row r="3996">
          <cell r="U3996" t="str">
            <v>东新店</v>
          </cell>
          <cell r="V3996" t="str">
            <v>2026-3-22</v>
          </cell>
          <cell r="W3996">
            <v>89.75</v>
          </cell>
        </row>
        <row r="3997">
          <cell r="U3997" t="str">
            <v>泉秀店</v>
          </cell>
          <cell r="V3997" t="str">
            <v>2026-3-22</v>
          </cell>
          <cell r="W3997">
            <v>2.91</v>
          </cell>
        </row>
        <row r="3998">
          <cell r="U3998" t="str">
            <v>大坪店</v>
          </cell>
          <cell r="V3998" t="str">
            <v>2026-3-22</v>
          </cell>
          <cell r="W3998">
            <v>43.7</v>
          </cell>
        </row>
        <row r="3999">
          <cell r="U3999" t="str">
            <v>凤城二路店</v>
          </cell>
          <cell r="V3999" t="str">
            <v>2026-3-22</v>
          </cell>
          <cell r="W3999">
            <v>6.35</v>
          </cell>
        </row>
        <row r="4000">
          <cell r="U4000" t="str">
            <v>洛江店</v>
          </cell>
          <cell r="V4000" t="str">
            <v>2026-3-22</v>
          </cell>
          <cell r="W4000">
            <v>0</v>
          </cell>
        </row>
        <row r="4001">
          <cell r="U4001" t="str">
            <v>官渡店</v>
          </cell>
          <cell r="V4001" t="str">
            <v>2026-3-22</v>
          </cell>
          <cell r="W4001">
            <v>21.63</v>
          </cell>
        </row>
        <row r="4002">
          <cell r="U4002" t="str">
            <v>武侯店</v>
          </cell>
          <cell r="V4002" t="str">
            <v>2026-3-22</v>
          </cell>
          <cell r="W4002">
            <v>45.39</v>
          </cell>
        </row>
        <row r="4003">
          <cell r="U4003" t="str">
            <v>黄雁村店</v>
          </cell>
          <cell r="V4003" t="str">
            <v>2026-3-22</v>
          </cell>
          <cell r="W4003">
            <v>123.19</v>
          </cell>
        </row>
        <row r="4004">
          <cell r="U4004" t="str">
            <v>五华店</v>
          </cell>
          <cell r="V4004" t="str">
            <v>2026-3-22</v>
          </cell>
          <cell r="W4004">
            <v>44.64</v>
          </cell>
        </row>
        <row r="4005">
          <cell r="U4005" t="str">
            <v>长沙店</v>
          </cell>
          <cell r="V4005" t="str">
            <v>2026-3-22</v>
          </cell>
          <cell r="W4005">
            <v>23.87</v>
          </cell>
        </row>
        <row r="4006">
          <cell r="U4006" t="str">
            <v>鼓楼店</v>
          </cell>
          <cell r="V4006" t="str">
            <v>2026-3-22</v>
          </cell>
          <cell r="W4006">
            <v>79.9</v>
          </cell>
        </row>
        <row r="4007">
          <cell r="U4007" t="str">
            <v>文昌店</v>
          </cell>
          <cell r="V4007" t="str">
            <v>2026-3-22</v>
          </cell>
          <cell r="W4007">
            <v>12.82</v>
          </cell>
        </row>
        <row r="4008">
          <cell r="U4008" t="str">
            <v>百丈店</v>
          </cell>
          <cell r="V4008" t="str">
            <v>2026-3-22</v>
          </cell>
          <cell r="W4008">
            <v>52.44</v>
          </cell>
        </row>
        <row r="4009">
          <cell r="U4009" t="str">
            <v>观桥店</v>
          </cell>
          <cell r="V4009" t="str">
            <v>2026-3-22</v>
          </cell>
          <cell r="W4009">
            <v>12.93</v>
          </cell>
        </row>
        <row r="4010">
          <cell r="U4010" t="str">
            <v>余杭店</v>
          </cell>
          <cell r="V4010" t="str">
            <v>2026-3-22</v>
          </cell>
          <cell r="W4010">
            <v>115.87</v>
          </cell>
        </row>
        <row r="4011">
          <cell r="U4011" t="str">
            <v>首山店</v>
          </cell>
          <cell r="V4011" t="str">
            <v>2026-3-22</v>
          </cell>
          <cell r="W4011">
            <v>64.86</v>
          </cell>
        </row>
        <row r="4012">
          <cell r="U4012" t="str">
            <v>文灶店</v>
          </cell>
          <cell r="V4012" t="str">
            <v>2026-3-22</v>
          </cell>
          <cell r="W4012">
            <v>0.69</v>
          </cell>
        </row>
        <row r="4013">
          <cell r="U4013" t="str">
            <v>首南店</v>
          </cell>
          <cell r="V4013" t="str">
            <v>2026-3-22</v>
          </cell>
          <cell r="W4013">
            <v>109.06</v>
          </cell>
        </row>
        <row r="4014">
          <cell r="U4014" t="str">
            <v>东海店</v>
          </cell>
          <cell r="V4014" t="str">
            <v>2026-3-22</v>
          </cell>
          <cell r="W4014">
            <v>46.06</v>
          </cell>
        </row>
        <row r="4015">
          <cell r="U4015" t="str">
            <v>滨江店</v>
          </cell>
          <cell r="V4015" t="str">
            <v>2026-3-22</v>
          </cell>
          <cell r="W4015">
            <v>96.78</v>
          </cell>
        </row>
        <row r="4016">
          <cell r="U4016" t="str">
            <v>下沙店</v>
          </cell>
          <cell r="V4016" t="str">
            <v>2026-3-22</v>
          </cell>
          <cell r="W4016">
            <v>86.62</v>
          </cell>
        </row>
        <row r="4017">
          <cell r="U4017" t="str">
            <v>南安店</v>
          </cell>
          <cell r="V4017" t="str">
            <v>2026-3-20</v>
          </cell>
          <cell r="W4017">
            <v>4.33</v>
          </cell>
        </row>
        <row r="4018">
          <cell r="U4018" t="str">
            <v>南安店</v>
          </cell>
          <cell r="V4018" t="str">
            <v>2026-3-20</v>
          </cell>
          <cell r="W4018">
            <v>6.94</v>
          </cell>
        </row>
        <row r="4019">
          <cell r="U4019" t="str">
            <v>南安店</v>
          </cell>
          <cell r="V4019" t="str">
            <v>2026-3-21</v>
          </cell>
          <cell r="W4019">
            <v>0.72</v>
          </cell>
        </row>
        <row r="4020">
          <cell r="U4020" t="str">
            <v>南安店</v>
          </cell>
          <cell r="V4020" t="str">
            <v>2026-3-21</v>
          </cell>
          <cell r="W4020">
            <v>7.51</v>
          </cell>
        </row>
        <row r="4021">
          <cell r="U4021" t="str">
            <v>南安店</v>
          </cell>
          <cell r="V4021" t="str">
            <v>2026-3-22</v>
          </cell>
          <cell r="W4021">
            <v>2.08</v>
          </cell>
        </row>
        <row r="4022">
          <cell r="U4022" t="str">
            <v>南安店</v>
          </cell>
          <cell r="V4022" t="str">
            <v>2026-3-22</v>
          </cell>
          <cell r="W4022">
            <v>5.5</v>
          </cell>
        </row>
        <row r="4023">
          <cell r="U4023" t="str">
            <v>启点店</v>
          </cell>
          <cell r="V4023" t="str">
            <v>2026-3-23</v>
          </cell>
          <cell r="W4023">
            <v>58.59</v>
          </cell>
        </row>
        <row r="4024">
          <cell r="U4024" t="str">
            <v>高新店</v>
          </cell>
          <cell r="V4024" t="str">
            <v>2026-3-23</v>
          </cell>
          <cell r="W4024">
            <v>71.91</v>
          </cell>
        </row>
        <row r="4025">
          <cell r="U4025" t="str">
            <v>金牛店</v>
          </cell>
          <cell r="V4025" t="str">
            <v>2026-3-23</v>
          </cell>
          <cell r="W4025">
            <v>40</v>
          </cell>
        </row>
        <row r="4026">
          <cell r="U4026" t="str">
            <v>成华店</v>
          </cell>
          <cell r="V4026" t="str">
            <v>2026-3-23</v>
          </cell>
          <cell r="W4026">
            <v>42.15</v>
          </cell>
        </row>
        <row r="4027">
          <cell r="U4027" t="str">
            <v>西山店</v>
          </cell>
          <cell r="V4027" t="str">
            <v>2026-3-23</v>
          </cell>
          <cell r="W4027">
            <v>16.37</v>
          </cell>
        </row>
        <row r="4028">
          <cell r="U4028" t="str">
            <v>百捷店</v>
          </cell>
          <cell r="V4028" t="str">
            <v>2026-3-23</v>
          </cell>
          <cell r="W4028">
            <v>53.92</v>
          </cell>
        </row>
        <row r="4029">
          <cell r="U4029" t="str">
            <v>沙坪坝店</v>
          </cell>
          <cell r="V4029" t="str">
            <v>2026-3-23</v>
          </cell>
          <cell r="W4029">
            <v>20.62</v>
          </cell>
        </row>
        <row r="4030">
          <cell r="U4030" t="str">
            <v>五路口店</v>
          </cell>
          <cell r="V4030" t="str">
            <v>2026-3-23</v>
          </cell>
          <cell r="W4030">
            <v>55.02</v>
          </cell>
        </row>
        <row r="4031">
          <cell r="U4031" t="str">
            <v>济南店</v>
          </cell>
          <cell r="V4031" t="str">
            <v>2026-3-23</v>
          </cell>
          <cell r="W4031">
            <v>75.21</v>
          </cell>
        </row>
        <row r="4032">
          <cell r="U4032" t="str">
            <v>青羊店</v>
          </cell>
          <cell r="V4032" t="str">
            <v>2026-3-23</v>
          </cell>
          <cell r="W4032">
            <v>45.71</v>
          </cell>
        </row>
        <row r="4033">
          <cell r="U4033" t="str">
            <v>观音桥店</v>
          </cell>
          <cell r="V4033" t="str">
            <v>2026-3-23</v>
          </cell>
          <cell r="W4033">
            <v>55.16</v>
          </cell>
        </row>
        <row r="4034">
          <cell r="U4034" t="str">
            <v>西湖店</v>
          </cell>
          <cell r="V4034" t="str">
            <v>2026-3-23</v>
          </cell>
          <cell r="W4034">
            <v>90.53</v>
          </cell>
        </row>
        <row r="4035">
          <cell r="U4035" t="str">
            <v>诚毅店</v>
          </cell>
          <cell r="V4035" t="str">
            <v>2026-3-23</v>
          </cell>
          <cell r="W4035">
            <v>53.18</v>
          </cell>
        </row>
        <row r="4036">
          <cell r="U4036" t="str">
            <v>湖里店</v>
          </cell>
          <cell r="V4036" t="str">
            <v>2026-3-23</v>
          </cell>
          <cell r="W4036">
            <v>105.82</v>
          </cell>
        </row>
        <row r="4037">
          <cell r="U4037" t="str">
            <v>东新店</v>
          </cell>
          <cell r="V4037" t="str">
            <v>2026-3-23</v>
          </cell>
          <cell r="W4037">
            <v>98.7</v>
          </cell>
        </row>
        <row r="4038">
          <cell r="U4038" t="str">
            <v>泉秀店</v>
          </cell>
          <cell r="V4038" t="str">
            <v>2026-3-23</v>
          </cell>
          <cell r="W4038">
            <v>0.66</v>
          </cell>
        </row>
        <row r="4039">
          <cell r="U4039" t="str">
            <v>大坪店</v>
          </cell>
          <cell r="V4039" t="str">
            <v>2026-3-23</v>
          </cell>
          <cell r="W4039">
            <v>27.03</v>
          </cell>
        </row>
        <row r="4040">
          <cell r="U4040" t="str">
            <v>凤城二路店</v>
          </cell>
          <cell r="V4040" t="str">
            <v>2026-3-23</v>
          </cell>
          <cell r="W4040">
            <v>7.58</v>
          </cell>
        </row>
        <row r="4041">
          <cell r="U4041" t="str">
            <v>洛江店</v>
          </cell>
          <cell r="V4041" t="str">
            <v>2026-3-23</v>
          </cell>
          <cell r="W4041">
            <v>11.93</v>
          </cell>
        </row>
        <row r="4042">
          <cell r="U4042" t="str">
            <v>官渡店</v>
          </cell>
          <cell r="V4042" t="str">
            <v>2026-3-23</v>
          </cell>
          <cell r="W4042">
            <v>28.49</v>
          </cell>
        </row>
        <row r="4043">
          <cell r="U4043" t="str">
            <v>武侯店</v>
          </cell>
          <cell r="V4043" t="str">
            <v>2026-3-23</v>
          </cell>
          <cell r="W4043">
            <v>51.85</v>
          </cell>
        </row>
        <row r="4044">
          <cell r="U4044" t="str">
            <v>黄雁村店</v>
          </cell>
          <cell r="V4044" t="str">
            <v>2026-3-23</v>
          </cell>
          <cell r="W4044">
            <v>90.05</v>
          </cell>
        </row>
        <row r="4045">
          <cell r="U4045" t="str">
            <v>五华店</v>
          </cell>
          <cell r="V4045" t="str">
            <v>2026-3-23</v>
          </cell>
          <cell r="W4045">
            <v>16.81</v>
          </cell>
        </row>
        <row r="4046">
          <cell r="U4046" t="str">
            <v>长沙店</v>
          </cell>
          <cell r="V4046" t="str">
            <v>2026-3-23</v>
          </cell>
          <cell r="W4046">
            <v>60.63</v>
          </cell>
        </row>
        <row r="4047">
          <cell r="U4047" t="str">
            <v>鼓楼店</v>
          </cell>
          <cell r="V4047" t="str">
            <v>2026-3-23</v>
          </cell>
          <cell r="W4047">
            <v>67</v>
          </cell>
        </row>
        <row r="4048">
          <cell r="U4048" t="str">
            <v>文昌店</v>
          </cell>
          <cell r="V4048" t="str">
            <v>2026-3-23</v>
          </cell>
          <cell r="W4048">
            <v>12.43</v>
          </cell>
        </row>
        <row r="4049">
          <cell r="U4049" t="str">
            <v>百丈店</v>
          </cell>
          <cell r="V4049" t="str">
            <v>2026-3-23</v>
          </cell>
          <cell r="W4049">
            <v>31.92</v>
          </cell>
        </row>
        <row r="4050">
          <cell r="U4050" t="str">
            <v>观桥店</v>
          </cell>
          <cell r="V4050" t="str">
            <v>2026-3-23</v>
          </cell>
          <cell r="W4050">
            <v>40.79</v>
          </cell>
        </row>
        <row r="4051">
          <cell r="U4051" t="str">
            <v>余杭店</v>
          </cell>
          <cell r="V4051" t="str">
            <v>2026-3-23</v>
          </cell>
          <cell r="W4051">
            <v>114.81</v>
          </cell>
        </row>
        <row r="4052">
          <cell r="U4052" t="str">
            <v>首山店</v>
          </cell>
          <cell r="V4052" t="str">
            <v>2026-3-23</v>
          </cell>
          <cell r="W4052">
            <v>73.91</v>
          </cell>
        </row>
        <row r="4053">
          <cell r="U4053" t="str">
            <v>文灶店</v>
          </cell>
          <cell r="V4053" t="str">
            <v>2026-3-23</v>
          </cell>
          <cell r="W4053">
            <v>11.83</v>
          </cell>
        </row>
        <row r="4054">
          <cell r="U4054" t="str">
            <v>首南店</v>
          </cell>
          <cell r="V4054" t="str">
            <v>2026-3-23</v>
          </cell>
          <cell r="W4054">
            <v>100.32</v>
          </cell>
        </row>
        <row r="4055">
          <cell r="U4055" t="str">
            <v>东海店</v>
          </cell>
          <cell r="V4055" t="str">
            <v>2026-3-23</v>
          </cell>
          <cell r="W4055">
            <v>30.04</v>
          </cell>
        </row>
        <row r="4056">
          <cell r="U4056" t="str">
            <v>滨江店</v>
          </cell>
          <cell r="V4056" t="str">
            <v>2026-3-23</v>
          </cell>
          <cell r="W4056">
            <v>77.91</v>
          </cell>
        </row>
        <row r="4057">
          <cell r="U4057" t="str">
            <v>下沙店</v>
          </cell>
          <cell r="V4057" t="str">
            <v>2026-3-23</v>
          </cell>
          <cell r="W4057">
            <v>41.61</v>
          </cell>
        </row>
        <row r="4058">
          <cell r="U4058" t="str">
            <v>南安店</v>
          </cell>
          <cell r="V4058" t="str">
            <v>2026-3-23</v>
          </cell>
          <cell r="W4058">
            <v>0</v>
          </cell>
        </row>
        <row r="4059">
          <cell r="U4059" t="str">
            <v>南安店</v>
          </cell>
          <cell r="V4059" t="str">
            <v>2026-3-23</v>
          </cell>
          <cell r="W4059">
            <v>6.18</v>
          </cell>
        </row>
        <row r="4060">
          <cell r="U4060" t="str">
            <v>海口店</v>
          </cell>
          <cell r="V4060" t="str">
            <v>2026-3-23</v>
          </cell>
          <cell r="W4060">
            <v>12.93</v>
          </cell>
        </row>
        <row r="4061">
          <cell r="U4061" t="str">
            <v>启点店</v>
          </cell>
          <cell r="V4061" t="str">
            <v>2026-3-24</v>
          </cell>
          <cell r="W4061">
            <v>45.75</v>
          </cell>
        </row>
        <row r="4062">
          <cell r="U4062" t="str">
            <v>高新店</v>
          </cell>
          <cell r="V4062" t="str">
            <v>2026-3-24</v>
          </cell>
          <cell r="W4062">
            <v>43.37</v>
          </cell>
        </row>
        <row r="4063">
          <cell r="U4063" t="str">
            <v>金牛店</v>
          </cell>
          <cell r="V4063" t="str">
            <v>2026-3-24</v>
          </cell>
          <cell r="W4063">
            <v>20.49</v>
          </cell>
        </row>
        <row r="4064">
          <cell r="U4064" t="str">
            <v>成华店</v>
          </cell>
          <cell r="V4064" t="str">
            <v>2026-3-24</v>
          </cell>
          <cell r="W4064">
            <v>29.34</v>
          </cell>
        </row>
        <row r="4065">
          <cell r="U4065" t="str">
            <v>西山店</v>
          </cell>
          <cell r="V4065" t="str">
            <v>2026-3-24</v>
          </cell>
          <cell r="W4065">
            <v>30</v>
          </cell>
        </row>
        <row r="4066">
          <cell r="U4066" t="str">
            <v>百捷店</v>
          </cell>
          <cell r="V4066" t="str">
            <v>2026-3-24</v>
          </cell>
          <cell r="W4066">
            <v>50.5</v>
          </cell>
        </row>
        <row r="4067">
          <cell r="U4067" t="str">
            <v>沙坪坝店</v>
          </cell>
          <cell r="V4067" t="str">
            <v>2026-3-24</v>
          </cell>
          <cell r="W4067">
            <v>23.68</v>
          </cell>
        </row>
        <row r="4068">
          <cell r="U4068" t="str">
            <v>五路口店</v>
          </cell>
          <cell r="V4068" t="str">
            <v>2026-3-24</v>
          </cell>
          <cell r="W4068">
            <v>40.05</v>
          </cell>
        </row>
        <row r="4069">
          <cell r="U4069" t="str">
            <v>济南店</v>
          </cell>
          <cell r="V4069" t="str">
            <v>2026-3-24</v>
          </cell>
          <cell r="W4069">
            <v>81.14</v>
          </cell>
        </row>
        <row r="4070">
          <cell r="U4070" t="str">
            <v>青羊店</v>
          </cell>
          <cell r="V4070" t="str">
            <v>2026-3-24</v>
          </cell>
          <cell r="W4070">
            <v>21.75</v>
          </cell>
        </row>
        <row r="4071">
          <cell r="U4071" t="str">
            <v>观音桥店</v>
          </cell>
          <cell r="V4071" t="str">
            <v>2026-3-24</v>
          </cell>
          <cell r="W4071">
            <v>50.15</v>
          </cell>
        </row>
        <row r="4072">
          <cell r="U4072" t="str">
            <v>西湖店</v>
          </cell>
          <cell r="V4072" t="str">
            <v>2026-3-24</v>
          </cell>
          <cell r="W4072">
            <v>84.96</v>
          </cell>
        </row>
        <row r="4073">
          <cell r="U4073" t="str">
            <v>诚毅店</v>
          </cell>
          <cell r="V4073" t="str">
            <v>2026-3-24</v>
          </cell>
          <cell r="W4073">
            <v>75.06</v>
          </cell>
        </row>
        <row r="4074">
          <cell r="U4074" t="str">
            <v>湖里店</v>
          </cell>
          <cell r="V4074" t="str">
            <v>2026-3-24</v>
          </cell>
          <cell r="W4074">
            <v>90.1</v>
          </cell>
        </row>
        <row r="4075">
          <cell r="U4075" t="str">
            <v>东新店</v>
          </cell>
          <cell r="V4075" t="str">
            <v>2026-3-24</v>
          </cell>
          <cell r="W4075">
            <v>86.65</v>
          </cell>
        </row>
        <row r="4076">
          <cell r="U4076" t="str">
            <v>泉秀店</v>
          </cell>
          <cell r="V4076" t="str">
            <v>2026-3-24</v>
          </cell>
          <cell r="W4076">
            <v>53.31</v>
          </cell>
        </row>
        <row r="4077">
          <cell r="U4077" t="str">
            <v>大坪店</v>
          </cell>
          <cell r="V4077" t="str">
            <v>2026-3-24</v>
          </cell>
          <cell r="W4077">
            <v>24.16</v>
          </cell>
        </row>
        <row r="4078">
          <cell r="U4078" t="str">
            <v>凤城二路店</v>
          </cell>
          <cell r="V4078" t="str">
            <v>2026-3-24</v>
          </cell>
          <cell r="W4078">
            <v>62.71</v>
          </cell>
        </row>
        <row r="4079">
          <cell r="U4079" t="str">
            <v>洛江店</v>
          </cell>
          <cell r="V4079" t="str">
            <v>2026-3-24</v>
          </cell>
          <cell r="W4079">
            <v>14.08</v>
          </cell>
        </row>
        <row r="4080">
          <cell r="U4080" t="str">
            <v>官渡店</v>
          </cell>
          <cell r="V4080" t="str">
            <v>2026-3-24</v>
          </cell>
          <cell r="W4080">
            <v>32.38</v>
          </cell>
        </row>
        <row r="4081">
          <cell r="U4081" t="str">
            <v>武侯店</v>
          </cell>
          <cell r="V4081" t="str">
            <v>2026-3-24</v>
          </cell>
          <cell r="W4081">
            <v>72.26</v>
          </cell>
        </row>
        <row r="4082">
          <cell r="U4082" t="str">
            <v>黄雁村店</v>
          </cell>
          <cell r="V4082" t="str">
            <v>2026-3-24</v>
          </cell>
          <cell r="W4082">
            <v>47.62</v>
          </cell>
        </row>
        <row r="4083">
          <cell r="U4083" t="str">
            <v>五华店</v>
          </cell>
          <cell r="V4083" t="str">
            <v>2026-3-24</v>
          </cell>
          <cell r="W4083">
            <v>17.77</v>
          </cell>
        </row>
        <row r="4084">
          <cell r="U4084" t="str">
            <v>长沙店</v>
          </cell>
          <cell r="V4084" t="str">
            <v>2026-3-24</v>
          </cell>
          <cell r="W4084">
            <v>37.3</v>
          </cell>
        </row>
        <row r="4085">
          <cell r="U4085" t="str">
            <v>鼓楼店</v>
          </cell>
          <cell r="V4085" t="str">
            <v>2026-3-24</v>
          </cell>
          <cell r="W4085">
            <v>56.49</v>
          </cell>
        </row>
        <row r="4086">
          <cell r="U4086" t="str">
            <v>文昌店</v>
          </cell>
          <cell r="V4086" t="str">
            <v>2026-3-24</v>
          </cell>
          <cell r="W4086">
            <v>9.51</v>
          </cell>
        </row>
        <row r="4087">
          <cell r="U4087" t="str">
            <v>百丈店</v>
          </cell>
          <cell r="V4087" t="str">
            <v>2026-3-24</v>
          </cell>
          <cell r="W4087">
            <v>24.05</v>
          </cell>
        </row>
        <row r="4088">
          <cell r="U4088" t="str">
            <v>观桥店</v>
          </cell>
          <cell r="V4088" t="str">
            <v>2026-3-24</v>
          </cell>
          <cell r="W4088">
            <v>22.5</v>
          </cell>
        </row>
        <row r="4089">
          <cell r="U4089" t="str">
            <v>余杭店</v>
          </cell>
          <cell r="V4089" t="str">
            <v>2026-3-24</v>
          </cell>
          <cell r="W4089">
            <v>144.76</v>
          </cell>
        </row>
        <row r="4090">
          <cell r="U4090" t="str">
            <v>首山店</v>
          </cell>
          <cell r="V4090" t="str">
            <v>2026-3-24</v>
          </cell>
          <cell r="W4090">
            <v>108.47</v>
          </cell>
        </row>
        <row r="4091">
          <cell r="U4091" t="str">
            <v>文灶店</v>
          </cell>
          <cell r="V4091" t="str">
            <v>2026-3-24</v>
          </cell>
          <cell r="W4091">
            <v>5.16</v>
          </cell>
        </row>
        <row r="4092">
          <cell r="U4092" t="str">
            <v>首南店</v>
          </cell>
          <cell r="V4092" t="str">
            <v>2026-3-24</v>
          </cell>
          <cell r="W4092">
            <v>149.1</v>
          </cell>
        </row>
        <row r="4093">
          <cell r="U4093" t="str">
            <v>东海店</v>
          </cell>
          <cell r="V4093" t="str">
            <v>2026-3-24</v>
          </cell>
          <cell r="W4093">
            <v>45.23</v>
          </cell>
        </row>
        <row r="4094">
          <cell r="U4094" t="str">
            <v>滨江店</v>
          </cell>
          <cell r="V4094" t="str">
            <v>2026-3-24</v>
          </cell>
          <cell r="W4094">
            <v>59.53</v>
          </cell>
        </row>
        <row r="4095">
          <cell r="U4095" t="str">
            <v>下沙店</v>
          </cell>
          <cell r="V4095" t="str">
            <v>2026-3-24</v>
          </cell>
          <cell r="W4095">
            <v>29.92</v>
          </cell>
        </row>
        <row r="4096">
          <cell r="U4096" t="str">
            <v>南安店</v>
          </cell>
          <cell r="V4096" t="str">
            <v>2026-3-24</v>
          </cell>
          <cell r="W4096">
            <v>3.24</v>
          </cell>
        </row>
        <row r="4097">
          <cell r="U4097" t="str">
            <v>南安店</v>
          </cell>
          <cell r="V4097" t="str">
            <v>2026-3-24</v>
          </cell>
          <cell r="W4097">
            <v>3.24</v>
          </cell>
        </row>
        <row r="4098">
          <cell r="U4098" t="str">
            <v>海口店</v>
          </cell>
          <cell r="V4098" t="str">
            <v>2026-3-24</v>
          </cell>
          <cell r="W4098">
            <v>29.45</v>
          </cell>
        </row>
        <row r="4099">
          <cell r="U4099" t="str">
            <v>启点店</v>
          </cell>
          <cell r="V4099" t="str">
            <v>2026-3-25</v>
          </cell>
          <cell r="W4099">
            <v>61.03</v>
          </cell>
        </row>
        <row r="4100">
          <cell r="U4100" t="str">
            <v>高新店</v>
          </cell>
          <cell r="V4100" t="str">
            <v>2026-3-25</v>
          </cell>
          <cell r="W4100">
            <v>62.47</v>
          </cell>
        </row>
        <row r="4101">
          <cell r="U4101" t="str">
            <v>金牛店</v>
          </cell>
          <cell r="V4101" t="str">
            <v>2026-3-25</v>
          </cell>
          <cell r="W4101">
            <v>19.29</v>
          </cell>
        </row>
        <row r="4102">
          <cell r="U4102" t="str">
            <v>成华店</v>
          </cell>
          <cell r="V4102" t="str">
            <v>2026-3-25</v>
          </cell>
          <cell r="W4102">
            <v>23.3</v>
          </cell>
        </row>
        <row r="4103">
          <cell r="U4103" t="str">
            <v>西山店</v>
          </cell>
          <cell r="V4103" t="str">
            <v>2026-3-25</v>
          </cell>
          <cell r="W4103">
            <v>12.06</v>
          </cell>
        </row>
        <row r="4104">
          <cell r="U4104" t="str">
            <v>百捷店</v>
          </cell>
          <cell r="V4104" t="str">
            <v>2026-3-25</v>
          </cell>
          <cell r="W4104">
            <v>77.15</v>
          </cell>
        </row>
        <row r="4105">
          <cell r="U4105" t="str">
            <v>沙坪坝店</v>
          </cell>
          <cell r="V4105" t="str">
            <v>2026-3-25</v>
          </cell>
          <cell r="W4105">
            <v>31.25</v>
          </cell>
        </row>
        <row r="4106">
          <cell r="U4106" t="str">
            <v>五路口店</v>
          </cell>
          <cell r="V4106" t="str">
            <v>2026-3-25</v>
          </cell>
          <cell r="W4106">
            <v>50.76</v>
          </cell>
        </row>
        <row r="4107">
          <cell r="U4107" t="str">
            <v>济南店</v>
          </cell>
          <cell r="V4107" t="str">
            <v>2026-3-25</v>
          </cell>
          <cell r="W4107">
            <v>118.82</v>
          </cell>
        </row>
        <row r="4108">
          <cell r="U4108" t="str">
            <v>青羊店</v>
          </cell>
          <cell r="V4108" t="str">
            <v>2026-3-25</v>
          </cell>
          <cell r="W4108">
            <v>24.88</v>
          </cell>
        </row>
        <row r="4109">
          <cell r="U4109" t="str">
            <v>观音桥店</v>
          </cell>
          <cell r="V4109" t="str">
            <v>2026-3-25</v>
          </cell>
          <cell r="W4109">
            <v>47.33</v>
          </cell>
        </row>
        <row r="4110">
          <cell r="U4110" t="str">
            <v>西湖店</v>
          </cell>
          <cell r="V4110" t="str">
            <v>2026-3-25</v>
          </cell>
          <cell r="W4110">
            <v>95.77</v>
          </cell>
        </row>
        <row r="4111">
          <cell r="U4111" t="str">
            <v>诚毅店</v>
          </cell>
          <cell r="V4111" t="str">
            <v>2026-3-25</v>
          </cell>
          <cell r="W4111">
            <v>64.93</v>
          </cell>
        </row>
        <row r="4112">
          <cell r="U4112" t="str">
            <v>湖里店</v>
          </cell>
          <cell r="V4112" t="str">
            <v>2026-3-25</v>
          </cell>
          <cell r="W4112">
            <v>126.78</v>
          </cell>
        </row>
        <row r="4113">
          <cell r="U4113" t="str">
            <v>东新店</v>
          </cell>
          <cell r="V4113" t="str">
            <v>2026-3-25</v>
          </cell>
          <cell r="W4113">
            <v>38.29</v>
          </cell>
        </row>
        <row r="4114">
          <cell r="U4114" t="str">
            <v>泉秀店</v>
          </cell>
          <cell r="V4114" t="str">
            <v>2026-3-25</v>
          </cell>
          <cell r="W4114">
            <v>23.64</v>
          </cell>
        </row>
        <row r="4115">
          <cell r="U4115" t="str">
            <v>大坪店</v>
          </cell>
          <cell r="V4115" t="str">
            <v>2026-3-25</v>
          </cell>
          <cell r="W4115">
            <v>43.95</v>
          </cell>
        </row>
        <row r="4116">
          <cell r="U4116" t="str">
            <v>凤城二路店</v>
          </cell>
          <cell r="V4116" t="str">
            <v>2026-3-25</v>
          </cell>
          <cell r="W4116">
            <v>87.25</v>
          </cell>
        </row>
        <row r="4117">
          <cell r="U4117" t="str">
            <v>洛江店</v>
          </cell>
          <cell r="V4117" t="str">
            <v>2026-3-25</v>
          </cell>
          <cell r="W4117">
            <v>19.2</v>
          </cell>
        </row>
        <row r="4118">
          <cell r="U4118" t="str">
            <v>官渡店</v>
          </cell>
          <cell r="V4118" t="str">
            <v>2026-3-25</v>
          </cell>
          <cell r="W4118">
            <v>26.85</v>
          </cell>
        </row>
        <row r="4119">
          <cell r="U4119" t="str">
            <v>武侯店</v>
          </cell>
          <cell r="V4119" t="str">
            <v>2026-3-25</v>
          </cell>
          <cell r="W4119">
            <v>45.04</v>
          </cell>
        </row>
        <row r="4120">
          <cell r="U4120" t="str">
            <v>黄雁村店</v>
          </cell>
          <cell r="V4120" t="str">
            <v>2026-3-25</v>
          </cell>
          <cell r="W4120">
            <v>90.85</v>
          </cell>
        </row>
        <row r="4121">
          <cell r="U4121" t="str">
            <v>五华店</v>
          </cell>
          <cell r="V4121" t="str">
            <v>2026-3-25</v>
          </cell>
          <cell r="W4121">
            <v>34.45</v>
          </cell>
        </row>
        <row r="4122">
          <cell r="U4122" t="str">
            <v>长沙店</v>
          </cell>
          <cell r="V4122" t="str">
            <v>2026-3-25</v>
          </cell>
          <cell r="W4122">
            <v>81.94</v>
          </cell>
        </row>
        <row r="4123">
          <cell r="U4123" t="str">
            <v>鼓楼店</v>
          </cell>
          <cell r="V4123" t="str">
            <v>2026-3-25</v>
          </cell>
          <cell r="W4123">
            <v>150.58</v>
          </cell>
        </row>
        <row r="4124">
          <cell r="U4124" t="str">
            <v>文昌店</v>
          </cell>
          <cell r="V4124" t="str">
            <v>2026-3-25</v>
          </cell>
          <cell r="W4124">
            <v>8.14</v>
          </cell>
        </row>
        <row r="4125">
          <cell r="U4125" t="str">
            <v>百丈店</v>
          </cell>
          <cell r="V4125" t="str">
            <v>2026-3-25</v>
          </cell>
          <cell r="W4125">
            <v>48.56</v>
          </cell>
        </row>
        <row r="4126">
          <cell r="U4126" t="str">
            <v>观桥店</v>
          </cell>
          <cell r="V4126" t="str">
            <v>2026-3-25</v>
          </cell>
          <cell r="W4126">
            <v>47.35</v>
          </cell>
        </row>
        <row r="4127">
          <cell r="U4127" t="str">
            <v>余杭店</v>
          </cell>
          <cell r="V4127" t="str">
            <v>2026-3-25</v>
          </cell>
          <cell r="W4127">
            <v>111.98</v>
          </cell>
        </row>
        <row r="4128">
          <cell r="U4128" t="str">
            <v>首山店</v>
          </cell>
          <cell r="V4128" t="str">
            <v>2026-3-25</v>
          </cell>
          <cell r="W4128">
            <v>53.65</v>
          </cell>
        </row>
        <row r="4129">
          <cell r="U4129" t="str">
            <v>文灶店</v>
          </cell>
          <cell r="V4129" t="str">
            <v>2026-3-25</v>
          </cell>
          <cell r="W4129">
            <v>6.4</v>
          </cell>
        </row>
        <row r="4130">
          <cell r="U4130" t="str">
            <v>首南店</v>
          </cell>
          <cell r="V4130" t="str">
            <v>2026-3-25</v>
          </cell>
          <cell r="W4130">
            <v>79.08</v>
          </cell>
        </row>
        <row r="4131">
          <cell r="U4131" t="str">
            <v>东海店</v>
          </cell>
          <cell r="V4131" t="str">
            <v>2026-3-25</v>
          </cell>
          <cell r="W4131">
            <v>32.22</v>
          </cell>
        </row>
        <row r="4132">
          <cell r="U4132" t="str">
            <v>滨江店</v>
          </cell>
          <cell r="V4132" t="str">
            <v>2026-3-25</v>
          </cell>
          <cell r="W4132">
            <v>81.87</v>
          </cell>
        </row>
        <row r="4133">
          <cell r="U4133" t="str">
            <v>下沙店</v>
          </cell>
          <cell r="V4133" t="str">
            <v>2026-3-25</v>
          </cell>
          <cell r="W4133">
            <v>48.32</v>
          </cell>
        </row>
        <row r="4134">
          <cell r="U4134" t="str">
            <v>南安店</v>
          </cell>
          <cell r="V4134" t="str">
            <v>2026-3-25</v>
          </cell>
          <cell r="W4134">
            <v>2.84</v>
          </cell>
        </row>
        <row r="4135">
          <cell r="U4135" t="str">
            <v>南安店</v>
          </cell>
          <cell r="V4135" t="str">
            <v>2026-3-25</v>
          </cell>
          <cell r="W4135">
            <v>16.56</v>
          </cell>
        </row>
        <row r="4136">
          <cell r="U4136" t="str">
            <v>海口店</v>
          </cell>
          <cell r="V4136" t="str">
            <v>2026-3-25</v>
          </cell>
          <cell r="W4136">
            <v>20.83</v>
          </cell>
        </row>
      </sheetData>
      <sheetData sheetId="8">
        <row r="1">
          <cell r="C1" t="str">
            <v>类型</v>
          </cell>
        </row>
        <row r="1">
          <cell r="H1" t="str">
            <v>店铺</v>
          </cell>
          <cell r="I1" t="str">
            <v>转换日期</v>
          </cell>
          <cell r="J1" t="str">
            <v>列1</v>
          </cell>
        </row>
        <row r="2">
          <cell r="C2" t="str">
            <v>推广账户自动充值</v>
          </cell>
        </row>
        <row r="2">
          <cell r="H2" t="str">
            <v>华信店</v>
          </cell>
          <cell r="I2">
            <v>45942</v>
          </cell>
          <cell r="J2">
            <v>200</v>
          </cell>
        </row>
        <row r="3">
          <cell r="C3" t="str">
            <v>推广订单扣款</v>
          </cell>
        </row>
        <row r="3">
          <cell r="H3" t="str">
            <v>启点店</v>
          </cell>
          <cell r="I3">
            <v>45970</v>
          </cell>
          <cell r="J3">
            <v>-219.23</v>
          </cell>
        </row>
        <row r="4">
          <cell r="C4" t="str">
            <v>推广账户自动充值</v>
          </cell>
        </row>
        <row r="4">
          <cell r="H4" t="str">
            <v>高新店</v>
          </cell>
          <cell r="I4">
            <v>45970</v>
          </cell>
          <cell r="J4">
            <v>200</v>
          </cell>
        </row>
        <row r="5">
          <cell r="C5" t="str">
            <v>推广订单扣款</v>
          </cell>
        </row>
        <row r="5">
          <cell r="H5" t="str">
            <v>高新店</v>
          </cell>
          <cell r="I5">
            <v>45970</v>
          </cell>
          <cell r="J5">
            <v>-167.07</v>
          </cell>
        </row>
        <row r="6">
          <cell r="C6" t="str">
            <v>推广账户自动充值</v>
          </cell>
        </row>
        <row r="6">
          <cell r="H6" t="str">
            <v>成华店</v>
          </cell>
          <cell r="I6">
            <v>45970</v>
          </cell>
          <cell r="J6">
            <v>200</v>
          </cell>
        </row>
        <row r="7">
          <cell r="C7" t="str">
            <v>推广订单扣款</v>
          </cell>
        </row>
        <row r="7">
          <cell r="H7" t="str">
            <v>成华店</v>
          </cell>
          <cell r="I7">
            <v>45970</v>
          </cell>
          <cell r="J7">
            <v>-107.89</v>
          </cell>
        </row>
        <row r="8">
          <cell r="C8" t="str">
            <v>推广账户自动充值</v>
          </cell>
        </row>
        <row r="8">
          <cell r="H8" t="str">
            <v>金牛店</v>
          </cell>
          <cell r="I8">
            <v>45970</v>
          </cell>
          <cell r="J8">
            <v>200</v>
          </cell>
        </row>
        <row r="9">
          <cell r="C9" t="str">
            <v>推广订单扣款</v>
          </cell>
        </row>
        <row r="9">
          <cell r="H9" t="str">
            <v>金牛店</v>
          </cell>
          <cell r="I9">
            <v>45970</v>
          </cell>
          <cell r="J9">
            <v>-129.35</v>
          </cell>
        </row>
        <row r="10">
          <cell r="C10" t="str">
            <v>推广账户自动充值</v>
          </cell>
        </row>
        <row r="10">
          <cell r="H10" t="str">
            <v>西山店</v>
          </cell>
          <cell r="I10">
            <v>45970</v>
          </cell>
          <cell r="J10">
            <v>200</v>
          </cell>
        </row>
        <row r="11">
          <cell r="C11" t="str">
            <v>推广订单扣款</v>
          </cell>
        </row>
        <row r="11">
          <cell r="H11" t="str">
            <v>西山店</v>
          </cell>
          <cell r="I11">
            <v>45970</v>
          </cell>
          <cell r="J11">
            <v>-122.88</v>
          </cell>
        </row>
        <row r="12">
          <cell r="C12" t="str">
            <v>推广订单扣款</v>
          </cell>
        </row>
        <row r="12">
          <cell r="H12" t="str">
            <v>沙坪坝店</v>
          </cell>
          <cell r="I12">
            <v>45970</v>
          </cell>
          <cell r="J12">
            <v>-64.3</v>
          </cell>
        </row>
        <row r="13">
          <cell r="C13" t="str">
            <v>推广账户自动充值</v>
          </cell>
        </row>
        <row r="13">
          <cell r="H13" t="str">
            <v>凤城二路店</v>
          </cell>
          <cell r="I13">
            <v>45970</v>
          </cell>
          <cell r="J13">
            <v>200</v>
          </cell>
        </row>
        <row r="14">
          <cell r="C14" t="str">
            <v>推广账户自动充值</v>
          </cell>
        </row>
        <row r="14">
          <cell r="H14" t="str">
            <v>凤城二路店</v>
          </cell>
          <cell r="I14">
            <v>45970</v>
          </cell>
          <cell r="J14">
            <v>200</v>
          </cell>
        </row>
        <row r="15">
          <cell r="C15" t="str">
            <v>推广订单扣款</v>
          </cell>
        </row>
        <row r="15">
          <cell r="H15" t="str">
            <v>凤城二路店</v>
          </cell>
          <cell r="I15">
            <v>45970</v>
          </cell>
          <cell r="J15">
            <v>-334.85</v>
          </cell>
        </row>
        <row r="16">
          <cell r="C16" t="str">
            <v>推广账户自动充值</v>
          </cell>
        </row>
        <row r="16">
          <cell r="H16" t="str">
            <v>大坪店</v>
          </cell>
          <cell r="I16">
            <v>45970</v>
          </cell>
          <cell r="J16">
            <v>200</v>
          </cell>
        </row>
        <row r="17">
          <cell r="C17" t="str">
            <v>推广订单扣款</v>
          </cell>
        </row>
        <row r="17">
          <cell r="H17" t="str">
            <v>大坪店</v>
          </cell>
          <cell r="I17">
            <v>45970</v>
          </cell>
          <cell r="J17">
            <v>-54.39</v>
          </cell>
        </row>
        <row r="18">
          <cell r="C18" t="str">
            <v>推广账户自动充值</v>
          </cell>
        </row>
        <row r="18">
          <cell r="H18" t="str">
            <v>五华店</v>
          </cell>
          <cell r="I18">
            <v>45970</v>
          </cell>
          <cell r="J18">
            <v>200</v>
          </cell>
        </row>
        <row r="19">
          <cell r="C19" t="str">
            <v>推广订单扣款</v>
          </cell>
        </row>
        <row r="19">
          <cell r="H19" t="str">
            <v>五华店</v>
          </cell>
          <cell r="I19">
            <v>45970</v>
          </cell>
          <cell r="J19">
            <v>-121.28</v>
          </cell>
        </row>
        <row r="20">
          <cell r="C20" t="str">
            <v>推广订单扣款</v>
          </cell>
        </row>
        <row r="20">
          <cell r="H20" t="str">
            <v>官渡店</v>
          </cell>
          <cell r="I20">
            <v>45970</v>
          </cell>
          <cell r="J20">
            <v>-125.87</v>
          </cell>
        </row>
        <row r="21">
          <cell r="C21" t="str">
            <v>推广账户自动充值</v>
          </cell>
        </row>
        <row r="21">
          <cell r="H21" t="str">
            <v>百捷店</v>
          </cell>
          <cell r="I21">
            <v>45970</v>
          </cell>
          <cell r="J21">
            <v>200</v>
          </cell>
        </row>
        <row r="22">
          <cell r="C22" t="str">
            <v>推广订单扣款</v>
          </cell>
        </row>
        <row r="22">
          <cell r="H22" t="str">
            <v>百捷店</v>
          </cell>
          <cell r="I22">
            <v>45970</v>
          </cell>
          <cell r="J22">
            <v>-84.92</v>
          </cell>
        </row>
        <row r="23">
          <cell r="C23" t="str">
            <v>推广账户自动充值</v>
          </cell>
        </row>
        <row r="23">
          <cell r="H23" t="str">
            <v>济南店</v>
          </cell>
          <cell r="I23">
            <v>45970</v>
          </cell>
          <cell r="J23">
            <v>200</v>
          </cell>
        </row>
        <row r="24">
          <cell r="C24" t="str">
            <v>推广账户自动充值</v>
          </cell>
        </row>
        <row r="24">
          <cell r="H24" t="str">
            <v>济南店</v>
          </cell>
          <cell r="I24">
            <v>45970</v>
          </cell>
          <cell r="J24">
            <v>200</v>
          </cell>
        </row>
        <row r="25">
          <cell r="C25" t="str">
            <v>推广订单扣款</v>
          </cell>
        </row>
        <row r="25">
          <cell r="H25" t="str">
            <v>济南店</v>
          </cell>
          <cell r="I25">
            <v>45970</v>
          </cell>
          <cell r="J25">
            <v>-193.05</v>
          </cell>
        </row>
        <row r="26">
          <cell r="C26" t="str">
            <v>推广账户自动充值</v>
          </cell>
        </row>
        <row r="26">
          <cell r="H26" t="str">
            <v>观音桥店</v>
          </cell>
          <cell r="I26">
            <v>45970</v>
          </cell>
          <cell r="J26">
            <v>200</v>
          </cell>
        </row>
        <row r="27">
          <cell r="C27" t="str">
            <v>推广订单扣款</v>
          </cell>
        </row>
        <row r="27">
          <cell r="H27" t="str">
            <v>观音桥店</v>
          </cell>
          <cell r="I27">
            <v>45970</v>
          </cell>
          <cell r="J27">
            <v>-238.81</v>
          </cell>
        </row>
        <row r="28">
          <cell r="C28" t="str">
            <v>推广账户自动充值</v>
          </cell>
        </row>
        <row r="28">
          <cell r="H28" t="str">
            <v>长沙店</v>
          </cell>
          <cell r="I28">
            <v>45970</v>
          </cell>
          <cell r="J28">
            <v>200</v>
          </cell>
        </row>
        <row r="29">
          <cell r="C29" t="str">
            <v>推广订单扣款</v>
          </cell>
        </row>
        <row r="29">
          <cell r="H29" t="str">
            <v>长沙店</v>
          </cell>
          <cell r="I29">
            <v>45970</v>
          </cell>
          <cell r="J29">
            <v>-110.33</v>
          </cell>
        </row>
        <row r="30">
          <cell r="C30" t="str">
            <v>推广账户自动充值</v>
          </cell>
        </row>
        <row r="30">
          <cell r="H30" t="str">
            <v>五路口店</v>
          </cell>
          <cell r="I30">
            <v>45970</v>
          </cell>
          <cell r="J30">
            <v>200</v>
          </cell>
        </row>
        <row r="31">
          <cell r="C31" t="str">
            <v>推广账户自动充值</v>
          </cell>
        </row>
        <row r="31">
          <cell r="H31" t="str">
            <v>五路口店</v>
          </cell>
          <cell r="I31">
            <v>45970</v>
          </cell>
          <cell r="J31">
            <v>200</v>
          </cell>
        </row>
        <row r="32">
          <cell r="C32" t="str">
            <v>推广账户自动充值</v>
          </cell>
        </row>
        <row r="32">
          <cell r="H32" t="str">
            <v>五路口店</v>
          </cell>
          <cell r="I32">
            <v>45970</v>
          </cell>
          <cell r="J32">
            <v>200</v>
          </cell>
        </row>
        <row r="33">
          <cell r="C33" t="str">
            <v>推广订单扣款</v>
          </cell>
        </row>
        <row r="33">
          <cell r="H33" t="str">
            <v>五路口店</v>
          </cell>
          <cell r="I33">
            <v>45970</v>
          </cell>
          <cell r="J33">
            <v>-333.48</v>
          </cell>
        </row>
        <row r="34">
          <cell r="C34" t="str">
            <v>推广账户自动充值</v>
          </cell>
        </row>
        <row r="34">
          <cell r="H34" t="str">
            <v>青羊店</v>
          </cell>
          <cell r="I34">
            <v>45970</v>
          </cell>
          <cell r="J34">
            <v>200</v>
          </cell>
        </row>
        <row r="35">
          <cell r="C35" t="str">
            <v>推广订单扣款</v>
          </cell>
        </row>
        <row r="35">
          <cell r="H35" t="str">
            <v>青羊店</v>
          </cell>
          <cell r="I35">
            <v>45970</v>
          </cell>
          <cell r="J35">
            <v>-207.01</v>
          </cell>
        </row>
        <row r="36">
          <cell r="C36" t="str">
            <v>推广账户自动充值</v>
          </cell>
        </row>
        <row r="36">
          <cell r="H36" t="str">
            <v>武侯店</v>
          </cell>
          <cell r="I36">
            <v>45970</v>
          </cell>
          <cell r="J36">
            <v>200</v>
          </cell>
        </row>
        <row r="37">
          <cell r="C37" t="str">
            <v>推广订单扣款</v>
          </cell>
        </row>
        <row r="37">
          <cell r="H37" t="str">
            <v>武侯店</v>
          </cell>
          <cell r="I37">
            <v>45970</v>
          </cell>
          <cell r="J37">
            <v>-100.5</v>
          </cell>
        </row>
        <row r="38">
          <cell r="C38" t="str">
            <v>推广账户自动充值</v>
          </cell>
        </row>
        <row r="38">
          <cell r="H38" t="str">
            <v>鼓楼店</v>
          </cell>
          <cell r="I38">
            <v>45970</v>
          </cell>
          <cell r="J38">
            <v>200</v>
          </cell>
        </row>
        <row r="39">
          <cell r="C39" t="str">
            <v>推广账户自动充值</v>
          </cell>
        </row>
        <row r="39">
          <cell r="H39" t="str">
            <v>鼓楼店</v>
          </cell>
          <cell r="I39">
            <v>45970</v>
          </cell>
          <cell r="J39">
            <v>200</v>
          </cell>
        </row>
        <row r="40">
          <cell r="C40" t="str">
            <v>推广订单扣款</v>
          </cell>
        </row>
        <row r="40">
          <cell r="H40" t="str">
            <v>鼓楼店</v>
          </cell>
          <cell r="I40">
            <v>45970</v>
          </cell>
          <cell r="J40">
            <v>-320.19</v>
          </cell>
        </row>
        <row r="41">
          <cell r="C41" t="str">
            <v>推广账户自动充值</v>
          </cell>
        </row>
        <row r="41">
          <cell r="H41" t="str">
            <v>黄雁村店</v>
          </cell>
          <cell r="I41">
            <v>45970</v>
          </cell>
          <cell r="J41">
            <v>200</v>
          </cell>
        </row>
        <row r="42">
          <cell r="C42" t="str">
            <v>推广账户自动充值</v>
          </cell>
        </row>
        <row r="42">
          <cell r="H42" t="str">
            <v>黄雁村店</v>
          </cell>
          <cell r="I42">
            <v>45970</v>
          </cell>
          <cell r="J42">
            <v>200</v>
          </cell>
        </row>
        <row r="43">
          <cell r="C43" t="str">
            <v>推广订单扣款</v>
          </cell>
        </row>
        <row r="43">
          <cell r="H43" t="str">
            <v>黄雁村店</v>
          </cell>
          <cell r="I43">
            <v>45970</v>
          </cell>
          <cell r="J43">
            <v>-349.42</v>
          </cell>
        </row>
        <row r="44">
          <cell r="C44" t="str">
            <v>推广账户自动充值</v>
          </cell>
        </row>
        <row r="44">
          <cell r="H44" t="str">
            <v>黄雁村店</v>
          </cell>
          <cell r="I44">
            <v>45970</v>
          </cell>
          <cell r="J44">
            <v>200</v>
          </cell>
        </row>
        <row r="45">
          <cell r="C45" t="str">
            <v>推广账户自动充值</v>
          </cell>
        </row>
        <row r="45">
          <cell r="H45" t="str">
            <v>西湖店</v>
          </cell>
          <cell r="I45">
            <v>45970</v>
          </cell>
          <cell r="J45">
            <v>200</v>
          </cell>
        </row>
        <row r="46">
          <cell r="C46" t="str">
            <v>推广订单扣款</v>
          </cell>
        </row>
        <row r="46">
          <cell r="H46" t="str">
            <v>西湖店</v>
          </cell>
          <cell r="I46">
            <v>45970</v>
          </cell>
          <cell r="J46">
            <v>-193.46</v>
          </cell>
        </row>
        <row r="47">
          <cell r="C47" t="str">
            <v>推广账户自动充值</v>
          </cell>
        </row>
        <row r="47">
          <cell r="H47" t="str">
            <v>百丈店</v>
          </cell>
          <cell r="I47">
            <v>45970</v>
          </cell>
          <cell r="J47">
            <v>200</v>
          </cell>
        </row>
        <row r="48">
          <cell r="C48" t="str">
            <v>推广订单扣款</v>
          </cell>
        </row>
        <row r="48">
          <cell r="H48" t="str">
            <v>百丈店</v>
          </cell>
          <cell r="I48">
            <v>45970</v>
          </cell>
          <cell r="J48">
            <v>-248.47</v>
          </cell>
        </row>
        <row r="49">
          <cell r="C49" t="str">
            <v>推广账户自动充值</v>
          </cell>
        </row>
        <row r="49">
          <cell r="H49" t="str">
            <v>文昌店</v>
          </cell>
          <cell r="I49">
            <v>45970</v>
          </cell>
          <cell r="J49">
            <v>200</v>
          </cell>
        </row>
        <row r="50">
          <cell r="C50" t="str">
            <v>推广订单扣款</v>
          </cell>
        </row>
        <row r="50">
          <cell r="H50" t="str">
            <v>文昌店</v>
          </cell>
          <cell r="I50">
            <v>45970</v>
          </cell>
          <cell r="J50">
            <v>-271.04</v>
          </cell>
        </row>
        <row r="51">
          <cell r="C51" t="str">
            <v>推广账户自动充值</v>
          </cell>
        </row>
        <row r="51">
          <cell r="H51" t="str">
            <v>观桥店</v>
          </cell>
          <cell r="I51">
            <v>45970</v>
          </cell>
          <cell r="J51">
            <v>200</v>
          </cell>
        </row>
        <row r="52">
          <cell r="C52" t="str">
            <v>推广订单扣款</v>
          </cell>
        </row>
        <row r="52">
          <cell r="H52" t="str">
            <v>观桥店</v>
          </cell>
          <cell r="I52">
            <v>45970</v>
          </cell>
          <cell r="J52">
            <v>-212.99</v>
          </cell>
        </row>
        <row r="53">
          <cell r="C53" t="str">
            <v>推广账户自动充值</v>
          </cell>
        </row>
        <row r="53">
          <cell r="H53" t="str">
            <v>海口店</v>
          </cell>
          <cell r="I53">
            <v>45970</v>
          </cell>
          <cell r="J53">
            <v>200</v>
          </cell>
        </row>
        <row r="54">
          <cell r="C54" t="str">
            <v>推广订单扣款</v>
          </cell>
        </row>
        <row r="54">
          <cell r="H54" t="str">
            <v>海口店</v>
          </cell>
          <cell r="I54">
            <v>45970</v>
          </cell>
          <cell r="J54">
            <v>-200</v>
          </cell>
        </row>
        <row r="55">
          <cell r="C55" t="str">
            <v>推广订单扣款</v>
          </cell>
        </row>
        <row r="55">
          <cell r="H55" t="str">
            <v>南安店</v>
          </cell>
          <cell r="I55">
            <v>45970</v>
          </cell>
          <cell r="J55">
            <v>-77.5</v>
          </cell>
        </row>
        <row r="56">
          <cell r="C56" t="str">
            <v>推广账户自动充值</v>
          </cell>
        </row>
        <row r="56">
          <cell r="H56" t="str">
            <v>诚毅店</v>
          </cell>
          <cell r="I56">
            <v>45970</v>
          </cell>
          <cell r="J56">
            <v>200</v>
          </cell>
        </row>
        <row r="57">
          <cell r="C57" t="str">
            <v>推广订单扣款</v>
          </cell>
        </row>
        <row r="57">
          <cell r="H57" t="str">
            <v>诚毅店</v>
          </cell>
          <cell r="I57">
            <v>45970</v>
          </cell>
          <cell r="J57">
            <v>-73.73</v>
          </cell>
        </row>
        <row r="58">
          <cell r="C58" t="str">
            <v>推广账户自动充值</v>
          </cell>
        </row>
        <row r="58">
          <cell r="H58" t="str">
            <v>首山店</v>
          </cell>
          <cell r="I58">
            <v>45970</v>
          </cell>
          <cell r="J58">
            <v>200</v>
          </cell>
        </row>
        <row r="59">
          <cell r="C59" t="str">
            <v>推广账户自动充值</v>
          </cell>
        </row>
        <row r="59">
          <cell r="H59" t="str">
            <v>首山店</v>
          </cell>
          <cell r="I59">
            <v>45970</v>
          </cell>
          <cell r="J59">
            <v>200</v>
          </cell>
        </row>
        <row r="60">
          <cell r="C60" t="str">
            <v>推广订单扣款</v>
          </cell>
        </row>
        <row r="60">
          <cell r="H60" t="str">
            <v>首山店</v>
          </cell>
          <cell r="I60">
            <v>45970</v>
          </cell>
          <cell r="J60">
            <v>-236.65</v>
          </cell>
        </row>
        <row r="61">
          <cell r="C61" t="str">
            <v>推广账户自动充值</v>
          </cell>
        </row>
        <row r="61">
          <cell r="H61" t="str">
            <v>首南店</v>
          </cell>
          <cell r="I61">
            <v>45970</v>
          </cell>
          <cell r="J61">
            <v>200</v>
          </cell>
        </row>
        <row r="62">
          <cell r="C62" t="str">
            <v>推广账户自动充值</v>
          </cell>
        </row>
        <row r="62">
          <cell r="H62" t="str">
            <v>余杭店</v>
          </cell>
          <cell r="I62">
            <v>45970</v>
          </cell>
          <cell r="J62">
            <v>200</v>
          </cell>
        </row>
        <row r="63">
          <cell r="C63" t="str">
            <v>推广订单扣款</v>
          </cell>
        </row>
        <row r="63">
          <cell r="H63" t="str">
            <v>余杭店</v>
          </cell>
          <cell r="I63">
            <v>45970</v>
          </cell>
          <cell r="J63">
            <v>-168.52</v>
          </cell>
        </row>
        <row r="64">
          <cell r="C64" t="str">
            <v>推广订单扣款</v>
          </cell>
        </row>
        <row r="64">
          <cell r="H64" t="str">
            <v>东海店</v>
          </cell>
          <cell r="I64">
            <v>45970</v>
          </cell>
          <cell r="J64">
            <v>-2.09</v>
          </cell>
        </row>
        <row r="65">
          <cell r="C65" t="str">
            <v>推广账户自动充值</v>
          </cell>
        </row>
        <row r="65">
          <cell r="H65" t="str">
            <v>华信店</v>
          </cell>
          <cell r="I65">
            <v>45971</v>
          </cell>
          <cell r="J65">
            <v>200</v>
          </cell>
        </row>
        <row r="66">
          <cell r="C66" t="str">
            <v>推广订单扣款</v>
          </cell>
        </row>
        <row r="66">
          <cell r="H66" t="str">
            <v>华信店</v>
          </cell>
          <cell r="I66">
            <v>45971</v>
          </cell>
          <cell r="J66">
            <v>-180</v>
          </cell>
        </row>
        <row r="67">
          <cell r="C67" t="str">
            <v>推广账户自动充值</v>
          </cell>
        </row>
        <row r="67">
          <cell r="H67" t="str">
            <v>湖里店</v>
          </cell>
          <cell r="I67">
            <v>45971</v>
          </cell>
          <cell r="J67">
            <v>200</v>
          </cell>
        </row>
        <row r="68">
          <cell r="C68" t="str">
            <v>推广订单扣款</v>
          </cell>
        </row>
        <row r="68">
          <cell r="H68" t="str">
            <v>湖里店</v>
          </cell>
          <cell r="I68">
            <v>45971</v>
          </cell>
          <cell r="J68">
            <v>-177.84</v>
          </cell>
        </row>
        <row r="69">
          <cell r="C69" t="str">
            <v>推广账户自动充值</v>
          </cell>
        </row>
        <row r="69">
          <cell r="H69" t="str">
            <v>东新店</v>
          </cell>
          <cell r="I69">
            <v>45971</v>
          </cell>
          <cell r="J69">
            <v>200</v>
          </cell>
        </row>
        <row r="70">
          <cell r="C70" t="str">
            <v>推广订单扣款</v>
          </cell>
        </row>
        <row r="70">
          <cell r="H70" t="str">
            <v>东新店</v>
          </cell>
          <cell r="I70">
            <v>45971</v>
          </cell>
          <cell r="J70">
            <v>-218.52</v>
          </cell>
        </row>
        <row r="71">
          <cell r="C71" t="str">
            <v>推广账户自动充值</v>
          </cell>
        </row>
        <row r="71">
          <cell r="H71" t="str">
            <v>启点店</v>
          </cell>
          <cell r="I71">
            <v>45971</v>
          </cell>
          <cell r="J71">
            <v>200</v>
          </cell>
        </row>
        <row r="72">
          <cell r="C72" t="str">
            <v>推广订单扣款</v>
          </cell>
        </row>
        <row r="72">
          <cell r="H72" t="str">
            <v>启点店</v>
          </cell>
          <cell r="I72">
            <v>45971</v>
          </cell>
          <cell r="J72">
            <v>-178.1</v>
          </cell>
        </row>
        <row r="73">
          <cell r="C73" t="str">
            <v>推广账户自动充值</v>
          </cell>
        </row>
        <row r="73">
          <cell r="H73" t="str">
            <v>高新店</v>
          </cell>
          <cell r="I73">
            <v>45971</v>
          </cell>
          <cell r="J73">
            <v>200</v>
          </cell>
        </row>
        <row r="74">
          <cell r="C74" t="str">
            <v>推广订单扣款</v>
          </cell>
        </row>
        <row r="74">
          <cell r="H74" t="str">
            <v>高新店</v>
          </cell>
          <cell r="I74">
            <v>45971</v>
          </cell>
          <cell r="J74">
            <v>-204.43</v>
          </cell>
        </row>
        <row r="75">
          <cell r="C75" t="str">
            <v>推广账户自动充值</v>
          </cell>
        </row>
        <row r="75">
          <cell r="H75" t="str">
            <v>成华店</v>
          </cell>
          <cell r="I75">
            <v>45971</v>
          </cell>
          <cell r="J75">
            <v>200</v>
          </cell>
        </row>
        <row r="76">
          <cell r="C76" t="str">
            <v>推广订单扣款</v>
          </cell>
        </row>
        <row r="76">
          <cell r="H76" t="str">
            <v>成华店</v>
          </cell>
          <cell r="I76">
            <v>45971</v>
          </cell>
          <cell r="J76">
            <v>-134.49</v>
          </cell>
        </row>
        <row r="77">
          <cell r="C77" t="str">
            <v>推广订单扣款</v>
          </cell>
        </row>
        <row r="77">
          <cell r="H77" t="str">
            <v>金牛店</v>
          </cell>
          <cell r="I77">
            <v>45971</v>
          </cell>
          <cell r="J77">
            <v>-221.11</v>
          </cell>
        </row>
        <row r="78">
          <cell r="C78" t="str">
            <v>推广账户自动充值</v>
          </cell>
        </row>
        <row r="78">
          <cell r="H78" t="str">
            <v>西山店</v>
          </cell>
          <cell r="I78">
            <v>45971</v>
          </cell>
          <cell r="J78">
            <v>200</v>
          </cell>
        </row>
        <row r="79">
          <cell r="C79" t="str">
            <v>推广订单扣款</v>
          </cell>
        </row>
        <row r="79">
          <cell r="H79" t="str">
            <v>西山店</v>
          </cell>
          <cell r="I79">
            <v>45971</v>
          </cell>
          <cell r="J79">
            <v>-191.26</v>
          </cell>
        </row>
        <row r="80">
          <cell r="C80" t="str">
            <v>推广账户自动充值</v>
          </cell>
        </row>
        <row r="80">
          <cell r="H80" t="str">
            <v>沙坪坝店</v>
          </cell>
          <cell r="I80">
            <v>45971</v>
          </cell>
          <cell r="J80">
            <v>200</v>
          </cell>
        </row>
        <row r="81">
          <cell r="C81" t="str">
            <v>推广订单扣款</v>
          </cell>
        </row>
        <row r="81">
          <cell r="H81" t="str">
            <v>沙坪坝店</v>
          </cell>
          <cell r="I81">
            <v>45971</v>
          </cell>
          <cell r="J81">
            <v>-147.58</v>
          </cell>
        </row>
        <row r="82">
          <cell r="C82" t="str">
            <v>推广账户自动充值</v>
          </cell>
        </row>
        <row r="82">
          <cell r="H82" t="str">
            <v>凤城二路店</v>
          </cell>
          <cell r="I82">
            <v>45971</v>
          </cell>
          <cell r="J82">
            <v>200</v>
          </cell>
        </row>
        <row r="83">
          <cell r="C83" t="str">
            <v>推广账户自动充值</v>
          </cell>
        </row>
        <row r="83">
          <cell r="H83" t="str">
            <v>凤城二路店</v>
          </cell>
          <cell r="I83">
            <v>45971</v>
          </cell>
          <cell r="J83">
            <v>200</v>
          </cell>
        </row>
        <row r="84">
          <cell r="C84" t="str">
            <v>推广订单扣款</v>
          </cell>
        </row>
        <row r="84">
          <cell r="H84" t="str">
            <v>凤城二路店</v>
          </cell>
          <cell r="I84">
            <v>45971</v>
          </cell>
          <cell r="J84">
            <v>-520.77</v>
          </cell>
        </row>
        <row r="85">
          <cell r="C85" t="str">
            <v>推广账户自动充值</v>
          </cell>
        </row>
        <row r="85">
          <cell r="H85" t="str">
            <v>大坪店</v>
          </cell>
          <cell r="I85">
            <v>45971</v>
          </cell>
          <cell r="J85">
            <v>200</v>
          </cell>
        </row>
        <row r="86">
          <cell r="C86" t="str">
            <v>推广账户自动充值</v>
          </cell>
        </row>
        <row r="86">
          <cell r="H86" t="str">
            <v>大坪店</v>
          </cell>
          <cell r="I86">
            <v>45971</v>
          </cell>
          <cell r="J86">
            <v>200</v>
          </cell>
        </row>
        <row r="87">
          <cell r="C87" t="str">
            <v>推广订单扣款</v>
          </cell>
        </row>
        <row r="87">
          <cell r="H87" t="str">
            <v>大坪店</v>
          </cell>
          <cell r="I87">
            <v>45971</v>
          </cell>
          <cell r="J87">
            <v>-314.08</v>
          </cell>
        </row>
        <row r="88">
          <cell r="C88" t="str">
            <v>推广账户自动充值</v>
          </cell>
        </row>
        <row r="88">
          <cell r="H88" t="str">
            <v>五华店</v>
          </cell>
          <cell r="I88">
            <v>45971</v>
          </cell>
          <cell r="J88">
            <v>200</v>
          </cell>
        </row>
        <row r="89">
          <cell r="C89" t="str">
            <v>推广订单扣款</v>
          </cell>
        </row>
        <row r="89">
          <cell r="H89" t="str">
            <v>五华店</v>
          </cell>
          <cell r="I89">
            <v>45971</v>
          </cell>
          <cell r="J89">
            <v>-221.3</v>
          </cell>
        </row>
        <row r="90">
          <cell r="C90" t="str">
            <v>推广账户自动充值</v>
          </cell>
        </row>
        <row r="90">
          <cell r="H90" t="str">
            <v>官渡店</v>
          </cell>
          <cell r="I90">
            <v>45971</v>
          </cell>
          <cell r="J90">
            <v>200</v>
          </cell>
        </row>
        <row r="91">
          <cell r="C91" t="str">
            <v>推广账户自动充值</v>
          </cell>
        </row>
        <row r="91">
          <cell r="H91" t="str">
            <v>百捷店</v>
          </cell>
          <cell r="I91">
            <v>45971</v>
          </cell>
          <cell r="J91">
            <v>200</v>
          </cell>
        </row>
        <row r="92">
          <cell r="C92" t="str">
            <v>推广订单扣款</v>
          </cell>
        </row>
        <row r="92">
          <cell r="H92" t="str">
            <v>百捷店</v>
          </cell>
          <cell r="I92">
            <v>45971</v>
          </cell>
          <cell r="J92">
            <v>-140.13</v>
          </cell>
        </row>
        <row r="93">
          <cell r="C93" t="str">
            <v>推广账户自动充值</v>
          </cell>
        </row>
        <row r="93">
          <cell r="H93" t="str">
            <v>济南店</v>
          </cell>
          <cell r="I93">
            <v>45971</v>
          </cell>
          <cell r="J93">
            <v>200</v>
          </cell>
        </row>
        <row r="94">
          <cell r="C94" t="str">
            <v>推广订单扣款</v>
          </cell>
        </row>
        <row r="94">
          <cell r="H94" t="str">
            <v>济南店</v>
          </cell>
          <cell r="I94">
            <v>45971</v>
          </cell>
          <cell r="J94">
            <v>-266.13</v>
          </cell>
        </row>
        <row r="95">
          <cell r="C95" t="str">
            <v>推广账户自动充值</v>
          </cell>
        </row>
        <row r="95">
          <cell r="H95" t="str">
            <v>观音桥店</v>
          </cell>
          <cell r="I95">
            <v>45971</v>
          </cell>
          <cell r="J95">
            <v>200</v>
          </cell>
        </row>
        <row r="96">
          <cell r="C96" t="str">
            <v>推广订单扣款</v>
          </cell>
        </row>
        <row r="96">
          <cell r="H96" t="str">
            <v>观音桥店</v>
          </cell>
          <cell r="I96">
            <v>45971</v>
          </cell>
          <cell r="J96">
            <v>-306.22</v>
          </cell>
        </row>
        <row r="97">
          <cell r="C97" t="str">
            <v>推广订单扣款</v>
          </cell>
        </row>
        <row r="97">
          <cell r="H97" t="str">
            <v>长沙店</v>
          </cell>
          <cell r="I97">
            <v>45971</v>
          </cell>
          <cell r="J97">
            <v>-137.21</v>
          </cell>
        </row>
        <row r="98">
          <cell r="C98" t="str">
            <v>推广订单扣款</v>
          </cell>
        </row>
        <row r="98">
          <cell r="H98" t="str">
            <v>洛江店</v>
          </cell>
          <cell r="I98">
            <v>45971</v>
          </cell>
          <cell r="J98">
            <v>-58.84</v>
          </cell>
        </row>
        <row r="99">
          <cell r="C99" t="str">
            <v>推广账户自动充值</v>
          </cell>
        </row>
        <row r="99">
          <cell r="H99" t="str">
            <v>五路口店</v>
          </cell>
          <cell r="I99">
            <v>45971</v>
          </cell>
          <cell r="J99">
            <v>200</v>
          </cell>
        </row>
        <row r="100">
          <cell r="C100" t="str">
            <v>推广账户自动充值</v>
          </cell>
        </row>
        <row r="100">
          <cell r="H100" t="str">
            <v>五路口店</v>
          </cell>
          <cell r="I100">
            <v>45971</v>
          </cell>
          <cell r="J100">
            <v>200</v>
          </cell>
        </row>
        <row r="101">
          <cell r="C101" t="str">
            <v>推广订单扣款</v>
          </cell>
        </row>
        <row r="101">
          <cell r="H101" t="str">
            <v>五路口店</v>
          </cell>
          <cell r="I101">
            <v>45971</v>
          </cell>
          <cell r="J101">
            <v>-528.24</v>
          </cell>
        </row>
        <row r="102">
          <cell r="C102" t="str">
            <v>推广账户自动充值</v>
          </cell>
        </row>
        <row r="102">
          <cell r="H102" t="str">
            <v>青羊店</v>
          </cell>
          <cell r="I102">
            <v>45971</v>
          </cell>
          <cell r="J102">
            <v>200</v>
          </cell>
        </row>
        <row r="103">
          <cell r="C103" t="str">
            <v>推广订单扣款</v>
          </cell>
        </row>
        <row r="103">
          <cell r="H103" t="str">
            <v>青羊店</v>
          </cell>
          <cell r="I103">
            <v>45971</v>
          </cell>
          <cell r="J103">
            <v>-137.44</v>
          </cell>
        </row>
        <row r="104">
          <cell r="C104" t="str">
            <v>推广订单扣款</v>
          </cell>
        </row>
        <row r="104">
          <cell r="H104" t="str">
            <v>武侯店</v>
          </cell>
          <cell r="I104">
            <v>45971</v>
          </cell>
          <cell r="J104">
            <v>-173.75</v>
          </cell>
        </row>
        <row r="105">
          <cell r="C105" t="str">
            <v>推广账户自动充值</v>
          </cell>
        </row>
        <row r="105">
          <cell r="H105" t="str">
            <v>鼓楼店</v>
          </cell>
          <cell r="I105">
            <v>45971</v>
          </cell>
          <cell r="J105">
            <v>200</v>
          </cell>
        </row>
        <row r="106">
          <cell r="C106" t="str">
            <v>推广账户自动充值</v>
          </cell>
        </row>
        <row r="106">
          <cell r="H106" t="str">
            <v>鼓楼店</v>
          </cell>
          <cell r="I106">
            <v>45971</v>
          </cell>
          <cell r="J106">
            <v>200</v>
          </cell>
        </row>
        <row r="107">
          <cell r="C107" t="str">
            <v>推广订单扣款</v>
          </cell>
        </row>
        <row r="107">
          <cell r="H107" t="str">
            <v>鼓楼店</v>
          </cell>
          <cell r="I107">
            <v>45971</v>
          </cell>
          <cell r="J107">
            <v>-387.27</v>
          </cell>
        </row>
        <row r="108">
          <cell r="C108" t="str">
            <v>推广账户自动充值</v>
          </cell>
        </row>
        <row r="108">
          <cell r="H108" t="str">
            <v>黄雁村店</v>
          </cell>
          <cell r="I108">
            <v>45971</v>
          </cell>
          <cell r="J108">
            <v>200</v>
          </cell>
        </row>
        <row r="109">
          <cell r="C109" t="str">
            <v>推广订单扣款</v>
          </cell>
        </row>
        <row r="109">
          <cell r="H109" t="str">
            <v>黄雁村店</v>
          </cell>
          <cell r="I109">
            <v>45971</v>
          </cell>
          <cell r="J109">
            <v>-542.88</v>
          </cell>
        </row>
        <row r="110">
          <cell r="C110" t="str">
            <v>推广账户自动充值</v>
          </cell>
        </row>
        <row r="110">
          <cell r="H110" t="str">
            <v>西湖店</v>
          </cell>
          <cell r="I110">
            <v>45971</v>
          </cell>
          <cell r="J110">
            <v>200</v>
          </cell>
        </row>
        <row r="111">
          <cell r="C111" t="str">
            <v>推广订单扣款</v>
          </cell>
        </row>
        <row r="111">
          <cell r="H111" t="str">
            <v>西湖店</v>
          </cell>
          <cell r="I111">
            <v>45971</v>
          </cell>
          <cell r="J111">
            <v>-194.08</v>
          </cell>
        </row>
        <row r="112">
          <cell r="C112" t="str">
            <v>推广账户自动充值</v>
          </cell>
        </row>
        <row r="112">
          <cell r="H112" t="str">
            <v>百丈店</v>
          </cell>
          <cell r="I112">
            <v>45971</v>
          </cell>
          <cell r="J112">
            <v>200</v>
          </cell>
        </row>
        <row r="113">
          <cell r="C113" t="str">
            <v>推广订单扣款</v>
          </cell>
        </row>
        <row r="113">
          <cell r="H113" t="str">
            <v>百丈店</v>
          </cell>
          <cell r="I113">
            <v>45971</v>
          </cell>
          <cell r="J113">
            <v>-220.52</v>
          </cell>
        </row>
        <row r="114">
          <cell r="C114" t="str">
            <v>推广账户自动充值</v>
          </cell>
        </row>
        <row r="114">
          <cell r="H114" t="str">
            <v>文昌店</v>
          </cell>
          <cell r="I114">
            <v>45971</v>
          </cell>
          <cell r="J114">
            <v>200</v>
          </cell>
        </row>
        <row r="115">
          <cell r="C115" t="str">
            <v>推广订单扣款</v>
          </cell>
        </row>
        <row r="115">
          <cell r="H115" t="str">
            <v>文昌店</v>
          </cell>
          <cell r="I115">
            <v>45971</v>
          </cell>
          <cell r="J115">
            <v>-272.16</v>
          </cell>
        </row>
        <row r="116">
          <cell r="C116" t="str">
            <v>推广账户自动充值</v>
          </cell>
        </row>
        <row r="116">
          <cell r="H116" t="str">
            <v>观桥店</v>
          </cell>
          <cell r="I116">
            <v>45971</v>
          </cell>
          <cell r="J116">
            <v>200</v>
          </cell>
        </row>
        <row r="117">
          <cell r="C117" t="str">
            <v>推广订单扣款</v>
          </cell>
        </row>
        <row r="117">
          <cell r="H117" t="str">
            <v>观桥店</v>
          </cell>
          <cell r="I117">
            <v>45971</v>
          </cell>
          <cell r="J117">
            <v>-232.41</v>
          </cell>
        </row>
        <row r="118">
          <cell r="C118" t="str">
            <v>推广账户自动充值</v>
          </cell>
        </row>
        <row r="118">
          <cell r="H118" t="str">
            <v>海口店</v>
          </cell>
          <cell r="I118">
            <v>45971</v>
          </cell>
          <cell r="J118">
            <v>200</v>
          </cell>
        </row>
        <row r="119">
          <cell r="C119" t="str">
            <v>推广订单扣款</v>
          </cell>
        </row>
        <row r="119">
          <cell r="H119" t="str">
            <v>海口店</v>
          </cell>
          <cell r="I119">
            <v>45971</v>
          </cell>
          <cell r="J119">
            <v>-200</v>
          </cell>
        </row>
        <row r="120">
          <cell r="C120" t="str">
            <v>推广账户自动充值</v>
          </cell>
        </row>
        <row r="120">
          <cell r="H120" t="str">
            <v>南安店</v>
          </cell>
          <cell r="I120">
            <v>45971</v>
          </cell>
          <cell r="J120">
            <v>100</v>
          </cell>
        </row>
        <row r="121">
          <cell r="C121" t="str">
            <v>推广订单扣款</v>
          </cell>
        </row>
        <row r="121">
          <cell r="H121" t="str">
            <v>南安店</v>
          </cell>
          <cell r="I121">
            <v>45971</v>
          </cell>
          <cell r="J121">
            <v>-109.87</v>
          </cell>
        </row>
        <row r="122">
          <cell r="C122" t="str">
            <v>推广账户自动充值</v>
          </cell>
        </row>
        <row r="122">
          <cell r="H122" t="str">
            <v>诚毅店</v>
          </cell>
          <cell r="I122">
            <v>45971</v>
          </cell>
          <cell r="J122">
            <v>200</v>
          </cell>
        </row>
        <row r="123">
          <cell r="C123" t="str">
            <v>推广订单扣款</v>
          </cell>
        </row>
        <row r="123">
          <cell r="H123" t="str">
            <v>诚毅店</v>
          </cell>
          <cell r="I123">
            <v>45971</v>
          </cell>
          <cell r="J123">
            <v>-286.25</v>
          </cell>
        </row>
        <row r="124">
          <cell r="C124" t="str">
            <v>推广订单扣款</v>
          </cell>
        </row>
        <row r="124">
          <cell r="H124" t="str">
            <v>首山店</v>
          </cell>
          <cell r="I124">
            <v>45971</v>
          </cell>
          <cell r="J124">
            <v>-296.01</v>
          </cell>
        </row>
        <row r="125">
          <cell r="C125" t="str">
            <v>推广账户自动充值</v>
          </cell>
        </row>
        <row r="125">
          <cell r="H125" t="str">
            <v>首南店</v>
          </cell>
          <cell r="I125">
            <v>45971</v>
          </cell>
          <cell r="J125">
            <v>200</v>
          </cell>
        </row>
        <row r="126">
          <cell r="C126" t="str">
            <v>推广订单扣款</v>
          </cell>
        </row>
        <row r="126">
          <cell r="H126" t="str">
            <v>首南店</v>
          </cell>
          <cell r="I126">
            <v>45971</v>
          </cell>
          <cell r="J126">
            <v>-123.69</v>
          </cell>
        </row>
        <row r="127">
          <cell r="C127" t="str">
            <v>推广账户自动充值</v>
          </cell>
        </row>
        <row r="127">
          <cell r="H127" t="str">
            <v>余杭店</v>
          </cell>
          <cell r="I127">
            <v>45971</v>
          </cell>
          <cell r="J127">
            <v>200</v>
          </cell>
        </row>
        <row r="128">
          <cell r="C128" t="str">
            <v>推广订单扣款</v>
          </cell>
        </row>
        <row r="128">
          <cell r="H128" t="str">
            <v>余杭店</v>
          </cell>
          <cell r="I128">
            <v>45971</v>
          </cell>
          <cell r="J128">
            <v>-184.45</v>
          </cell>
        </row>
        <row r="129">
          <cell r="C129" t="str">
            <v>推广订单扣款</v>
          </cell>
        </row>
        <row r="129">
          <cell r="H129" t="str">
            <v>东海店</v>
          </cell>
          <cell r="I129">
            <v>45971</v>
          </cell>
          <cell r="J129">
            <v>-18.3</v>
          </cell>
        </row>
        <row r="130">
          <cell r="C130" t="str">
            <v>推广订单扣款</v>
          </cell>
        </row>
        <row r="130">
          <cell r="H130" t="str">
            <v>湖里店</v>
          </cell>
          <cell r="I130">
            <v>45972</v>
          </cell>
          <cell r="J130">
            <v>-149.02</v>
          </cell>
        </row>
        <row r="131">
          <cell r="C131" t="str">
            <v>推广账户自动充值</v>
          </cell>
        </row>
        <row r="131">
          <cell r="H131" t="str">
            <v>东新店</v>
          </cell>
          <cell r="I131">
            <v>45972</v>
          </cell>
          <cell r="J131">
            <v>200</v>
          </cell>
        </row>
        <row r="132">
          <cell r="C132" t="str">
            <v>推广订单扣款</v>
          </cell>
        </row>
        <row r="132">
          <cell r="H132" t="str">
            <v>东新店</v>
          </cell>
          <cell r="I132">
            <v>45972</v>
          </cell>
          <cell r="J132">
            <v>-166.95</v>
          </cell>
        </row>
        <row r="133">
          <cell r="C133" t="str">
            <v>推广账户自动充值</v>
          </cell>
        </row>
        <row r="133">
          <cell r="H133" t="str">
            <v>启点店</v>
          </cell>
          <cell r="I133">
            <v>45972</v>
          </cell>
          <cell r="J133">
            <v>200</v>
          </cell>
        </row>
        <row r="134">
          <cell r="C134" t="str">
            <v>推广订单扣款</v>
          </cell>
        </row>
        <row r="134">
          <cell r="H134" t="str">
            <v>启点店</v>
          </cell>
          <cell r="I134">
            <v>45972</v>
          </cell>
          <cell r="J134">
            <v>-174.73</v>
          </cell>
        </row>
        <row r="135">
          <cell r="C135" t="str">
            <v>推广账户自动充值</v>
          </cell>
        </row>
        <row r="135">
          <cell r="H135" t="str">
            <v>高新店</v>
          </cell>
          <cell r="I135">
            <v>45972</v>
          </cell>
          <cell r="J135">
            <v>200</v>
          </cell>
        </row>
        <row r="136">
          <cell r="C136" t="str">
            <v>推广订单扣款</v>
          </cell>
        </row>
        <row r="136">
          <cell r="H136" t="str">
            <v>高新店</v>
          </cell>
          <cell r="I136">
            <v>45972</v>
          </cell>
          <cell r="J136">
            <v>-149.39</v>
          </cell>
        </row>
        <row r="137">
          <cell r="C137" t="str">
            <v>推广订单扣款</v>
          </cell>
        </row>
        <row r="137">
          <cell r="H137" t="str">
            <v>成华店</v>
          </cell>
          <cell r="I137">
            <v>45972</v>
          </cell>
          <cell r="J137">
            <v>-160.57</v>
          </cell>
        </row>
        <row r="138">
          <cell r="C138" t="str">
            <v>推广账户自动充值</v>
          </cell>
        </row>
        <row r="138">
          <cell r="H138" t="str">
            <v>金牛店</v>
          </cell>
          <cell r="I138">
            <v>45972</v>
          </cell>
          <cell r="J138">
            <v>200</v>
          </cell>
        </row>
        <row r="139">
          <cell r="C139" t="str">
            <v>推广订单扣款</v>
          </cell>
        </row>
        <row r="139">
          <cell r="H139" t="str">
            <v>金牛店</v>
          </cell>
          <cell r="I139">
            <v>45972</v>
          </cell>
          <cell r="J139">
            <v>-87.13</v>
          </cell>
        </row>
        <row r="140">
          <cell r="C140" t="str">
            <v>推广账户自动充值</v>
          </cell>
        </row>
        <row r="140">
          <cell r="H140" t="str">
            <v>西山店</v>
          </cell>
          <cell r="I140">
            <v>45972</v>
          </cell>
          <cell r="J140">
            <v>200</v>
          </cell>
        </row>
        <row r="141">
          <cell r="C141" t="str">
            <v>推广订单扣款</v>
          </cell>
        </row>
        <row r="141">
          <cell r="H141" t="str">
            <v>西山店</v>
          </cell>
          <cell r="I141">
            <v>45972</v>
          </cell>
          <cell r="J141">
            <v>-150.18</v>
          </cell>
        </row>
        <row r="142">
          <cell r="C142" t="str">
            <v>推广订单扣款</v>
          </cell>
        </row>
        <row r="142">
          <cell r="H142" t="str">
            <v>沙坪坝店</v>
          </cell>
          <cell r="I142">
            <v>45972</v>
          </cell>
          <cell r="J142">
            <v>-67.26</v>
          </cell>
        </row>
        <row r="143">
          <cell r="C143" t="str">
            <v>推广账户自动充值</v>
          </cell>
        </row>
        <row r="143">
          <cell r="H143" t="str">
            <v>凤城二路店</v>
          </cell>
          <cell r="I143">
            <v>45972</v>
          </cell>
          <cell r="J143">
            <v>200</v>
          </cell>
        </row>
        <row r="144">
          <cell r="C144" t="str">
            <v>推广账户自动充值</v>
          </cell>
        </row>
        <row r="144">
          <cell r="H144" t="str">
            <v>凤城二路店</v>
          </cell>
          <cell r="I144">
            <v>45972</v>
          </cell>
          <cell r="J144">
            <v>200</v>
          </cell>
        </row>
        <row r="145">
          <cell r="C145" t="str">
            <v>推广订单扣款</v>
          </cell>
        </row>
        <row r="145">
          <cell r="H145" t="str">
            <v>凤城二路店</v>
          </cell>
          <cell r="I145">
            <v>45972</v>
          </cell>
          <cell r="J145">
            <v>-399.88</v>
          </cell>
        </row>
        <row r="146">
          <cell r="C146" t="str">
            <v>推广账户自动充值</v>
          </cell>
        </row>
        <row r="146">
          <cell r="H146" t="str">
            <v>大坪店</v>
          </cell>
          <cell r="I146">
            <v>45972</v>
          </cell>
          <cell r="J146">
            <v>200</v>
          </cell>
        </row>
        <row r="147">
          <cell r="C147" t="str">
            <v>推广订单扣款</v>
          </cell>
        </row>
        <row r="147">
          <cell r="H147" t="str">
            <v>大坪店</v>
          </cell>
          <cell r="I147">
            <v>45972</v>
          </cell>
          <cell r="J147">
            <v>-295.52</v>
          </cell>
        </row>
        <row r="148">
          <cell r="C148" t="str">
            <v>推广账户自动充值</v>
          </cell>
        </row>
        <row r="148">
          <cell r="H148" t="str">
            <v>五华店</v>
          </cell>
          <cell r="I148">
            <v>45972</v>
          </cell>
          <cell r="J148">
            <v>200</v>
          </cell>
        </row>
        <row r="149">
          <cell r="C149" t="str">
            <v>推广订单扣款</v>
          </cell>
        </row>
        <row r="149">
          <cell r="H149" t="str">
            <v>五华店</v>
          </cell>
          <cell r="I149">
            <v>45972</v>
          </cell>
          <cell r="J149">
            <v>-124.1</v>
          </cell>
        </row>
        <row r="150">
          <cell r="C150" t="str">
            <v>推广账户自动充值</v>
          </cell>
        </row>
        <row r="150">
          <cell r="H150" t="str">
            <v>官渡店</v>
          </cell>
          <cell r="I150">
            <v>45972</v>
          </cell>
          <cell r="J150">
            <v>200</v>
          </cell>
        </row>
        <row r="151">
          <cell r="C151" t="str">
            <v>推广订单扣款</v>
          </cell>
        </row>
        <row r="151">
          <cell r="H151" t="str">
            <v>官渡店</v>
          </cell>
          <cell r="I151">
            <v>45972</v>
          </cell>
          <cell r="J151">
            <v>-141.45</v>
          </cell>
        </row>
        <row r="152">
          <cell r="C152" t="str">
            <v>推广账户自动充值</v>
          </cell>
        </row>
        <row r="152">
          <cell r="H152" t="str">
            <v>百捷店</v>
          </cell>
          <cell r="I152">
            <v>45972</v>
          </cell>
          <cell r="J152">
            <v>200</v>
          </cell>
        </row>
        <row r="153">
          <cell r="C153" t="str">
            <v>推广订单扣款</v>
          </cell>
        </row>
        <row r="153">
          <cell r="H153" t="str">
            <v>百捷店</v>
          </cell>
          <cell r="I153">
            <v>45972</v>
          </cell>
          <cell r="J153">
            <v>-188.58</v>
          </cell>
        </row>
        <row r="154">
          <cell r="C154" t="str">
            <v>推广账户自动充值</v>
          </cell>
        </row>
        <row r="154">
          <cell r="H154" t="str">
            <v>济南店</v>
          </cell>
          <cell r="I154">
            <v>45972</v>
          </cell>
          <cell r="J154">
            <v>200</v>
          </cell>
        </row>
        <row r="155">
          <cell r="C155" t="str">
            <v>推广订单扣款</v>
          </cell>
        </row>
        <row r="155">
          <cell r="H155" t="str">
            <v>济南店</v>
          </cell>
          <cell r="I155">
            <v>45972</v>
          </cell>
          <cell r="J155">
            <v>-270.26</v>
          </cell>
        </row>
        <row r="156">
          <cell r="C156" t="str">
            <v>推广账户自动充值</v>
          </cell>
        </row>
        <row r="156">
          <cell r="H156" t="str">
            <v>观音桥店</v>
          </cell>
          <cell r="I156">
            <v>45972</v>
          </cell>
          <cell r="J156">
            <v>200</v>
          </cell>
        </row>
        <row r="157">
          <cell r="C157" t="str">
            <v>推广订单扣款</v>
          </cell>
        </row>
        <row r="157">
          <cell r="H157" t="str">
            <v>观音桥店</v>
          </cell>
          <cell r="I157">
            <v>45972</v>
          </cell>
          <cell r="J157">
            <v>-269.74</v>
          </cell>
        </row>
        <row r="158">
          <cell r="C158" t="str">
            <v>推广账户自动充值</v>
          </cell>
        </row>
        <row r="158">
          <cell r="H158" t="str">
            <v>长沙店</v>
          </cell>
          <cell r="I158">
            <v>45972</v>
          </cell>
          <cell r="J158">
            <v>200</v>
          </cell>
        </row>
        <row r="159">
          <cell r="C159" t="str">
            <v>推广订单扣款</v>
          </cell>
        </row>
        <row r="159">
          <cell r="H159" t="str">
            <v>长沙店</v>
          </cell>
          <cell r="I159">
            <v>45972</v>
          </cell>
          <cell r="J159">
            <v>-112.16</v>
          </cell>
        </row>
        <row r="160">
          <cell r="C160" t="str">
            <v>推广订单扣款</v>
          </cell>
        </row>
        <row r="160">
          <cell r="H160" t="str">
            <v>洛江店</v>
          </cell>
          <cell r="I160">
            <v>45972</v>
          </cell>
          <cell r="J160">
            <v>-33.85</v>
          </cell>
        </row>
        <row r="161">
          <cell r="C161" t="str">
            <v>推广账户自动充值</v>
          </cell>
        </row>
        <row r="161">
          <cell r="H161" t="str">
            <v>五路口店</v>
          </cell>
          <cell r="I161">
            <v>45972</v>
          </cell>
          <cell r="J161">
            <v>200</v>
          </cell>
        </row>
        <row r="162">
          <cell r="C162" t="str">
            <v>推广订单扣款</v>
          </cell>
        </row>
        <row r="162">
          <cell r="H162" t="str">
            <v>五路口店</v>
          </cell>
          <cell r="I162">
            <v>45972</v>
          </cell>
          <cell r="J162">
            <v>-347.13</v>
          </cell>
        </row>
        <row r="163">
          <cell r="C163" t="str">
            <v>推广订单扣款</v>
          </cell>
        </row>
        <row r="163">
          <cell r="H163" t="str">
            <v>青羊店</v>
          </cell>
          <cell r="I163">
            <v>45972</v>
          </cell>
          <cell r="J163">
            <v>-193.36</v>
          </cell>
        </row>
        <row r="164">
          <cell r="C164" t="str">
            <v>推广账户自动充值</v>
          </cell>
        </row>
        <row r="164">
          <cell r="H164" t="str">
            <v>武侯店</v>
          </cell>
          <cell r="I164">
            <v>45972</v>
          </cell>
          <cell r="J164">
            <v>200</v>
          </cell>
        </row>
        <row r="165">
          <cell r="C165" t="str">
            <v>推广订单扣款</v>
          </cell>
        </row>
        <row r="165">
          <cell r="H165" t="str">
            <v>武侯店</v>
          </cell>
          <cell r="I165">
            <v>45972</v>
          </cell>
          <cell r="J165">
            <v>-99.64</v>
          </cell>
        </row>
        <row r="166">
          <cell r="C166" t="str">
            <v>推广账户自动充值</v>
          </cell>
        </row>
        <row r="166">
          <cell r="H166" t="str">
            <v>鼓楼店</v>
          </cell>
          <cell r="I166">
            <v>45972</v>
          </cell>
          <cell r="J166">
            <v>200</v>
          </cell>
        </row>
        <row r="167">
          <cell r="C167" t="str">
            <v>推广账户自动充值</v>
          </cell>
        </row>
        <row r="167">
          <cell r="H167" t="str">
            <v>鼓楼店</v>
          </cell>
          <cell r="I167">
            <v>45972</v>
          </cell>
          <cell r="J167">
            <v>200</v>
          </cell>
        </row>
        <row r="168">
          <cell r="C168" t="str">
            <v>推广订单扣款</v>
          </cell>
        </row>
        <row r="168">
          <cell r="H168" t="str">
            <v>鼓楼店</v>
          </cell>
          <cell r="I168">
            <v>45972</v>
          </cell>
          <cell r="J168">
            <v>-436.38</v>
          </cell>
        </row>
        <row r="169">
          <cell r="C169" t="str">
            <v>推广账户自动充值</v>
          </cell>
        </row>
        <row r="169">
          <cell r="H169" t="str">
            <v>黄雁村店</v>
          </cell>
          <cell r="I169">
            <v>45972</v>
          </cell>
          <cell r="J169">
            <v>200</v>
          </cell>
        </row>
        <row r="170">
          <cell r="C170" t="str">
            <v>推广账户自动充值</v>
          </cell>
        </row>
        <row r="170">
          <cell r="H170" t="str">
            <v>黄雁村店</v>
          </cell>
          <cell r="I170">
            <v>45972</v>
          </cell>
          <cell r="J170">
            <v>200</v>
          </cell>
        </row>
        <row r="171">
          <cell r="C171" t="str">
            <v>推广订单扣款</v>
          </cell>
        </row>
        <row r="171">
          <cell r="H171" t="str">
            <v>黄雁村店</v>
          </cell>
          <cell r="I171">
            <v>45972</v>
          </cell>
          <cell r="J171">
            <v>-255.81</v>
          </cell>
        </row>
        <row r="172">
          <cell r="C172" t="str">
            <v>推广账户自动充值</v>
          </cell>
        </row>
        <row r="172">
          <cell r="H172" t="str">
            <v>西湖店</v>
          </cell>
          <cell r="I172">
            <v>45972</v>
          </cell>
          <cell r="J172">
            <v>200</v>
          </cell>
        </row>
        <row r="173">
          <cell r="C173" t="str">
            <v>推广订单扣款</v>
          </cell>
        </row>
        <row r="173">
          <cell r="H173" t="str">
            <v>西湖店</v>
          </cell>
          <cell r="I173">
            <v>45972</v>
          </cell>
          <cell r="J173">
            <v>-201.92</v>
          </cell>
        </row>
        <row r="174">
          <cell r="C174" t="str">
            <v>推广账户自动充值</v>
          </cell>
        </row>
        <row r="174">
          <cell r="H174" t="str">
            <v>百丈店</v>
          </cell>
          <cell r="I174">
            <v>45972</v>
          </cell>
          <cell r="J174">
            <v>200</v>
          </cell>
        </row>
        <row r="175">
          <cell r="C175" t="str">
            <v>推广订单扣款</v>
          </cell>
        </row>
        <row r="175">
          <cell r="H175" t="str">
            <v>百丈店</v>
          </cell>
          <cell r="I175">
            <v>45972</v>
          </cell>
          <cell r="J175">
            <v>-126.44</v>
          </cell>
        </row>
        <row r="176">
          <cell r="C176" t="str">
            <v>推广账户自动充值</v>
          </cell>
        </row>
        <row r="176">
          <cell r="H176" t="str">
            <v>文昌店</v>
          </cell>
          <cell r="I176">
            <v>45972</v>
          </cell>
          <cell r="J176">
            <v>200</v>
          </cell>
        </row>
        <row r="177">
          <cell r="C177" t="str">
            <v>推广订单扣款</v>
          </cell>
        </row>
        <row r="177">
          <cell r="H177" t="str">
            <v>文昌店</v>
          </cell>
          <cell r="I177">
            <v>45972</v>
          </cell>
          <cell r="J177">
            <v>-167.46</v>
          </cell>
        </row>
        <row r="178">
          <cell r="C178" t="str">
            <v>推广账户自动充值</v>
          </cell>
        </row>
        <row r="178">
          <cell r="H178" t="str">
            <v>观桥店</v>
          </cell>
          <cell r="I178">
            <v>45972</v>
          </cell>
          <cell r="J178">
            <v>200</v>
          </cell>
        </row>
        <row r="179">
          <cell r="C179" t="str">
            <v>推广订单扣款</v>
          </cell>
        </row>
        <row r="179">
          <cell r="H179" t="str">
            <v>观桥店</v>
          </cell>
          <cell r="I179">
            <v>45972</v>
          </cell>
          <cell r="J179">
            <v>-258.21</v>
          </cell>
        </row>
        <row r="180">
          <cell r="C180" t="str">
            <v>推广账户自动充值</v>
          </cell>
        </row>
        <row r="180">
          <cell r="H180" t="str">
            <v>海口店</v>
          </cell>
          <cell r="I180">
            <v>45972</v>
          </cell>
          <cell r="J180">
            <v>200</v>
          </cell>
        </row>
        <row r="181">
          <cell r="C181" t="str">
            <v>推广订单扣款</v>
          </cell>
        </row>
        <row r="181">
          <cell r="H181" t="str">
            <v>海口店</v>
          </cell>
          <cell r="I181">
            <v>45972</v>
          </cell>
          <cell r="J181">
            <v>-200</v>
          </cell>
        </row>
        <row r="182">
          <cell r="C182" t="str">
            <v>推广账户自动充值</v>
          </cell>
        </row>
        <row r="182">
          <cell r="H182" t="str">
            <v>南安店</v>
          </cell>
          <cell r="I182">
            <v>45972</v>
          </cell>
          <cell r="J182">
            <v>100</v>
          </cell>
        </row>
        <row r="183">
          <cell r="C183" t="str">
            <v>推广订单扣款</v>
          </cell>
        </row>
        <row r="183">
          <cell r="H183" t="str">
            <v>南安店</v>
          </cell>
          <cell r="I183">
            <v>45972</v>
          </cell>
          <cell r="J183">
            <v>-98.59</v>
          </cell>
        </row>
        <row r="184">
          <cell r="C184" t="str">
            <v>推广账户自动充值</v>
          </cell>
        </row>
        <row r="184">
          <cell r="H184" t="str">
            <v>诚毅店</v>
          </cell>
          <cell r="I184">
            <v>45972</v>
          </cell>
          <cell r="J184">
            <v>200</v>
          </cell>
        </row>
        <row r="185">
          <cell r="C185" t="str">
            <v>推广订单扣款</v>
          </cell>
        </row>
        <row r="185">
          <cell r="H185" t="str">
            <v>诚毅店</v>
          </cell>
          <cell r="I185">
            <v>45972</v>
          </cell>
          <cell r="J185">
            <v>-169.36</v>
          </cell>
        </row>
        <row r="186">
          <cell r="C186" t="str">
            <v>推广账户自动充值</v>
          </cell>
        </row>
        <row r="186">
          <cell r="H186" t="str">
            <v>首山店</v>
          </cell>
          <cell r="I186">
            <v>45972</v>
          </cell>
          <cell r="J186">
            <v>200</v>
          </cell>
        </row>
        <row r="187">
          <cell r="C187" t="str">
            <v>推广订单扣款</v>
          </cell>
        </row>
        <row r="187">
          <cell r="H187" t="str">
            <v>首山店</v>
          </cell>
          <cell r="I187">
            <v>45972</v>
          </cell>
          <cell r="J187">
            <v>-174.44</v>
          </cell>
        </row>
        <row r="188">
          <cell r="C188" t="str">
            <v>推广账户自动充值</v>
          </cell>
        </row>
        <row r="188">
          <cell r="H188" t="str">
            <v>首南店</v>
          </cell>
          <cell r="I188">
            <v>45972</v>
          </cell>
          <cell r="J188">
            <v>200</v>
          </cell>
        </row>
        <row r="189">
          <cell r="C189" t="str">
            <v>推广订单扣款</v>
          </cell>
        </row>
        <row r="189">
          <cell r="H189" t="str">
            <v>首南店</v>
          </cell>
          <cell r="I189">
            <v>45972</v>
          </cell>
          <cell r="J189">
            <v>-187.91</v>
          </cell>
        </row>
        <row r="190">
          <cell r="C190" t="str">
            <v>推广账户自动充值</v>
          </cell>
        </row>
        <row r="190">
          <cell r="H190" t="str">
            <v>余杭店</v>
          </cell>
          <cell r="I190">
            <v>45972</v>
          </cell>
          <cell r="J190">
            <v>200</v>
          </cell>
        </row>
        <row r="191">
          <cell r="C191" t="str">
            <v>推广订单扣款</v>
          </cell>
        </row>
        <row r="191">
          <cell r="H191" t="str">
            <v>余杭店</v>
          </cell>
          <cell r="I191">
            <v>45972</v>
          </cell>
          <cell r="J191">
            <v>-185.96</v>
          </cell>
        </row>
        <row r="192">
          <cell r="C192" t="str">
            <v>推广订单扣款</v>
          </cell>
        </row>
        <row r="192">
          <cell r="H192" t="str">
            <v>东海店</v>
          </cell>
          <cell r="I192">
            <v>45972</v>
          </cell>
          <cell r="J192">
            <v>-50.88</v>
          </cell>
        </row>
        <row r="193">
          <cell r="C193" t="str">
            <v>推广账户自动充值</v>
          </cell>
        </row>
        <row r="193">
          <cell r="H193" t="str">
            <v>华信店</v>
          </cell>
          <cell r="I193">
            <v>45972</v>
          </cell>
          <cell r="J193">
            <v>200</v>
          </cell>
        </row>
        <row r="194">
          <cell r="C194" t="str">
            <v>推广订单扣款</v>
          </cell>
        </row>
        <row r="194">
          <cell r="H194" t="str">
            <v>华信店</v>
          </cell>
          <cell r="I194">
            <v>45972</v>
          </cell>
          <cell r="J194">
            <v>-180</v>
          </cell>
        </row>
        <row r="195">
          <cell r="C195" t="str">
            <v>推广账户自动充值</v>
          </cell>
        </row>
        <row r="195">
          <cell r="H195" t="str">
            <v>华信店</v>
          </cell>
          <cell r="I195">
            <v>45973</v>
          </cell>
          <cell r="J195">
            <v>200</v>
          </cell>
        </row>
        <row r="196">
          <cell r="C196" t="str">
            <v>推广订单扣款</v>
          </cell>
        </row>
        <row r="196">
          <cell r="H196" t="str">
            <v>华信店</v>
          </cell>
          <cell r="I196">
            <v>45973</v>
          </cell>
          <cell r="J196">
            <v>-180</v>
          </cell>
        </row>
        <row r="197">
          <cell r="C197" t="str">
            <v>推广账户自动充值</v>
          </cell>
        </row>
        <row r="197">
          <cell r="H197" t="str">
            <v>湖里店</v>
          </cell>
          <cell r="I197">
            <v>45973</v>
          </cell>
          <cell r="J197">
            <v>200</v>
          </cell>
        </row>
        <row r="198">
          <cell r="C198" t="str">
            <v>推广订单扣款</v>
          </cell>
        </row>
        <row r="198">
          <cell r="H198" t="str">
            <v>湖里店</v>
          </cell>
          <cell r="I198">
            <v>45973</v>
          </cell>
          <cell r="J198">
            <v>-186.5</v>
          </cell>
        </row>
        <row r="199">
          <cell r="C199" t="str">
            <v>推广账户自动充值</v>
          </cell>
        </row>
        <row r="199">
          <cell r="H199" t="str">
            <v>东新店</v>
          </cell>
          <cell r="I199">
            <v>45973</v>
          </cell>
          <cell r="J199">
            <v>200</v>
          </cell>
        </row>
        <row r="200">
          <cell r="C200" t="str">
            <v>推广订单扣款</v>
          </cell>
        </row>
        <row r="200">
          <cell r="H200" t="str">
            <v>东新店</v>
          </cell>
          <cell r="I200">
            <v>45973</v>
          </cell>
          <cell r="J200">
            <v>-200.97</v>
          </cell>
        </row>
        <row r="201">
          <cell r="C201" t="str">
            <v>推广账户自动充值</v>
          </cell>
        </row>
        <row r="201">
          <cell r="H201" t="str">
            <v>启点店</v>
          </cell>
          <cell r="I201">
            <v>45973</v>
          </cell>
          <cell r="J201">
            <v>200</v>
          </cell>
        </row>
        <row r="202">
          <cell r="C202" t="str">
            <v>推广订单扣款</v>
          </cell>
        </row>
        <row r="202">
          <cell r="H202" t="str">
            <v>启点店</v>
          </cell>
          <cell r="I202">
            <v>45973</v>
          </cell>
          <cell r="J202">
            <v>-164.48</v>
          </cell>
        </row>
        <row r="203">
          <cell r="C203" t="str">
            <v>推广账户自动充值</v>
          </cell>
        </row>
        <row r="203">
          <cell r="H203" t="str">
            <v>高新店</v>
          </cell>
          <cell r="I203">
            <v>45973</v>
          </cell>
          <cell r="J203">
            <v>200</v>
          </cell>
        </row>
        <row r="204">
          <cell r="C204" t="str">
            <v>推广订单扣款</v>
          </cell>
        </row>
        <row r="204">
          <cell r="H204" t="str">
            <v>高新店</v>
          </cell>
          <cell r="I204">
            <v>45973</v>
          </cell>
          <cell r="J204">
            <v>-229.02</v>
          </cell>
        </row>
        <row r="205">
          <cell r="C205" t="str">
            <v>推广账户自动充值</v>
          </cell>
        </row>
        <row r="205">
          <cell r="H205" t="str">
            <v>成华店</v>
          </cell>
          <cell r="I205">
            <v>45973</v>
          </cell>
          <cell r="J205">
            <v>200</v>
          </cell>
        </row>
        <row r="206">
          <cell r="C206" t="str">
            <v>推广订单扣款</v>
          </cell>
        </row>
        <row r="206">
          <cell r="H206" t="str">
            <v>成华店</v>
          </cell>
          <cell r="I206">
            <v>45973</v>
          </cell>
          <cell r="J206">
            <v>-139.72</v>
          </cell>
        </row>
        <row r="207">
          <cell r="C207" t="str">
            <v>推广订单扣款</v>
          </cell>
        </row>
        <row r="207">
          <cell r="H207" t="str">
            <v>金牛店</v>
          </cell>
          <cell r="I207">
            <v>45973</v>
          </cell>
          <cell r="J207">
            <v>-81.33</v>
          </cell>
        </row>
        <row r="208">
          <cell r="C208" t="str">
            <v>推广账户自动充值</v>
          </cell>
        </row>
        <row r="208">
          <cell r="H208" t="str">
            <v>西山店</v>
          </cell>
          <cell r="I208">
            <v>45973</v>
          </cell>
          <cell r="J208">
            <v>200</v>
          </cell>
        </row>
        <row r="209">
          <cell r="C209" t="str">
            <v>推广订单扣款</v>
          </cell>
        </row>
        <row r="209">
          <cell r="H209" t="str">
            <v>西山店</v>
          </cell>
          <cell r="I209">
            <v>45973</v>
          </cell>
          <cell r="J209">
            <v>-203.12</v>
          </cell>
        </row>
        <row r="210">
          <cell r="C210" t="str">
            <v>推广账户自动充值</v>
          </cell>
        </row>
        <row r="210">
          <cell r="H210" t="str">
            <v>沙坪坝店</v>
          </cell>
          <cell r="I210">
            <v>45973</v>
          </cell>
          <cell r="J210">
            <v>200</v>
          </cell>
        </row>
        <row r="211">
          <cell r="C211" t="str">
            <v>推广订单扣款</v>
          </cell>
        </row>
        <row r="211">
          <cell r="H211" t="str">
            <v>沙坪坝店</v>
          </cell>
          <cell r="I211">
            <v>45973</v>
          </cell>
          <cell r="J211">
            <v>-95.36</v>
          </cell>
        </row>
        <row r="212">
          <cell r="C212" t="str">
            <v>推广账户自动充值</v>
          </cell>
        </row>
        <row r="212">
          <cell r="H212" t="str">
            <v>凤城二路店</v>
          </cell>
          <cell r="I212">
            <v>45973</v>
          </cell>
          <cell r="J212">
            <v>200</v>
          </cell>
        </row>
        <row r="213">
          <cell r="C213" t="str">
            <v>推广账户自动充值</v>
          </cell>
        </row>
        <row r="213">
          <cell r="H213" t="str">
            <v>凤城二路店</v>
          </cell>
          <cell r="I213">
            <v>45973</v>
          </cell>
          <cell r="J213">
            <v>200</v>
          </cell>
        </row>
        <row r="214">
          <cell r="C214" t="str">
            <v>推广订单扣款</v>
          </cell>
        </row>
        <row r="214">
          <cell r="H214" t="str">
            <v>凤城二路店</v>
          </cell>
          <cell r="I214">
            <v>45973</v>
          </cell>
          <cell r="J214">
            <v>-377.18</v>
          </cell>
        </row>
        <row r="215">
          <cell r="C215" t="str">
            <v>推广账户自动充值</v>
          </cell>
        </row>
        <row r="215">
          <cell r="H215" t="str">
            <v>大坪店</v>
          </cell>
          <cell r="I215">
            <v>45973</v>
          </cell>
          <cell r="J215">
            <v>200</v>
          </cell>
        </row>
        <row r="216">
          <cell r="C216" t="str">
            <v>推广订单扣款</v>
          </cell>
        </row>
        <row r="216">
          <cell r="H216" t="str">
            <v>大坪店</v>
          </cell>
          <cell r="I216">
            <v>45973</v>
          </cell>
          <cell r="J216">
            <v>-267.28</v>
          </cell>
        </row>
        <row r="217">
          <cell r="C217" t="str">
            <v>推广账户自动充值</v>
          </cell>
        </row>
        <row r="217">
          <cell r="H217" t="str">
            <v>五华店</v>
          </cell>
          <cell r="I217">
            <v>45973</v>
          </cell>
          <cell r="J217">
            <v>200</v>
          </cell>
        </row>
        <row r="218">
          <cell r="C218" t="str">
            <v>推广订单扣款</v>
          </cell>
        </row>
        <row r="218">
          <cell r="H218" t="str">
            <v>五华店</v>
          </cell>
          <cell r="I218">
            <v>45973</v>
          </cell>
          <cell r="J218">
            <v>-240.51</v>
          </cell>
        </row>
        <row r="219">
          <cell r="C219" t="str">
            <v>推广订单扣款</v>
          </cell>
        </row>
        <row r="219">
          <cell r="H219" t="str">
            <v>官渡店</v>
          </cell>
          <cell r="I219">
            <v>45973</v>
          </cell>
          <cell r="J219">
            <v>-91.09</v>
          </cell>
        </row>
        <row r="220">
          <cell r="C220" t="str">
            <v>推广账户自动充值</v>
          </cell>
        </row>
        <row r="220">
          <cell r="H220" t="str">
            <v>百捷店</v>
          </cell>
          <cell r="I220">
            <v>45973</v>
          </cell>
          <cell r="J220">
            <v>200</v>
          </cell>
        </row>
        <row r="221">
          <cell r="C221" t="str">
            <v>推广订单扣款</v>
          </cell>
        </row>
        <row r="221">
          <cell r="H221" t="str">
            <v>百捷店</v>
          </cell>
          <cell r="I221">
            <v>45973</v>
          </cell>
          <cell r="J221">
            <v>-173.32</v>
          </cell>
        </row>
        <row r="222">
          <cell r="C222" t="str">
            <v>推广账户自动充值</v>
          </cell>
        </row>
        <row r="222">
          <cell r="H222" t="str">
            <v>济南店</v>
          </cell>
          <cell r="I222">
            <v>45973</v>
          </cell>
          <cell r="J222">
            <v>200</v>
          </cell>
        </row>
        <row r="223">
          <cell r="C223" t="str">
            <v>推广订单扣款</v>
          </cell>
        </row>
        <row r="223">
          <cell r="H223" t="str">
            <v>济南店</v>
          </cell>
          <cell r="I223">
            <v>45973</v>
          </cell>
          <cell r="J223">
            <v>-253.79</v>
          </cell>
        </row>
        <row r="224">
          <cell r="C224" t="str">
            <v>推广账户自动充值</v>
          </cell>
        </row>
        <row r="224">
          <cell r="H224" t="str">
            <v>观音桥店</v>
          </cell>
          <cell r="I224">
            <v>45973</v>
          </cell>
          <cell r="J224">
            <v>200</v>
          </cell>
        </row>
        <row r="225">
          <cell r="C225" t="str">
            <v>推广账户自动充值</v>
          </cell>
        </row>
        <row r="225">
          <cell r="H225" t="str">
            <v>观音桥店</v>
          </cell>
          <cell r="I225">
            <v>45973</v>
          </cell>
          <cell r="J225">
            <v>200</v>
          </cell>
        </row>
        <row r="226">
          <cell r="C226" t="str">
            <v>推广订单扣款</v>
          </cell>
        </row>
        <row r="226">
          <cell r="H226" t="str">
            <v>观音桥店</v>
          </cell>
          <cell r="I226">
            <v>45973</v>
          </cell>
          <cell r="J226">
            <v>-210.46</v>
          </cell>
        </row>
        <row r="227">
          <cell r="C227" t="str">
            <v>推广订单扣款</v>
          </cell>
        </row>
        <row r="227">
          <cell r="H227" t="str">
            <v>长沙店</v>
          </cell>
          <cell r="I227">
            <v>45973</v>
          </cell>
          <cell r="J227">
            <v>-85.29</v>
          </cell>
        </row>
        <row r="228">
          <cell r="C228" t="str">
            <v>推广账户自动充值</v>
          </cell>
        </row>
        <row r="228">
          <cell r="H228" t="str">
            <v>洛江店</v>
          </cell>
          <cell r="I228">
            <v>45973</v>
          </cell>
          <cell r="J228">
            <v>200</v>
          </cell>
        </row>
        <row r="229">
          <cell r="C229" t="str">
            <v>推广订单扣款</v>
          </cell>
        </row>
        <row r="229">
          <cell r="H229" t="str">
            <v>洛江店</v>
          </cell>
          <cell r="I229">
            <v>45973</v>
          </cell>
          <cell r="J229">
            <v>-51.59</v>
          </cell>
        </row>
        <row r="230">
          <cell r="C230" t="str">
            <v>推广账户自动充值</v>
          </cell>
        </row>
        <row r="230">
          <cell r="H230" t="str">
            <v>五路口店</v>
          </cell>
          <cell r="I230">
            <v>45973</v>
          </cell>
          <cell r="J230">
            <v>200</v>
          </cell>
        </row>
        <row r="231">
          <cell r="C231" t="str">
            <v>推广订单扣款</v>
          </cell>
        </row>
        <row r="231">
          <cell r="H231" t="str">
            <v>五路口店</v>
          </cell>
          <cell r="I231">
            <v>45973</v>
          </cell>
          <cell r="J231">
            <v>-380.71</v>
          </cell>
        </row>
        <row r="232">
          <cell r="C232" t="str">
            <v>推广账户自动充值</v>
          </cell>
        </row>
        <row r="232">
          <cell r="H232" t="str">
            <v>青羊店</v>
          </cell>
          <cell r="I232">
            <v>45973</v>
          </cell>
          <cell r="J232">
            <v>200</v>
          </cell>
        </row>
        <row r="233">
          <cell r="C233" t="str">
            <v>推广订单扣款</v>
          </cell>
        </row>
        <row r="233">
          <cell r="H233" t="str">
            <v>青羊店</v>
          </cell>
          <cell r="I233">
            <v>45973</v>
          </cell>
          <cell r="J233">
            <v>-159.24</v>
          </cell>
        </row>
        <row r="234">
          <cell r="C234" t="str">
            <v>推广订单扣款</v>
          </cell>
        </row>
        <row r="234">
          <cell r="H234" t="str">
            <v>武侯店</v>
          </cell>
          <cell r="I234">
            <v>45973</v>
          </cell>
          <cell r="J234">
            <v>-53.62</v>
          </cell>
        </row>
        <row r="235">
          <cell r="C235" t="str">
            <v>推广账户自动充值</v>
          </cell>
        </row>
        <row r="235">
          <cell r="H235" t="str">
            <v>鼓楼店</v>
          </cell>
          <cell r="I235">
            <v>45973</v>
          </cell>
          <cell r="J235">
            <v>200</v>
          </cell>
        </row>
        <row r="236">
          <cell r="C236" t="str">
            <v>推广订单扣款</v>
          </cell>
        </row>
        <row r="236">
          <cell r="H236" t="str">
            <v>鼓楼店</v>
          </cell>
          <cell r="I236">
            <v>45973</v>
          </cell>
          <cell r="J236">
            <v>-311.85</v>
          </cell>
        </row>
        <row r="237">
          <cell r="C237" t="str">
            <v>推广账户自动充值</v>
          </cell>
        </row>
        <row r="237">
          <cell r="H237" t="str">
            <v>黄雁村店</v>
          </cell>
          <cell r="I237">
            <v>45973</v>
          </cell>
          <cell r="J237">
            <v>200</v>
          </cell>
        </row>
        <row r="238">
          <cell r="C238" t="str">
            <v>推广账户自动充值</v>
          </cell>
        </row>
        <row r="238">
          <cell r="H238" t="str">
            <v>黄雁村店</v>
          </cell>
          <cell r="I238">
            <v>45973</v>
          </cell>
          <cell r="J238">
            <v>200</v>
          </cell>
        </row>
        <row r="239">
          <cell r="C239" t="str">
            <v>推广订单扣款</v>
          </cell>
        </row>
        <row r="239">
          <cell r="H239" t="str">
            <v>黄雁村店</v>
          </cell>
          <cell r="I239">
            <v>45973</v>
          </cell>
          <cell r="J239">
            <v>-359.78</v>
          </cell>
        </row>
        <row r="240">
          <cell r="C240" t="str">
            <v>推广账户自动充值</v>
          </cell>
        </row>
        <row r="240">
          <cell r="H240" t="str">
            <v>西湖店</v>
          </cell>
          <cell r="I240">
            <v>45973</v>
          </cell>
          <cell r="J240">
            <v>200</v>
          </cell>
        </row>
        <row r="241">
          <cell r="C241" t="str">
            <v>推广订单扣款</v>
          </cell>
        </row>
        <row r="241">
          <cell r="H241" t="str">
            <v>西湖店</v>
          </cell>
          <cell r="I241">
            <v>45973</v>
          </cell>
          <cell r="J241">
            <v>-119.21</v>
          </cell>
        </row>
        <row r="242">
          <cell r="C242" t="str">
            <v>推广订单扣款</v>
          </cell>
        </row>
        <row r="242">
          <cell r="H242" t="str">
            <v>百丈店</v>
          </cell>
          <cell r="I242">
            <v>45973</v>
          </cell>
          <cell r="J242">
            <v>-205.63</v>
          </cell>
        </row>
        <row r="243">
          <cell r="C243" t="str">
            <v>推广订单扣款</v>
          </cell>
        </row>
        <row r="243">
          <cell r="H243" t="str">
            <v>文昌店</v>
          </cell>
          <cell r="I243">
            <v>45973</v>
          </cell>
          <cell r="J243">
            <v>-182.38</v>
          </cell>
        </row>
        <row r="244">
          <cell r="C244" t="str">
            <v>推广订单扣款</v>
          </cell>
        </row>
        <row r="244">
          <cell r="H244" t="str">
            <v>观桥店</v>
          </cell>
          <cell r="I244">
            <v>45973</v>
          </cell>
          <cell r="J244">
            <v>-228.23</v>
          </cell>
        </row>
        <row r="245">
          <cell r="C245" t="str">
            <v>推广账户自动充值</v>
          </cell>
        </row>
        <row r="245">
          <cell r="H245" t="str">
            <v>观桥店</v>
          </cell>
          <cell r="I245">
            <v>45973</v>
          </cell>
          <cell r="J245">
            <v>200</v>
          </cell>
        </row>
        <row r="246">
          <cell r="C246" t="str">
            <v>推广账户自动充值</v>
          </cell>
        </row>
        <row r="246">
          <cell r="H246" t="str">
            <v>海口店</v>
          </cell>
          <cell r="I246">
            <v>45973</v>
          </cell>
          <cell r="J246">
            <v>200</v>
          </cell>
        </row>
        <row r="247">
          <cell r="C247" t="str">
            <v>推广订单扣款</v>
          </cell>
        </row>
        <row r="247">
          <cell r="H247" t="str">
            <v>海口店</v>
          </cell>
          <cell r="I247">
            <v>45973</v>
          </cell>
          <cell r="J247">
            <v>-200</v>
          </cell>
        </row>
        <row r="248">
          <cell r="C248" t="str">
            <v>推广账户自动充值</v>
          </cell>
        </row>
        <row r="248">
          <cell r="H248" t="str">
            <v>南安店</v>
          </cell>
          <cell r="I248">
            <v>45973</v>
          </cell>
          <cell r="J248">
            <v>100</v>
          </cell>
        </row>
        <row r="249">
          <cell r="C249" t="str">
            <v>推广订单扣款</v>
          </cell>
        </row>
        <row r="249">
          <cell r="H249" t="str">
            <v>南安店</v>
          </cell>
          <cell r="I249">
            <v>45973</v>
          </cell>
          <cell r="J249">
            <v>-116.62</v>
          </cell>
        </row>
        <row r="250">
          <cell r="C250" t="str">
            <v>推广账户自动充值</v>
          </cell>
        </row>
        <row r="250">
          <cell r="H250" t="str">
            <v>诚毅店</v>
          </cell>
          <cell r="I250">
            <v>45973</v>
          </cell>
          <cell r="J250">
            <v>200</v>
          </cell>
        </row>
        <row r="251">
          <cell r="C251" t="str">
            <v>推广订单扣款</v>
          </cell>
        </row>
        <row r="251">
          <cell r="H251" t="str">
            <v>诚毅店</v>
          </cell>
          <cell r="I251">
            <v>45973</v>
          </cell>
          <cell r="J251">
            <v>-159.44</v>
          </cell>
        </row>
        <row r="252">
          <cell r="C252" t="str">
            <v>推广账户自动充值</v>
          </cell>
        </row>
        <row r="252">
          <cell r="H252" t="str">
            <v>首山店</v>
          </cell>
          <cell r="I252">
            <v>45973</v>
          </cell>
          <cell r="J252">
            <v>200</v>
          </cell>
        </row>
        <row r="253">
          <cell r="C253" t="str">
            <v>推广订单扣款</v>
          </cell>
        </row>
        <row r="253">
          <cell r="H253" t="str">
            <v>首山店</v>
          </cell>
          <cell r="I253">
            <v>45973</v>
          </cell>
          <cell r="J253">
            <v>-168.74</v>
          </cell>
        </row>
        <row r="254">
          <cell r="C254" t="str">
            <v>推广账户自动充值</v>
          </cell>
        </row>
        <row r="254">
          <cell r="H254" t="str">
            <v>首南店</v>
          </cell>
          <cell r="I254">
            <v>45973</v>
          </cell>
          <cell r="J254">
            <v>200</v>
          </cell>
        </row>
        <row r="255">
          <cell r="C255" t="str">
            <v>推广订单扣款</v>
          </cell>
        </row>
        <row r="255">
          <cell r="H255" t="str">
            <v>首南店</v>
          </cell>
          <cell r="I255">
            <v>45973</v>
          </cell>
          <cell r="J255">
            <v>-221.07</v>
          </cell>
        </row>
        <row r="256">
          <cell r="C256" t="str">
            <v>推广账户自动充值</v>
          </cell>
        </row>
        <row r="256">
          <cell r="H256" t="str">
            <v>余杭店</v>
          </cell>
          <cell r="I256">
            <v>45973</v>
          </cell>
          <cell r="J256">
            <v>200</v>
          </cell>
        </row>
        <row r="257">
          <cell r="C257" t="str">
            <v>推广订单扣款</v>
          </cell>
        </row>
        <row r="257">
          <cell r="H257" t="str">
            <v>余杭店</v>
          </cell>
          <cell r="I257">
            <v>45973</v>
          </cell>
          <cell r="J257">
            <v>-214.78</v>
          </cell>
        </row>
        <row r="258">
          <cell r="C258" t="str">
            <v>推广订单扣款</v>
          </cell>
        </row>
        <row r="258">
          <cell r="H258" t="str">
            <v>东海店</v>
          </cell>
          <cell r="I258">
            <v>45973</v>
          </cell>
          <cell r="J258">
            <v>-62.77</v>
          </cell>
        </row>
        <row r="259">
          <cell r="C259" t="str">
            <v>推广订单扣款</v>
          </cell>
        </row>
        <row r="259">
          <cell r="H259" t="str">
            <v>文灶店</v>
          </cell>
          <cell r="I259">
            <v>45973</v>
          </cell>
          <cell r="J259">
            <v>-51.75</v>
          </cell>
        </row>
        <row r="260">
          <cell r="C260" t="str">
            <v>推广账户自动充值</v>
          </cell>
        </row>
        <row r="260">
          <cell r="H260" t="str">
            <v>华信店</v>
          </cell>
          <cell r="I260">
            <v>45976</v>
          </cell>
          <cell r="J260">
            <v>200</v>
          </cell>
        </row>
        <row r="261">
          <cell r="C261" t="str">
            <v>推广订单扣款</v>
          </cell>
        </row>
        <row r="261">
          <cell r="H261" t="str">
            <v>华信店</v>
          </cell>
          <cell r="I261">
            <v>45976</v>
          </cell>
          <cell r="J261">
            <v>-180</v>
          </cell>
        </row>
        <row r="262">
          <cell r="C262" t="str">
            <v>推广账户自动充值</v>
          </cell>
        </row>
        <row r="262">
          <cell r="H262" t="str">
            <v>华信店</v>
          </cell>
          <cell r="I262">
            <v>45975</v>
          </cell>
          <cell r="J262">
            <v>200</v>
          </cell>
        </row>
        <row r="263">
          <cell r="C263" t="str">
            <v>推广订单扣款</v>
          </cell>
        </row>
        <row r="263">
          <cell r="H263" t="str">
            <v>华信店</v>
          </cell>
          <cell r="I263">
            <v>45975</v>
          </cell>
          <cell r="J263">
            <v>-180</v>
          </cell>
        </row>
        <row r="264">
          <cell r="C264" t="str">
            <v>推广账户自动充值</v>
          </cell>
        </row>
        <row r="264">
          <cell r="H264" t="str">
            <v>华信店</v>
          </cell>
          <cell r="I264">
            <v>45974</v>
          </cell>
          <cell r="J264">
            <v>200</v>
          </cell>
        </row>
        <row r="265">
          <cell r="C265" t="str">
            <v>推广订单扣款</v>
          </cell>
        </row>
        <row r="265">
          <cell r="H265" t="str">
            <v>华信店</v>
          </cell>
          <cell r="I265">
            <v>45974</v>
          </cell>
          <cell r="J265">
            <v>-180</v>
          </cell>
        </row>
        <row r="266">
          <cell r="C266" t="str">
            <v>推广账户自动充值</v>
          </cell>
        </row>
        <row r="266">
          <cell r="H266" t="str">
            <v>湖里店</v>
          </cell>
          <cell r="I266">
            <v>45976</v>
          </cell>
          <cell r="J266">
            <v>200</v>
          </cell>
        </row>
        <row r="267">
          <cell r="C267" t="str">
            <v>推广订单扣款</v>
          </cell>
        </row>
        <row r="267">
          <cell r="H267" t="str">
            <v>湖里店</v>
          </cell>
          <cell r="I267">
            <v>45976</v>
          </cell>
          <cell r="J267">
            <v>-180.93</v>
          </cell>
        </row>
        <row r="268">
          <cell r="C268" t="str">
            <v>推广账户自动充值</v>
          </cell>
        </row>
        <row r="268">
          <cell r="H268" t="str">
            <v>湖里店</v>
          </cell>
          <cell r="I268">
            <v>45975</v>
          </cell>
          <cell r="J268">
            <v>200</v>
          </cell>
        </row>
        <row r="269">
          <cell r="C269" t="str">
            <v>推广订单扣款</v>
          </cell>
        </row>
        <row r="269">
          <cell r="H269" t="str">
            <v>湖里店</v>
          </cell>
          <cell r="I269">
            <v>45975</v>
          </cell>
          <cell r="J269">
            <v>-203.74</v>
          </cell>
        </row>
        <row r="270">
          <cell r="C270" t="str">
            <v>推广账户充值</v>
          </cell>
        </row>
        <row r="270">
          <cell r="H270" t="str">
            <v>湖里店</v>
          </cell>
          <cell r="I270">
            <v>45974</v>
          </cell>
          <cell r="J270">
            <v>200</v>
          </cell>
        </row>
        <row r="271">
          <cell r="C271" t="str">
            <v>推广订单扣款</v>
          </cell>
        </row>
        <row r="271">
          <cell r="H271" t="str">
            <v>湖里店</v>
          </cell>
          <cell r="I271">
            <v>45974</v>
          </cell>
          <cell r="J271">
            <v>-164.43</v>
          </cell>
        </row>
        <row r="272">
          <cell r="C272" t="str">
            <v>推广账户自动充值</v>
          </cell>
        </row>
        <row r="272">
          <cell r="H272" t="str">
            <v>东新店</v>
          </cell>
          <cell r="I272">
            <v>45976</v>
          </cell>
          <cell r="J272">
            <v>200</v>
          </cell>
        </row>
        <row r="273">
          <cell r="C273" t="str">
            <v>推广订单扣款</v>
          </cell>
        </row>
        <row r="273">
          <cell r="H273" t="str">
            <v>东新店</v>
          </cell>
          <cell r="I273">
            <v>45976</v>
          </cell>
          <cell r="J273">
            <v>-219.27</v>
          </cell>
        </row>
        <row r="274">
          <cell r="C274" t="str">
            <v>推广账户自动充值</v>
          </cell>
        </row>
        <row r="274">
          <cell r="H274" t="str">
            <v>东新店</v>
          </cell>
          <cell r="I274">
            <v>45975</v>
          </cell>
          <cell r="J274">
            <v>200</v>
          </cell>
        </row>
        <row r="275">
          <cell r="C275" t="str">
            <v>推广订单扣款</v>
          </cell>
        </row>
        <row r="275">
          <cell r="H275" t="str">
            <v>东新店</v>
          </cell>
          <cell r="I275">
            <v>45975</v>
          </cell>
          <cell r="J275">
            <v>-198.67</v>
          </cell>
        </row>
        <row r="276">
          <cell r="C276" t="str">
            <v>推广账户自动充值</v>
          </cell>
        </row>
        <row r="276">
          <cell r="H276" t="str">
            <v>东新店</v>
          </cell>
          <cell r="I276">
            <v>45974</v>
          </cell>
          <cell r="J276">
            <v>200</v>
          </cell>
        </row>
        <row r="277">
          <cell r="C277" t="str">
            <v>推广订单扣款</v>
          </cell>
        </row>
        <row r="277">
          <cell r="H277" t="str">
            <v>东新店</v>
          </cell>
          <cell r="I277">
            <v>45974</v>
          </cell>
          <cell r="J277">
            <v>-181.48</v>
          </cell>
        </row>
        <row r="278">
          <cell r="C278" t="str">
            <v>推广账户自动充值</v>
          </cell>
        </row>
        <row r="278">
          <cell r="H278" t="str">
            <v>启点店</v>
          </cell>
          <cell r="I278">
            <v>45976</v>
          </cell>
          <cell r="J278">
            <v>200</v>
          </cell>
        </row>
        <row r="279">
          <cell r="C279" t="str">
            <v>推广订单扣款</v>
          </cell>
        </row>
        <row r="279">
          <cell r="H279" t="str">
            <v>启点店</v>
          </cell>
          <cell r="I279">
            <v>45976</v>
          </cell>
          <cell r="J279">
            <v>-177.32</v>
          </cell>
        </row>
        <row r="280">
          <cell r="C280" t="str">
            <v>推广订单扣款</v>
          </cell>
        </row>
        <row r="280">
          <cell r="H280" t="str">
            <v>启点店</v>
          </cell>
          <cell r="I280">
            <v>45975</v>
          </cell>
          <cell r="J280">
            <v>-185.97</v>
          </cell>
        </row>
        <row r="281">
          <cell r="C281" t="str">
            <v>推广账户自动充值</v>
          </cell>
        </row>
        <row r="281">
          <cell r="H281" t="str">
            <v>启点店</v>
          </cell>
          <cell r="I281">
            <v>45974</v>
          </cell>
          <cell r="J281">
            <v>200</v>
          </cell>
        </row>
        <row r="282">
          <cell r="C282" t="str">
            <v>推广订单扣款</v>
          </cell>
        </row>
        <row r="282">
          <cell r="H282" t="str">
            <v>启点店</v>
          </cell>
          <cell r="I282">
            <v>45974</v>
          </cell>
          <cell r="J282">
            <v>-144.13</v>
          </cell>
        </row>
        <row r="283">
          <cell r="C283" t="str">
            <v>推广账户自动充值</v>
          </cell>
        </row>
        <row r="283">
          <cell r="H283" t="str">
            <v>高新店</v>
          </cell>
          <cell r="I283">
            <v>45976</v>
          </cell>
          <cell r="J283">
            <v>200</v>
          </cell>
        </row>
        <row r="284">
          <cell r="C284" t="str">
            <v>推广订单扣款</v>
          </cell>
        </row>
        <row r="284">
          <cell r="H284" t="str">
            <v>高新店</v>
          </cell>
          <cell r="I284">
            <v>45976</v>
          </cell>
          <cell r="J284">
            <v>-182.65</v>
          </cell>
        </row>
        <row r="285">
          <cell r="C285" t="str">
            <v>推广账户自动充值</v>
          </cell>
        </row>
        <row r="285">
          <cell r="H285" t="str">
            <v>高新店</v>
          </cell>
          <cell r="I285">
            <v>45975</v>
          </cell>
          <cell r="J285">
            <v>200</v>
          </cell>
        </row>
        <row r="286">
          <cell r="C286" t="str">
            <v>推广订单扣款</v>
          </cell>
        </row>
        <row r="286">
          <cell r="H286" t="str">
            <v>高新店</v>
          </cell>
          <cell r="I286">
            <v>45975</v>
          </cell>
          <cell r="J286">
            <v>-155.69</v>
          </cell>
        </row>
        <row r="287">
          <cell r="C287" t="str">
            <v>推广账户自动充值</v>
          </cell>
        </row>
        <row r="287">
          <cell r="H287" t="str">
            <v>高新店</v>
          </cell>
          <cell r="I287">
            <v>45974</v>
          </cell>
          <cell r="J287">
            <v>200</v>
          </cell>
        </row>
        <row r="288">
          <cell r="C288" t="str">
            <v>推广订单扣款</v>
          </cell>
        </row>
        <row r="288">
          <cell r="H288" t="str">
            <v>高新店</v>
          </cell>
          <cell r="I288">
            <v>45974</v>
          </cell>
          <cell r="J288">
            <v>-159.18</v>
          </cell>
        </row>
        <row r="289">
          <cell r="C289" t="str">
            <v>推广账户自动充值</v>
          </cell>
        </row>
        <row r="289">
          <cell r="H289" t="str">
            <v>成华店</v>
          </cell>
          <cell r="I289">
            <v>45976</v>
          </cell>
          <cell r="J289">
            <v>200</v>
          </cell>
        </row>
        <row r="290">
          <cell r="C290" t="str">
            <v>推广订单扣款</v>
          </cell>
        </row>
        <row r="290">
          <cell r="H290" t="str">
            <v>成华店</v>
          </cell>
          <cell r="I290">
            <v>45976</v>
          </cell>
          <cell r="J290">
            <v>-112.18</v>
          </cell>
        </row>
        <row r="291">
          <cell r="C291" t="str">
            <v>推广订单扣款</v>
          </cell>
        </row>
        <row r="291">
          <cell r="H291" t="str">
            <v>成华店</v>
          </cell>
          <cell r="I291">
            <v>45975</v>
          </cell>
          <cell r="J291">
            <v>-35.79</v>
          </cell>
        </row>
        <row r="292">
          <cell r="C292" t="str">
            <v>推广订单扣款</v>
          </cell>
        </row>
        <row r="292">
          <cell r="H292" t="str">
            <v>成华店</v>
          </cell>
          <cell r="I292">
            <v>45974</v>
          </cell>
          <cell r="J292">
            <v>-42.94</v>
          </cell>
        </row>
        <row r="293">
          <cell r="C293" t="str">
            <v>推广账户自动充值</v>
          </cell>
        </row>
        <row r="293">
          <cell r="H293" t="str">
            <v>金牛店</v>
          </cell>
          <cell r="I293">
            <v>45976</v>
          </cell>
          <cell r="J293">
            <v>200</v>
          </cell>
        </row>
        <row r="294">
          <cell r="C294" t="str">
            <v>推广订单扣款</v>
          </cell>
        </row>
        <row r="294">
          <cell r="H294" t="str">
            <v>金牛店</v>
          </cell>
          <cell r="I294">
            <v>45976</v>
          </cell>
          <cell r="J294">
            <v>-107.9</v>
          </cell>
        </row>
        <row r="295">
          <cell r="C295" t="str">
            <v>推广账户自动充值</v>
          </cell>
        </row>
        <row r="295">
          <cell r="H295" t="str">
            <v>金牛店</v>
          </cell>
          <cell r="I295">
            <v>45975</v>
          </cell>
          <cell r="J295">
            <v>200</v>
          </cell>
        </row>
        <row r="296">
          <cell r="C296" t="str">
            <v>推广订单扣款</v>
          </cell>
        </row>
        <row r="296">
          <cell r="H296" t="str">
            <v>金牛店</v>
          </cell>
          <cell r="I296">
            <v>45975</v>
          </cell>
          <cell r="J296">
            <v>-60.77</v>
          </cell>
        </row>
        <row r="297">
          <cell r="C297" t="str">
            <v>推广订单扣款</v>
          </cell>
        </row>
        <row r="297">
          <cell r="H297" t="str">
            <v>金牛店</v>
          </cell>
          <cell r="I297">
            <v>45974</v>
          </cell>
          <cell r="J297">
            <v>-47.99</v>
          </cell>
        </row>
        <row r="298">
          <cell r="C298" t="str">
            <v>推广订单扣款</v>
          </cell>
        </row>
        <row r="298">
          <cell r="H298" t="str">
            <v>西山店</v>
          </cell>
          <cell r="I298">
            <v>45976</v>
          </cell>
          <cell r="J298">
            <v>-271.49</v>
          </cell>
        </row>
        <row r="299">
          <cell r="C299" t="str">
            <v>推广账户自动充值</v>
          </cell>
        </row>
        <row r="299">
          <cell r="H299" t="str">
            <v>西山店</v>
          </cell>
          <cell r="I299">
            <v>45975</v>
          </cell>
          <cell r="J299">
            <v>200</v>
          </cell>
        </row>
        <row r="300">
          <cell r="C300" t="str">
            <v>推广账户自动充值</v>
          </cell>
        </row>
        <row r="300">
          <cell r="H300" t="str">
            <v>西山店</v>
          </cell>
          <cell r="I300">
            <v>45975</v>
          </cell>
          <cell r="J300">
            <v>200</v>
          </cell>
        </row>
        <row r="301">
          <cell r="C301" t="str">
            <v>推广订单扣款</v>
          </cell>
        </row>
        <row r="301">
          <cell r="H301" t="str">
            <v>西山店</v>
          </cell>
          <cell r="I301">
            <v>45975</v>
          </cell>
          <cell r="J301">
            <v>-256.84</v>
          </cell>
        </row>
        <row r="302">
          <cell r="C302" t="str">
            <v>推广账户自动充值</v>
          </cell>
        </row>
        <row r="302">
          <cell r="H302" t="str">
            <v>西山店</v>
          </cell>
          <cell r="I302">
            <v>45974</v>
          </cell>
          <cell r="J302">
            <v>200</v>
          </cell>
        </row>
        <row r="303">
          <cell r="C303" t="str">
            <v>推广订单扣款</v>
          </cell>
        </row>
        <row r="303">
          <cell r="H303" t="str">
            <v>西山店</v>
          </cell>
          <cell r="I303">
            <v>45974</v>
          </cell>
          <cell r="J303">
            <v>-189.66</v>
          </cell>
        </row>
        <row r="304">
          <cell r="C304" t="str">
            <v>推广订单扣款</v>
          </cell>
        </row>
        <row r="304">
          <cell r="H304" t="str">
            <v>沙坪坝店</v>
          </cell>
          <cell r="I304">
            <v>45976</v>
          </cell>
          <cell r="J304">
            <v>-84.15</v>
          </cell>
        </row>
        <row r="305">
          <cell r="C305" t="str">
            <v>推广账户自动充值</v>
          </cell>
        </row>
        <row r="305">
          <cell r="H305" t="str">
            <v>沙坪坝店</v>
          </cell>
          <cell r="I305">
            <v>45975</v>
          </cell>
          <cell r="J305">
            <v>200</v>
          </cell>
        </row>
        <row r="306">
          <cell r="C306" t="str">
            <v>推广订单扣款</v>
          </cell>
        </row>
        <row r="306">
          <cell r="H306" t="str">
            <v>沙坪坝店</v>
          </cell>
          <cell r="I306">
            <v>45975</v>
          </cell>
          <cell r="J306">
            <v>-111.31</v>
          </cell>
        </row>
        <row r="307">
          <cell r="C307" t="str">
            <v>推广订单扣款</v>
          </cell>
        </row>
        <row r="307">
          <cell r="H307" t="str">
            <v>沙坪坝店</v>
          </cell>
          <cell r="I307">
            <v>45974</v>
          </cell>
          <cell r="J307">
            <v>-118.4</v>
          </cell>
        </row>
        <row r="308">
          <cell r="C308" t="str">
            <v>推广账户自动充值</v>
          </cell>
        </row>
        <row r="308">
          <cell r="H308" t="str">
            <v>凤城二路店</v>
          </cell>
          <cell r="I308">
            <v>45976</v>
          </cell>
          <cell r="J308">
            <v>200</v>
          </cell>
        </row>
        <row r="309">
          <cell r="C309" t="str">
            <v>推广账户自动充值</v>
          </cell>
        </row>
        <row r="309">
          <cell r="H309" t="str">
            <v>凤城二路店</v>
          </cell>
          <cell r="I309">
            <v>45976</v>
          </cell>
          <cell r="J309">
            <v>200</v>
          </cell>
        </row>
        <row r="310">
          <cell r="C310" t="str">
            <v>推广订单扣款</v>
          </cell>
        </row>
        <row r="310">
          <cell r="H310" t="str">
            <v>凤城二路店</v>
          </cell>
          <cell r="I310">
            <v>45976</v>
          </cell>
          <cell r="J310">
            <v>-409.58</v>
          </cell>
        </row>
        <row r="311">
          <cell r="C311" t="str">
            <v>推广账户自动充值</v>
          </cell>
        </row>
        <row r="311">
          <cell r="H311" t="str">
            <v>凤城二路店</v>
          </cell>
          <cell r="I311">
            <v>45975</v>
          </cell>
          <cell r="J311">
            <v>200</v>
          </cell>
        </row>
        <row r="312">
          <cell r="C312" t="str">
            <v>推广账户自动充值</v>
          </cell>
        </row>
        <row r="312">
          <cell r="H312" t="str">
            <v>凤城二路店</v>
          </cell>
          <cell r="I312">
            <v>45975</v>
          </cell>
          <cell r="J312">
            <v>200</v>
          </cell>
        </row>
        <row r="313">
          <cell r="C313" t="str">
            <v>推广订单扣款</v>
          </cell>
        </row>
        <row r="313">
          <cell r="H313" t="str">
            <v>凤城二路店</v>
          </cell>
          <cell r="I313">
            <v>45975</v>
          </cell>
          <cell r="J313">
            <v>-378.1</v>
          </cell>
        </row>
        <row r="314">
          <cell r="C314" t="str">
            <v>推广账户自动充值</v>
          </cell>
        </row>
        <row r="314">
          <cell r="H314" t="str">
            <v>凤城二路店</v>
          </cell>
          <cell r="I314">
            <v>45974</v>
          </cell>
          <cell r="J314">
            <v>200</v>
          </cell>
        </row>
        <row r="315">
          <cell r="C315" t="str">
            <v>推广账户自动充值</v>
          </cell>
        </row>
        <row r="315">
          <cell r="H315" t="str">
            <v>凤城二路店</v>
          </cell>
          <cell r="I315">
            <v>45974</v>
          </cell>
          <cell r="J315">
            <v>200</v>
          </cell>
        </row>
        <row r="316">
          <cell r="C316" t="str">
            <v>推广订单扣款</v>
          </cell>
        </row>
        <row r="316">
          <cell r="H316" t="str">
            <v>凤城二路店</v>
          </cell>
          <cell r="I316">
            <v>45974</v>
          </cell>
          <cell r="J316">
            <v>-332.62</v>
          </cell>
        </row>
        <row r="317">
          <cell r="C317" t="str">
            <v>推广账户自动充值</v>
          </cell>
        </row>
        <row r="317">
          <cell r="H317" t="str">
            <v>大坪店</v>
          </cell>
          <cell r="I317">
            <v>45976</v>
          </cell>
          <cell r="J317">
            <v>200</v>
          </cell>
        </row>
        <row r="318">
          <cell r="C318" t="str">
            <v>推广订单扣款</v>
          </cell>
        </row>
        <row r="318">
          <cell r="H318" t="str">
            <v>大坪店</v>
          </cell>
          <cell r="I318">
            <v>45976</v>
          </cell>
          <cell r="J318">
            <v>-240.24</v>
          </cell>
        </row>
        <row r="319">
          <cell r="C319" t="str">
            <v>推广账户自动充值</v>
          </cell>
        </row>
        <row r="319">
          <cell r="H319" t="str">
            <v>大坪店</v>
          </cell>
          <cell r="I319">
            <v>45975</v>
          </cell>
          <cell r="J319">
            <v>200</v>
          </cell>
        </row>
        <row r="320">
          <cell r="C320" t="str">
            <v>推广订单扣款</v>
          </cell>
        </row>
        <row r="320">
          <cell r="H320" t="str">
            <v>大坪店</v>
          </cell>
          <cell r="I320">
            <v>45975</v>
          </cell>
          <cell r="J320">
            <v>-210.77</v>
          </cell>
        </row>
        <row r="321">
          <cell r="C321" t="str">
            <v>推广账户自动充值</v>
          </cell>
        </row>
        <row r="321">
          <cell r="H321" t="str">
            <v>大坪店</v>
          </cell>
          <cell r="I321">
            <v>45974</v>
          </cell>
          <cell r="J321">
            <v>200</v>
          </cell>
        </row>
        <row r="322">
          <cell r="C322" t="str">
            <v>推广订单扣款</v>
          </cell>
        </row>
        <row r="322">
          <cell r="H322" t="str">
            <v>大坪店</v>
          </cell>
          <cell r="I322">
            <v>45974</v>
          </cell>
          <cell r="J322">
            <v>-259.86</v>
          </cell>
        </row>
        <row r="323">
          <cell r="C323" t="str">
            <v>推广账户自动充值</v>
          </cell>
        </row>
        <row r="323">
          <cell r="H323" t="str">
            <v>五华店</v>
          </cell>
          <cell r="I323">
            <v>45976</v>
          </cell>
          <cell r="J323">
            <v>200</v>
          </cell>
        </row>
        <row r="324">
          <cell r="C324" t="str">
            <v>推广订单扣款</v>
          </cell>
        </row>
        <row r="324">
          <cell r="H324" t="str">
            <v>五华店</v>
          </cell>
          <cell r="I324">
            <v>45976</v>
          </cell>
          <cell r="J324">
            <v>-272.11</v>
          </cell>
        </row>
        <row r="325">
          <cell r="C325" t="str">
            <v>推广账户自动充值</v>
          </cell>
        </row>
        <row r="325">
          <cell r="H325" t="str">
            <v>五华店</v>
          </cell>
          <cell r="I325">
            <v>45975</v>
          </cell>
          <cell r="J325">
            <v>200</v>
          </cell>
        </row>
        <row r="326">
          <cell r="C326" t="str">
            <v>推广订单扣款</v>
          </cell>
        </row>
        <row r="326">
          <cell r="H326" t="str">
            <v>五华店</v>
          </cell>
          <cell r="I326">
            <v>45975</v>
          </cell>
          <cell r="J326">
            <v>-194.76</v>
          </cell>
        </row>
        <row r="327">
          <cell r="C327" t="str">
            <v>推广账户自动充值</v>
          </cell>
        </row>
        <row r="327">
          <cell r="H327" t="str">
            <v>五华店</v>
          </cell>
          <cell r="I327">
            <v>45974</v>
          </cell>
          <cell r="J327">
            <v>200</v>
          </cell>
        </row>
        <row r="328">
          <cell r="C328" t="str">
            <v>推广订单扣款</v>
          </cell>
        </row>
        <row r="328">
          <cell r="H328" t="str">
            <v>五华店</v>
          </cell>
          <cell r="I328">
            <v>45974</v>
          </cell>
          <cell r="J328">
            <v>-209.16</v>
          </cell>
        </row>
        <row r="329">
          <cell r="C329" t="str">
            <v>推广账户自动充值</v>
          </cell>
        </row>
        <row r="329">
          <cell r="H329" t="str">
            <v>官渡店</v>
          </cell>
          <cell r="I329">
            <v>45976</v>
          </cell>
          <cell r="J329">
            <v>200</v>
          </cell>
        </row>
        <row r="330">
          <cell r="C330" t="str">
            <v>推广订单扣款</v>
          </cell>
        </row>
        <row r="330">
          <cell r="H330" t="str">
            <v>官渡店</v>
          </cell>
          <cell r="I330">
            <v>45976</v>
          </cell>
          <cell r="J330">
            <v>-128.64</v>
          </cell>
        </row>
        <row r="331">
          <cell r="C331" t="str">
            <v>推广订单扣款</v>
          </cell>
        </row>
        <row r="331">
          <cell r="H331" t="str">
            <v>官渡店</v>
          </cell>
          <cell r="I331">
            <v>45975</v>
          </cell>
          <cell r="J331">
            <v>-95.99</v>
          </cell>
        </row>
        <row r="332">
          <cell r="C332" t="str">
            <v>推广账户自动充值</v>
          </cell>
        </row>
        <row r="332">
          <cell r="H332" t="str">
            <v>官渡店</v>
          </cell>
          <cell r="I332">
            <v>45974</v>
          </cell>
          <cell r="J332">
            <v>200</v>
          </cell>
        </row>
        <row r="333">
          <cell r="C333" t="str">
            <v>推广订单扣款</v>
          </cell>
        </row>
        <row r="333">
          <cell r="H333" t="str">
            <v>官渡店</v>
          </cell>
          <cell r="I333">
            <v>45974</v>
          </cell>
          <cell r="J333">
            <v>-104.79</v>
          </cell>
        </row>
        <row r="334">
          <cell r="C334" t="str">
            <v>推广账户自动充值</v>
          </cell>
        </row>
        <row r="334">
          <cell r="H334" t="str">
            <v>百捷店</v>
          </cell>
          <cell r="I334">
            <v>45976</v>
          </cell>
          <cell r="J334">
            <v>200</v>
          </cell>
        </row>
        <row r="335">
          <cell r="C335" t="str">
            <v>推广订单扣款</v>
          </cell>
        </row>
        <row r="335">
          <cell r="H335" t="str">
            <v>百捷店</v>
          </cell>
          <cell r="I335">
            <v>45976</v>
          </cell>
          <cell r="J335">
            <v>-115.05</v>
          </cell>
        </row>
        <row r="336">
          <cell r="C336" t="str">
            <v>推广订单扣款</v>
          </cell>
        </row>
        <row r="336">
          <cell r="H336" t="str">
            <v>百捷店</v>
          </cell>
          <cell r="I336">
            <v>45975</v>
          </cell>
          <cell r="J336">
            <v>-179.8</v>
          </cell>
        </row>
        <row r="337">
          <cell r="C337" t="str">
            <v>推广账户自动充值</v>
          </cell>
        </row>
        <row r="337">
          <cell r="H337" t="str">
            <v>百捷店</v>
          </cell>
          <cell r="I337">
            <v>45974</v>
          </cell>
          <cell r="J337">
            <v>200</v>
          </cell>
        </row>
        <row r="338">
          <cell r="C338" t="str">
            <v>推广订单扣款</v>
          </cell>
        </row>
        <row r="338">
          <cell r="H338" t="str">
            <v>百捷店</v>
          </cell>
          <cell r="I338">
            <v>45974</v>
          </cell>
          <cell r="J338">
            <v>-156.86</v>
          </cell>
        </row>
        <row r="339">
          <cell r="C339" t="str">
            <v>推广账户自动充值</v>
          </cell>
        </row>
        <row r="339">
          <cell r="H339" t="str">
            <v>济南店</v>
          </cell>
          <cell r="I339">
            <v>45976</v>
          </cell>
          <cell r="J339">
            <v>200</v>
          </cell>
        </row>
        <row r="340">
          <cell r="C340" t="str">
            <v>推广订单扣款</v>
          </cell>
        </row>
        <row r="340">
          <cell r="H340" t="str">
            <v>济南店</v>
          </cell>
          <cell r="I340">
            <v>45976</v>
          </cell>
          <cell r="J340">
            <v>-283.43</v>
          </cell>
        </row>
        <row r="341">
          <cell r="C341" t="str">
            <v>推广账户自动充值</v>
          </cell>
        </row>
        <row r="341">
          <cell r="H341" t="str">
            <v>济南店</v>
          </cell>
          <cell r="I341">
            <v>45975</v>
          </cell>
          <cell r="J341">
            <v>200</v>
          </cell>
        </row>
        <row r="342">
          <cell r="C342" t="str">
            <v>推广订单扣款</v>
          </cell>
        </row>
        <row r="342">
          <cell r="H342" t="str">
            <v>济南店</v>
          </cell>
          <cell r="I342">
            <v>45975</v>
          </cell>
          <cell r="J342">
            <v>-272.32</v>
          </cell>
        </row>
        <row r="343">
          <cell r="C343" t="str">
            <v>推广账户自动充值</v>
          </cell>
        </row>
        <row r="343">
          <cell r="H343" t="str">
            <v>济南店</v>
          </cell>
          <cell r="I343">
            <v>45974</v>
          </cell>
          <cell r="J343">
            <v>200</v>
          </cell>
        </row>
        <row r="344">
          <cell r="C344" t="str">
            <v>推广账户自动充值</v>
          </cell>
        </row>
        <row r="344">
          <cell r="H344" t="str">
            <v>济南店</v>
          </cell>
          <cell r="I344">
            <v>45974</v>
          </cell>
          <cell r="J344">
            <v>200</v>
          </cell>
        </row>
        <row r="345">
          <cell r="C345" t="str">
            <v>推广订单扣款</v>
          </cell>
        </row>
        <row r="345">
          <cell r="H345" t="str">
            <v>济南店</v>
          </cell>
          <cell r="I345">
            <v>45974</v>
          </cell>
          <cell r="J345">
            <v>-208.32</v>
          </cell>
        </row>
        <row r="346">
          <cell r="C346" t="str">
            <v>推广账户自动充值</v>
          </cell>
        </row>
        <row r="346">
          <cell r="H346" t="str">
            <v>观音桥店</v>
          </cell>
          <cell r="I346">
            <v>45976</v>
          </cell>
          <cell r="J346">
            <v>200</v>
          </cell>
        </row>
        <row r="347">
          <cell r="C347" t="str">
            <v>推广账户自动充值</v>
          </cell>
        </row>
        <row r="347">
          <cell r="H347" t="str">
            <v>观音桥店</v>
          </cell>
          <cell r="I347">
            <v>45976</v>
          </cell>
          <cell r="J347">
            <v>200</v>
          </cell>
        </row>
        <row r="348">
          <cell r="C348" t="str">
            <v>推广订单扣款</v>
          </cell>
        </row>
        <row r="348">
          <cell r="H348" t="str">
            <v>观音桥店</v>
          </cell>
          <cell r="I348">
            <v>45976</v>
          </cell>
          <cell r="J348">
            <v>-452.5</v>
          </cell>
        </row>
        <row r="349">
          <cell r="C349" t="str">
            <v>推广账户自动充值</v>
          </cell>
        </row>
        <row r="349">
          <cell r="H349" t="str">
            <v>观音桥店</v>
          </cell>
          <cell r="I349">
            <v>45975</v>
          </cell>
          <cell r="J349">
            <v>200</v>
          </cell>
        </row>
        <row r="350">
          <cell r="C350" t="str">
            <v>推广账户自动充值</v>
          </cell>
        </row>
        <row r="350">
          <cell r="H350" t="str">
            <v>观音桥店</v>
          </cell>
          <cell r="I350">
            <v>45975</v>
          </cell>
          <cell r="J350">
            <v>200</v>
          </cell>
        </row>
        <row r="351">
          <cell r="C351" t="str">
            <v>推广订单扣款</v>
          </cell>
        </row>
        <row r="351">
          <cell r="H351" t="str">
            <v>观音桥店</v>
          </cell>
          <cell r="I351">
            <v>45975</v>
          </cell>
          <cell r="J351">
            <v>-423.43</v>
          </cell>
        </row>
        <row r="352">
          <cell r="C352" t="str">
            <v>推广账户自动充值</v>
          </cell>
        </row>
        <row r="352">
          <cell r="H352" t="str">
            <v>观音桥店</v>
          </cell>
          <cell r="I352">
            <v>45974</v>
          </cell>
          <cell r="J352">
            <v>200</v>
          </cell>
        </row>
        <row r="353">
          <cell r="C353" t="str">
            <v>推广账户自动充值</v>
          </cell>
        </row>
        <row r="353">
          <cell r="H353" t="str">
            <v>观音桥店</v>
          </cell>
          <cell r="I353">
            <v>45974</v>
          </cell>
          <cell r="J353">
            <v>200</v>
          </cell>
        </row>
        <row r="354">
          <cell r="C354" t="str">
            <v>推广订单扣款</v>
          </cell>
        </row>
        <row r="354">
          <cell r="H354" t="str">
            <v>观音桥店</v>
          </cell>
          <cell r="I354">
            <v>45974</v>
          </cell>
          <cell r="J354">
            <v>-312.08</v>
          </cell>
        </row>
        <row r="355">
          <cell r="C355" t="str">
            <v>推广账户自动充值</v>
          </cell>
        </row>
        <row r="355">
          <cell r="H355" t="str">
            <v>长沙店</v>
          </cell>
          <cell r="I355">
            <v>45976</v>
          </cell>
          <cell r="J355">
            <v>200</v>
          </cell>
        </row>
        <row r="356">
          <cell r="C356" t="str">
            <v>推广订单扣款</v>
          </cell>
        </row>
        <row r="356">
          <cell r="H356" t="str">
            <v>长沙店</v>
          </cell>
          <cell r="I356">
            <v>45976</v>
          </cell>
          <cell r="J356">
            <v>-215.59</v>
          </cell>
        </row>
        <row r="357">
          <cell r="C357" t="str">
            <v>推广账户自动充值</v>
          </cell>
        </row>
        <row r="357">
          <cell r="H357" t="str">
            <v>长沙店</v>
          </cell>
          <cell r="I357">
            <v>45975</v>
          </cell>
          <cell r="J357">
            <v>200</v>
          </cell>
        </row>
        <row r="358">
          <cell r="C358" t="str">
            <v>推广订单扣款</v>
          </cell>
        </row>
        <row r="358">
          <cell r="H358" t="str">
            <v>长沙店</v>
          </cell>
          <cell r="I358">
            <v>45975</v>
          </cell>
          <cell r="J358">
            <v>-152.79</v>
          </cell>
        </row>
        <row r="359">
          <cell r="C359" t="str">
            <v>推广账户自动充值</v>
          </cell>
        </row>
        <row r="359">
          <cell r="H359" t="str">
            <v>长沙店</v>
          </cell>
          <cell r="I359">
            <v>45974</v>
          </cell>
          <cell r="J359">
            <v>200</v>
          </cell>
        </row>
        <row r="360">
          <cell r="C360" t="str">
            <v>推广订单扣款</v>
          </cell>
        </row>
        <row r="360">
          <cell r="H360" t="str">
            <v>长沙店</v>
          </cell>
          <cell r="I360">
            <v>45974</v>
          </cell>
          <cell r="J360">
            <v>-143.5</v>
          </cell>
        </row>
        <row r="361">
          <cell r="C361" t="str">
            <v>推广订单扣款</v>
          </cell>
        </row>
        <row r="361">
          <cell r="H361" t="str">
            <v>洛江店</v>
          </cell>
          <cell r="I361">
            <v>45976</v>
          </cell>
          <cell r="J361">
            <v>-31.2</v>
          </cell>
        </row>
        <row r="362">
          <cell r="C362" t="str">
            <v>推广订单扣款</v>
          </cell>
        </row>
        <row r="362">
          <cell r="H362" t="str">
            <v>洛江店</v>
          </cell>
          <cell r="I362">
            <v>45975</v>
          </cell>
          <cell r="J362">
            <v>-60.21</v>
          </cell>
        </row>
        <row r="363">
          <cell r="C363" t="str">
            <v>推广订单扣款</v>
          </cell>
        </row>
        <row r="363">
          <cell r="H363" t="str">
            <v>洛江店</v>
          </cell>
          <cell r="I363">
            <v>45974</v>
          </cell>
          <cell r="J363">
            <v>-28.24</v>
          </cell>
        </row>
        <row r="364">
          <cell r="C364" t="str">
            <v>推广账户自动充值</v>
          </cell>
        </row>
        <row r="364">
          <cell r="H364" t="str">
            <v>五路口店</v>
          </cell>
          <cell r="I364">
            <v>45976</v>
          </cell>
          <cell r="J364">
            <v>200</v>
          </cell>
        </row>
        <row r="365">
          <cell r="C365" t="str">
            <v>推广账户自动充值</v>
          </cell>
        </row>
        <row r="365">
          <cell r="H365" t="str">
            <v>五路口店</v>
          </cell>
          <cell r="I365">
            <v>45976</v>
          </cell>
          <cell r="J365">
            <v>200</v>
          </cell>
        </row>
        <row r="366">
          <cell r="C366" t="str">
            <v>推广订单扣款</v>
          </cell>
        </row>
        <row r="366">
          <cell r="H366" t="str">
            <v>五路口店</v>
          </cell>
          <cell r="I366">
            <v>45976</v>
          </cell>
          <cell r="J366">
            <v>-431.13</v>
          </cell>
        </row>
        <row r="367">
          <cell r="C367" t="str">
            <v>推广账户自动充值</v>
          </cell>
        </row>
        <row r="367">
          <cell r="H367" t="str">
            <v>五路口店</v>
          </cell>
          <cell r="I367">
            <v>45975</v>
          </cell>
          <cell r="J367">
            <v>200</v>
          </cell>
        </row>
        <row r="368">
          <cell r="C368" t="str">
            <v>推广账户自动充值</v>
          </cell>
        </row>
        <row r="368">
          <cell r="H368" t="str">
            <v>五路口店</v>
          </cell>
          <cell r="I368">
            <v>45975</v>
          </cell>
          <cell r="J368">
            <v>200</v>
          </cell>
        </row>
        <row r="369">
          <cell r="C369" t="str">
            <v>推广订单扣款</v>
          </cell>
        </row>
        <row r="369">
          <cell r="H369" t="str">
            <v>五路口店</v>
          </cell>
          <cell r="I369">
            <v>45975</v>
          </cell>
          <cell r="J369">
            <v>-355.8</v>
          </cell>
        </row>
        <row r="370">
          <cell r="C370" t="str">
            <v>推广账户自动充值</v>
          </cell>
        </row>
        <row r="370">
          <cell r="H370" t="str">
            <v>五路口店</v>
          </cell>
          <cell r="I370">
            <v>45974</v>
          </cell>
          <cell r="J370">
            <v>200</v>
          </cell>
        </row>
        <row r="371">
          <cell r="C371" t="str">
            <v>推广账户充值</v>
          </cell>
        </row>
        <row r="371">
          <cell r="H371" t="str">
            <v>五路口店</v>
          </cell>
          <cell r="I371">
            <v>45974</v>
          </cell>
          <cell r="J371">
            <v>200</v>
          </cell>
        </row>
        <row r="372">
          <cell r="C372" t="str">
            <v>推广订单扣款</v>
          </cell>
        </row>
        <row r="372">
          <cell r="H372" t="str">
            <v>五路口店</v>
          </cell>
          <cell r="I372">
            <v>45974</v>
          </cell>
          <cell r="J372">
            <v>-226.94</v>
          </cell>
        </row>
        <row r="373">
          <cell r="C373" t="str">
            <v>推广订单扣款</v>
          </cell>
        </row>
        <row r="373">
          <cell r="H373" t="str">
            <v>青羊店</v>
          </cell>
          <cell r="I373">
            <v>45976</v>
          </cell>
          <cell r="J373">
            <v>-101.5</v>
          </cell>
        </row>
        <row r="374">
          <cell r="C374" t="str">
            <v>推广账户自动充值</v>
          </cell>
        </row>
        <row r="374">
          <cell r="H374" t="str">
            <v>青羊店</v>
          </cell>
          <cell r="I374">
            <v>45975</v>
          </cell>
          <cell r="J374">
            <v>200</v>
          </cell>
        </row>
        <row r="375">
          <cell r="C375" t="str">
            <v>推广订单扣款</v>
          </cell>
        </row>
        <row r="375">
          <cell r="H375" t="str">
            <v>青羊店</v>
          </cell>
          <cell r="I375">
            <v>45975</v>
          </cell>
          <cell r="J375">
            <v>-59.07</v>
          </cell>
        </row>
        <row r="376">
          <cell r="C376" t="str">
            <v>推广订单扣款</v>
          </cell>
        </row>
        <row r="376">
          <cell r="H376" t="str">
            <v>青羊店</v>
          </cell>
          <cell r="I376">
            <v>45974</v>
          </cell>
          <cell r="J376">
            <v>-108.6</v>
          </cell>
        </row>
        <row r="377">
          <cell r="C377" t="str">
            <v>推广订单扣款</v>
          </cell>
        </row>
        <row r="377">
          <cell r="H377" t="str">
            <v>武侯店</v>
          </cell>
          <cell r="I377">
            <v>45976</v>
          </cell>
          <cell r="J377">
            <v>-30.75</v>
          </cell>
        </row>
        <row r="378">
          <cell r="C378" t="str">
            <v>推广订单扣款</v>
          </cell>
        </row>
        <row r="378">
          <cell r="H378" t="str">
            <v>武侯店</v>
          </cell>
          <cell r="I378">
            <v>45975</v>
          </cell>
          <cell r="J378">
            <v>-22.95</v>
          </cell>
        </row>
        <row r="379">
          <cell r="C379" t="str">
            <v>推广订单扣款</v>
          </cell>
        </row>
        <row r="379">
          <cell r="H379" t="str">
            <v>武侯店</v>
          </cell>
          <cell r="I379">
            <v>45974</v>
          </cell>
          <cell r="J379">
            <v>-17.91</v>
          </cell>
        </row>
        <row r="380">
          <cell r="C380" t="str">
            <v>推广账户自动充值</v>
          </cell>
        </row>
        <row r="380">
          <cell r="H380" t="str">
            <v>鼓楼店</v>
          </cell>
          <cell r="I380">
            <v>45976</v>
          </cell>
          <cell r="J380">
            <v>200</v>
          </cell>
        </row>
        <row r="381">
          <cell r="C381" t="str">
            <v>推广账户自动充值</v>
          </cell>
        </row>
        <row r="381">
          <cell r="H381" t="str">
            <v>鼓楼店</v>
          </cell>
          <cell r="I381">
            <v>45976</v>
          </cell>
          <cell r="J381">
            <v>200</v>
          </cell>
        </row>
        <row r="382">
          <cell r="C382" t="str">
            <v>推广订单扣款</v>
          </cell>
        </row>
        <row r="382">
          <cell r="H382" t="str">
            <v>鼓楼店</v>
          </cell>
          <cell r="I382">
            <v>45976</v>
          </cell>
          <cell r="J382">
            <v>-370.52</v>
          </cell>
        </row>
        <row r="383">
          <cell r="C383" t="str">
            <v>推广账户自动充值</v>
          </cell>
        </row>
        <row r="383">
          <cell r="H383" t="str">
            <v>鼓楼店</v>
          </cell>
          <cell r="I383">
            <v>45975</v>
          </cell>
          <cell r="J383">
            <v>200</v>
          </cell>
        </row>
        <row r="384">
          <cell r="C384" t="str">
            <v>推广订单扣款</v>
          </cell>
        </row>
        <row r="384">
          <cell r="H384" t="str">
            <v>鼓楼店</v>
          </cell>
          <cell r="I384">
            <v>45975</v>
          </cell>
          <cell r="J384">
            <v>-344.32</v>
          </cell>
        </row>
        <row r="385">
          <cell r="C385" t="str">
            <v>推广账户自动充值</v>
          </cell>
        </row>
        <row r="385">
          <cell r="H385" t="str">
            <v>鼓楼店</v>
          </cell>
          <cell r="I385">
            <v>45974</v>
          </cell>
          <cell r="J385">
            <v>200</v>
          </cell>
        </row>
        <row r="386">
          <cell r="C386" t="str">
            <v>推广账户自动充值</v>
          </cell>
        </row>
        <row r="386">
          <cell r="H386" t="str">
            <v>鼓楼店</v>
          </cell>
          <cell r="I386">
            <v>45974</v>
          </cell>
          <cell r="J386">
            <v>200</v>
          </cell>
        </row>
        <row r="387">
          <cell r="C387" t="str">
            <v>推广订单扣款</v>
          </cell>
        </row>
        <row r="387">
          <cell r="H387" t="str">
            <v>鼓楼店</v>
          </cell>
          <cell r="I387">
            <v>45974</v>
          </cell>
          <cell r="J387">
            <v>-272.49</v>
          </cell>
        </row>
        <row r="388">
          <cell r="C388" t="str">
            <v>推广账户自动充值</v>
          </cell>
        </row>
        <row r="388">
          <cell r="H388" t="str">
            <v>黄雁村店</v>
          </cell>
          <cell r="I388">
            <v>45976</v>
          </cell>
          <cell r="J388">
            <v>200</v>
          </cell>
        </row>
        <row r="389">
          <cell r="C389" t="str">
            <v>推广订单扣款</v>
          </cell>
        </row>
        <row r="389">
          <cell r="H389" t="str">
            <v>黄雁村店</v>
          </cell>
          <cell r="I389">
            <v>45976</v>
          </cell>
          <cell r="J389">
            <v>-336.52</v>
          </cell>
        </row>
        <row r="390">
          <cell r="C390" t="str">
            <v>推广账户自动充值</v>
          </cell>
        </row>
        <row r="390">
          <cell r="H390" t="str">
            <v>黄雁村店</v>
          </cell>
          <cell r="I390">
            <v>45975</v>
          </cell>
          <cell r="J390">
            <v>200</v>
          </cell>
        </row>
        <row r="391">
          <cell r="C391" t="str">
            <v>推广订单扣款</v>
          </cell>
        </row>
        <row r="391">
          <cell r="H391" t="str">
            <v>黄雁村店</v>
          </cell>
          <cell r="I391">
            <v>45975</v>
          </cell>
          <cell r="J391">
            <v>-335.05</v>
          </cell>
        </row>
        <row r="392">
          <cell r="C392" t="str">
            <v>推广账户自动充值</v>
          </cell>
        </row>
        <row r="392">
          <cell r="H392" t="str">
            <v>黄雁村店</v>
          </cell>
          <cell r="I392">
            <v>45975</v>
          </cell>
          <cell r="J392">
            <v>200</v>
          </cell>
        </row>
        <row r="393">
          <cell r="C393" t="str">
            <v>推广账户自动充值</v>
          </cell>
        </row>
        <row r="393">
          <cell r="H393" t="str">
            <v>黄雁村店</v>
          </cell>
          <cell r="I393">
            <v>45974</v>
          </cell>
          <cell r="J393">
            <v>200</v>
          </cell>
        </row>
        <row r="394">
          <cell r="C394" t="str">
            <v>推广订单扣款</v>
          </cell>
        </row>
        <row r="394">
          <cell r="H394" t="str">
            <v>黄雁村店</v>
          </cell>
          <cell r="I394">
            <v>45974</v>
          </cell>
          <cell r="J394">
            <v>-299.39</v>
          </cell>
        </row>
        <row r="395">
          <cell r="C395" t="str">
            <v>推广账户自动充值</v>
          </cell>
        </row>
        <row r="395">
          <cell r="H395" t="str">
            <v>西湖店</v>
          </cell>
          <cell r="I395">
            <v>45976</v>
          </cell>
          <cell r="J395">
            <v>200</v>
          </cell>
        </row>
        <row r="396">
          <cell r="C396" t="str">
            <v>推广订单扣款</v>
          </cell>
        </row>
        <row r="396">
          <cell r="H396" t="str">
            <v>西湖店</v>
          </cell>
          <cell r="I396">
            <v>45976</v>
          </cell>
          <cell r="J396">
            <v>-129.45</v>
          </cell>
        </row>
        <row r="397">
          <cell r="C397" t="str">
            <v>推广订单扣款</v>
          </cell>
        </row>
        <row r="397">
          <cell r="H397" t="str">
            <v>西湖店</v>
          </cell>
          <cell r="I397">
            <v>45975</v>
          </cell>
          <cell r="J397">
            <v>-189.28</v>
          </cell>
        </row>
        <row r="398">
          <cell r="C398" t="str">
            <v>推广账户自动充值</v>
          </cell>
        </row>
        <row r="398">
          <cell r="H398" t="str">
            <v>西湖店</v>
          </cell>
          <cell r="I398">
            <v>45974</v>
          </cell>
          <cell r="J398">
            <v>200</v>
          </cell>
        </row>
        <row r="399">
          <cell r="C399" t="str">
            <v>推广订单扣款</v>
          </cell>
        </row>
        <row r="399">
          <cell r="H399" t="str">
            <v>西湖店</v>
          </cell>
          <cell r="I399">
            <v>45974</v>
          </cell>
          <cell r="J399">
            <v>-134.69</v>
          </cell>
        </row>
        <row r="400">
          <cell r="C400" t="str">
            <v>推广账户自动充值</v>
          </cell>
        </row>
        <row r="400">
          <cell r="H400" t="str">
            <v>百丈店</v>
          </cell>
          <cell r="I400">
            <v>45976</v>
          </cell>
          <cell r="J400">
            <v>200</v>
          </cell>
        </row>
        <row r="401">
          <cell r="C401" t="str">
            <v>推广订单扣款</v>
          </cell>
        </row>
        <row r="401">
          <cell r="H401" t="str">
            <v>百丈店</v>
          </cell>
          <cell r="I401">
            <v>45976</v>
          </cell>
          <cell r="J401">
            <v>-225.16</v>
          </cell>
        </row>
        <row r="402">
          <cell r="C402" t="str">
            <v>推广账户自动充值</v>
          </cell>
        </row>
        <row r="402">
          <cell r="H402" t="str">
            <v>百丈店</v>
          </cell>
          <cell r="I402">
            <v>45975</v>
          </cell>
          <cell r="J402">
            <v>200</v>
          </cell>
        </row>
        <row r="403">
          <cell r="C403" t="str">
            <v>推广订单扣款</v>
          </cell>
        </row>
        <row r="403">
          <cell r="H403" t="str">
            <v>百丈店</v>
          </cell>
          <cell r="I403">
            <v>45975</v>
          </cell>
          <cell r="J403">
            <v>-180.29</v>
          </cell>
        </row>
        <row r="404">
          <cell r="C404" t="str">
            <v>推广账户自动充值</v>
          </cell>
        </row>
        <row r="404">
          <cell r="H404" t="str">
            <v>百丈店</v>
          </cell>
          <cell r="I404">
            <v>45974</v>
          </cell>
          <cell r="J404">
            <v>200</v>
          </cell>
        </row>
        <row r="405">
          <cell r="C405" t="str">
            <v>推广订单扣款</v>
          </cell>
        </row>
        <row r="405">
          <cell r="H405" t="str">
            <v>百丈店</v>
          </cell>
          <cell r="I405">
            <v>45974</v>
          </cell>
          <cell r="J405">
            <v>-83.5</v>
          </cell>
        </row>
        <row r="406">
          <cell r="C406" t="str">
            <v>推广账户自动充值</v>
          </cell>
        </row>
        <row r="406">
          <cell r="H406" t="str">
            <v>文昌店</v>
          </cell>
          <cell r="I406">
            <v>45976</v>
          </cell>
          <cell r="J406">
            <v>200</v>
          </cell>
        </row>
        <row r="407">
          <cell r="C407" t="str">
            <v>推广订单扣款</v>
          </cell>
        </row>
        <row r="407">
          <cell r="H407" t="str">
            <v>文昌店</v>
          </cell>
          <cell r="I407">
            <v>45976</v>
          </cell>
          <cell r="J407">
            <v>-177.99</v>
          </cell>
        </row>
        <row r="408">
          <cell r="C408" t="str">
            <v>推广账户自动充值</v>
          </cell>
        </row>
        <row r="408">
          <cell r="H408" t="str">
            <v>文昌店</v>
          </cell>
          <cell r="I408">
            <v>45975</v>
          </cell>
          <cell r="J408">
            <v>200</v>
          </cell>
        </row>
        <row r="409">
          <cell r="C409" t="str">
            <v>推广订单扣款</v>
          </cell>
        </row>
        <row r="409">
          <cell r="H409" t="str">
            <v>文昌店</v>
          </cell>
          <cell r="I409">
            <v>45975</v>
          </cell>
          <cell r="J409">
            <v>-133.07</v>
          </cell>
        </row>
        <row r="410">
          <cell r="C410" t="str">
            <v>推广账户自动充值</v>
          </cell>
        </row>
        <row r="410">
          <cell r="H410" t="str">
            <v>文昌店</v>
          </cell>
          <cell r="I410">
            <v>45974</v>
          </cell>
          <cell r="J410">
            <v>200</v>
          </cell>
        </row>
        <row r="411">
          <cell r="C411" t="str">
            <v>推广订单扣款</v>
          </cell>
        </row>
        <row r="411">
          <cell r="H411" t="str">
            <v>文昌店</v>
          </cell>
          <cell r="I411">
            <v>45974</v>
          </cell>
          <cell r="J411">
            <v>-123.79</v>
          </cell>
        </row>
        <row r="412">
          <cell r="C412" t="str">
            <v>推广账户自动充值</v>
          </cell>
        </row>
        <row r="412">
          <cell r="H412" t="str">
            <v>观桥店</v>
          </cell>
          <cell r="I412">
            <v>45976</v>
          </cell>
          <cell r="J412">
            <v>200</v>
          </cell>
        </row>
        <row r="413">
          <cell r="C413" t="str">
            <v>推广账户自动充值</v>
          </cell>
        </row>
        <row r="413">
          <cell r="H413" t="str">
            <v>观桥店</v>
          </cell>
          <cell r="I413">
            <v>45976</v>
          </cell>
          <cell r="J413">
            <v>200</v>
          </cell>
        </row>
        <row r="414">
          <cell r="C414" t="str">
            <v>推广订单扣款</v>
          </cell>
        </row>
        <row r="414">
          <cell r="H414" t="str">
            <v>观桥店</v>
          </cell>
          <cell r="I414">
            <v>45976</v>
          </cell>
          <cell r="J414">
            <v>-236.79</v>
          </cell>
        </row>
        <row r="415">
          <cell r="C415" t="str">
            <v>推广账户自动充值</v>
          </cell>
        </row>
        <row r="415">
          <cell r="H415" t="str">
            <v>观桥店</v>
          </cell>
          <cell r="I415">
            <v>45975</v>
          </cell>
          <cell r="J415">
            <v>200</v>
          </cell>
        </row>
        <row r="416">
          <cell r="C416" t="str">
            <v>推广订单扣款</v>
          </cell>
        </row>
        <row r="416">
          <cell r="H416" t="str">
            <v>观桥店</v>
          </cell>
          <cell r="I416">
            <v>45975</v>
          </cell>
          <cell r="J416">
            <v>-154.05</v>
          </cell>
        </row>
        <row r="417">
          <cell r="C417" t="str">
            <v>推广账户自动充值</v>
          </cell>
        </row>
        <row r="417">
          <cell r="H417" t="str">
            <v>观桥店</v>
          </cell>
          <cell r="I417">
            <v>45974</v>
          </cell>
          <cell r="J417">
            <v>200</v>
          </cell>
        </row>
        <row r="418">
          <cell r="C418" t="str">
            <v>推广订单扣款</v>
          </cell>
        </row>
        <row r="418">
          <cell r="H418" t="str">
            <v>观桥店</v>
          </cell>
          <cell r="I418">
            <v>45974</v>
          </cell>
          <cell r="J418">
            <v>-194.52</v>
          </cell>
        </row>
        <row r="419">
          <cell r="C419" t="str">
            <v>推广账户自动充值</v>
          </cell>
        </row>
        <row r="419">
          <cell r="H419" t="str">
            <v>海口店</v>
          </cell>
          <cell r="I419">
            <v>45976</v>
          </cell>
          <cell r="J419">
            <v>200</v>
          </cell>
        </row>
        <row r="420">
          <cell r="C420" t="str">
            <v>推广订单扣款</v>
          </cell>
        </row>
        <row r="420">
          <cell r="H420" t="str">
            <v>海口店</v>
          </cell>
          <cell r="I420">
            <v>45976</v>
          </cell>
          <cell r="J420">
            <v>-200</v>
          </cell>
        </row>
        <row r="421">
          <cell r="C421" t="str">
            <v>推广账户自动充值</v>
          </cell>
        </row>
        <row r="421">
          <cell r="H421" t="str">
            <v>海口店</v>
          </cell>
          <cell r="I421">
            <v>45975</v>
          </cell>
          <cell r="J421">
            <v>200</v>
          </cell>
        </row>
        <row r="422">
          <cell r="C422" t="str">
            <v>推广订单扣款</v>
          </cell>
        </row>
        <row r="422">
          <cell r="H422" t="str">
            <v>海口店</v>
          </cell>
          <cell r="I422">
            <v>45975</v>
          </cell>
          <cell r="J422">
            <v>-200</v>
          </cell>
        </row>
        <row r="423">
          <cell r="C423" t="str">
            <v>推广账户自动充值</v>
          </cell>
        </row>
        <row r="423">
          <cell r="H423" t="str">
            <v>海口店</v>
          </cell>
          <cell r="I423">
            <v>45974</v>
          </cell>
          <cell r="J423">
            <v>200</v>
          </cell>
        </row>
        <row r="424">
          <cell r="C424" t="str">
            <v>推广订单扣款</v>
          </cell>
        </row>
        <row r="424">
          <cell r="H424" t="str">
            <v>海口店</v>
          </cell>
          <cell r="I424">
            <v>45974</v>
          </cell>
          <cell r="J424">
            <v>-200</v>
          </cell>
        </row>
        <row r="425">
          <cell r="C425" t="str">
            <v>推广账户自动充值</v>
          </cell>
        </row>
        <row r="425">
          <cell r="H425" t="str">
            <v>南安店</v>
          </cell>
          <cell r="I425">
            <v>45976</v>
          </cell>
          <cell r="J425">
            <v>100</v>
          </cell>
        </row>
        <row r="426">
          <cell r="C426" t="str">
            <v>推广订单扣款</v>
          </cell>
        </row>
        <row r="426">
          <cell r="H426" t="str">
            <v>南安店</v>
          </cell>
          <cell r="I426">
            <v>45976</v>
          </cell>
          <cell r="J426">
            <v>-107.3</v>
          </cell>
        </row>
        <row r="427">
          <cell r="C427" t="str">
            <v>推广账户自动充值</v>
          </cell>
        </row>
        <row r="427">
          <cell r="H427" t="str">
            <v>南安店</v>
          </cell>
          <cell r="I427">
            <v>45975</v>
          </cell>
          <cell r="J427">
            <v>100</v>
          </cell>
        </row>
        <row r="428">
          <cell r="C428" t="str">
            <v>推广订单扣款</v>
          </cell>
        </row>
        <row r="428">
          <cell r="H428" t="str">
            <v>南安店</v>
          </cell>
          <cell r="I428">
            <v>45975</v>
          </cell>
          <cell r="J428">
            <v>-97.55</v>
          </cell>
        </row>
        <row r="429">
          <cell r="C429" t="str">
            <v>推广账户自动充值</v>
          </cell>
        </row>
        <row r="429">
          <cell r="H429" t="str">
            <v>南安店</v>
          </cell>
          <cell r="I429">
            <v>45974</v>
          </cell>
          <cell r="J429">
            <v>100</v>
          </cell>
        </row>
        <row r="430">
          <cell r="C430" t="str">
            <v>推广订单扣款</v>
          </cell>
        </row>
        <row r="430">
          <cell r="H430" t="str">
            <v>南安店</v>
          </cell>
          <cell r="I430">
            <v>45974</v>
          </cell>
          <cell r="J430">
            <v>-76.7</v>
          </cell>
        </row>
        <row r="431">
          <cell r="C431" t="str">
            <v>推广账户自动充值</v>
          </cell>
        </row>
        <row r="431">
          <cell r="H431" t="str">
            <v>诚毅店</v>
          </cell>
          <cell r="I431">
            <v>45976</v>
          </cell>
          <cell r="J431">
            <v>200</v>
          </cell>
        </row>
        <row r="432">
          <cell r="C432" t="str">
            <v>推广订单扣款</v>
          </cell>
        </row>
        <row r="432">
          <cell r="H432" t="str">
            <v>诚毅店</v>
          </cell>
          <cell r="I432">
            <v>45976</v>
          </cell>
          <cell r="J432">
            <v>-240.16</v>
          </cell>
        </row>
        <row r="433">
          <cell r="C433" t="str">
            <v>推广账户自动充值</v>
          </cell>
        </row>
        <row r="433">
          <cell r="H433" t="str">
            <v>诚毅店</v>
          </cell>
          <cell r="I433">
            <v>45975</v>
          </cell>
          <cell r="J433">
            <v>200</v>
          </cell>
        </row>
        <row r="434">
          <cell r="C434" t="str">
            <v>推广订单扣款</v>
          </cell>
        </row>
        <row r="434">
          <cell r="H434" t="str">
            <v>诚毅店</v>
          </cell>
          <cell r="I434">
            <v>45975</v>
          </cell>
          <cell r="J434">
            <v>-169.46</v>
          </cell>
        </row>
        <row r="435">
          <cell r="C435" t="str">
            <v>推广账户自动充值</v>
          </cell>
        </row>
        <row r="435">
          <cell r="H435" t="str">
            <v>诚毅店</v>
          </cell>
          <cell r="I435">
            <v>45974</v>
          </cell>
          <cell r="J435">
            <v>200</v>
          </cell>
        </row>
        <row r="436">
          <cell r="C436" t="str">
            <v>推广订单扣款</v>
          </cell>
        </row>
        <row r="436">
          <cell r="H436" t="str">
            <v>诚毅店</v>
          </cell>
          <cell r="I436">
            <v>45974</v>
          </cell>
          <cell r="J436">
            <v>-179.74</v>
          </cell>
        </row>
        <row r="437">
          <cell r="C437" t="str">
            <v>推广账户自动充值</v>
          </cell>
        </row>
        <row r="437">
          <cell r="H437" t="str">
            <v>首山店</v>
          </cell>
          <cell r="I437">
            <v>45976</v>
          </cell>
          <cell r="J437">
            <v>200</v>
          </cell>
        </row>
        <row r="438">
          <cell r="C438" t="str">
            <v>推广订单扣款</v>
          </cell>
        </row>
        <row r="438">
          <cell r="H438" t="str">
            <v>首山店</v>
          </cell>
          <cell r="I438">
            <v>45976</v>
          </cell>
          <cell r="J438">
            <v>-258.32</v>
          </cell>
        </row>
        <row r="439">
          <cell r="C439" t="str">
            <v>推广账户自动充值</v>
          </cell>
        </row>
        <row r="439">
          <cell r="H439" t="str">
            <v>首山店</v>
          </cell>
          <cell r="I439">
            <v>45975</v>
          </cell>
          <cell r="J439">
            <v>200</v>
          </cell>
        </row>
        <row r="440">
          <cell r="C440" t="str">
            <v>推广订单扣款</v>
          </cell>
        </row>
        <row r="440">
          <cell r="H440" t="str">
            <v>首山店</v>
          </cell>
          <cell r="I440">
            <v>45975</v>
          </cell>
          <cell r="J440">
            <v>-210.8</v>
          </cell>
        </row>
        <row r="441">
          <cell r="C441" t="str">
            <v>推广账户自动充值</v>
          </cell>
        </row>
        <row r="441">
          <cell r="H441" t="str">
            <v>首山店</v>
          </cell>
          <cell r="I441">
            <v>45974</v>
          </cell>
          <cell r="J441">
            <v>200</v>
          </cell>
        </row>
        <row r="442">
          <cell r="C442" t="str">
            <v>推广订单扣款</v>
          </cell>
        </row>
        <row r="442">
          <cell r="H442" t="str">
            <v>首山店</v>
          </cell>
          <cell r="I442">
            <v>45974</v>
          </cell>
          <cell r="J442">
            <v>-146.6</v>
          </cell>
        </row>
        <row r="443">
          <cell r="C443" t="str">
            <v>推广账户自动充值</v>
          </cell>
        </row>
        <row r="443">
          <cell r="H443" t="str">
            <v>首南店</v>
          </cell>
          <cell r="I443">
            <v>45976</v>
          </cell>
          <cell r="J443">
            <v>200</v>
          </cell>
        </row>
        <row r="444">
          <cell r="C444" t="str">
            <v>推广订单扣款</v>
          </cell>
        </row>
        <row r="444">
          <cell r="H444" t="str">
            <v>首南店</v>
          </cell>
          <cell r="I444">
            <v>45976</v>
          </cell>
          <cell r="J444">
            <v>-188.58</v>
          </cell>
        </row>
        <row r="445">
          <cell r="C445" t="str">
            <v>推广账户自动充值</v>
          </cell>
        </row>
        <row r="445">
          <cell r="H445" t="str">
            <v>首南店</v>
          </cell>
          <cell r="I445">
            <v>45975</v>
          </cell>
          <cell r="J445">
            <v>200</v>
          </cell>
        </row>
        <row r="446">
          <cell r="C446" t="str">
            <v>推广订单扣款</v>
          </cell>
        </row>
        <row r="446">
          <cell r="H446" t="str">
            <v>首南店</v>
          </cell>
          <cell r="I446">
            <v>45975</v>
          </cell>
          <cell r="J446">
            <v>-158.49</v>
          </cell>
        </row>
        <row r="447">
          <cell r="C447" t="str">
            <v>推广账户自动充值</v>
          </cell>
        </row>
        <row r="447">
          <cell r="H447" t="str">
            <v>首南店</v>
          </cell>
          <cell r="I447">
            <v>45974</v>
          </cell>
          <cell r="J447">
            <v>200</v>
          </cell>
        </row>
        <row r="448">
          <cell r="C448" t="str">
            <v>推广订单扣款</v>
          </cell>
        </row>
        <row r="448">
          <cell r="H448" t="str">
            <v>首南店</v>
          </cell>
          <cell r="I448">
            <v>45974</v>
          </cell>
          <cell r="J448">
            <v>-249.01</v>
          </cell>
        </row>
        <row r="449">
          <cell r="C449" t="str">
            <v>推广账户自动充值</v>
          </cell>
        </row>
        <row r="449">
          <cell r="H449" t="str">
            <v>余杭店</v>
          </cell>
          <cell r="I449">
            <v>45976</v>
          </cell>
          <cell r="J449">
            <v>200</v>
          </cell>
        </row>
        <row r="450">
          <cell r="C450" t="str">
            <v>推广订单扣款</v>
          </cell>
        </row>
        <row r="450">
          <cell r="H450" t="str">
            <v>余杭店</v>
          </cell>
          <cell r="I450">
            <v>45976</v>
          </cell>
          <cell r="J450">
            <v>-259.68</v>
          </cell>
        </row>
        <row r="451">
          <cell r="C451" t="str">
            <v>推广账户自动充值</v>
          </cell>
        </row>
        <row r="451">
          <cell r="H451" t="str">
            <v>余杭店</v>
          </cell>
          <cell r="I451">
            <v>45975</v>
          </cell>
          <cell r="J451">
            <v>200</v>
          </cell>
        </row>
        <row r="452">
          <cell r="C452" t="str">
            <v>推广账户自动充值</v>
          </cell>
        </row>
        <row r="452">
          <cell r="H452" t="str">
            <v>余杭店</v>
          </cell>
          <cell r="I452">
            <v>45975</v>
          </cell>
          <cell r="J452">
            <v>200</v>
          </cell>
        </row>
        <row r="453">
          <cell r="C453" t="str">
            <v>推广订单扣款</v>
          </cell>
        </row>
        <row r="453">
          <cell r="H453" t="str">
            <v>余杭店</v>
          </cell>
          <cell r="I453">
            <v>45975</v>
          </cell>
          <cell r="J453">
            <v>-204.62</v>
          </cell>
        </row>
        <row r="454">
          <cell r="C454" t="str">
            <v>推广账户自动充值</v>
          </cell>
        </row>
        <row r="454">
          <cell r="H454" t="str">
            <v>余杭店</v>
          </cell>
          <cell r="I454">
            <v>45974</v>
          </cell>
          <cell r="J454">
            <v>200</v>
          </cell>
        </row>
        <row r="455">
          <cell r="C455" t="str">
            <v>推广订单扣款</v>
          </cell>
        </row>
        <row r="455">
          <cell r="H455" t="str">
            <v>余杭店</v>
          </cell>
          <cell r="I455">
            <v>45974</v>
          </cell>
          <cell r="J455">
            <v>-251.8</v>
          </cell>
        </row>
        <row r="456">
          <cell r="C456" t="str">
            <v>推广订单扣款</v>
          </cell>
        </row>
        <row r="456">
          <cell r="H456" t="str">
            <v>东海店</v>
          </cell>
          <cell r="I456">
            <v>45976</v>
          </cell>
          <cell r="J456">
            <v>-74.41</v>
          </cell>
        </row>
        <row r="457">
          <cell r="C457" t="str">
            <v>推广订单扣款</v>
          </cell>
        </row>
        <row r="457">
          <cell r="H457" t="str">
            <v>东海店</v>
          </cell>
          <cell r="I457">
            <v>45975</v>
          </cell>
          <cell r="J457">
            <v>-94.57</v>
          </cell>
        </row>
        <row r="458">
          <cell r="C458" t="str">
            <v>推广账户自动充值</v>
          </cell>
        </row>
        <row r="458">
          <cell r="H458" t="str">
            <v>东海店</v>
          </cell>
          <cell r="I458">
            <v>45974</v>
          </cell>
          <cell r="J458">
            <v>200</v>
          </cell>
        </row>
        <row r="459">
          <cell r="C459" t="str">
            <v>推广订单扣款</v>
          </cell>
        </row>
        <row r="459">
          <cell r="H459" t="str">
            <v>东海店</v>
          </cell>
          <cell r="I459">
            <v>45974</v>
          </cell>
          <cell r="J459">
            <v>-82.92</v>
          </cell>
        </row>
        <row r="460">
          <cell r="C460" t="str">
            <v>推广账户自动充值</v>
          </cell>
        </row>
        <row r="460">
          <cell r="H460" t="str">
            <v>文灶店</v>
          </cell>
          <cell r="I460">
            <v>45976</v>
          </cell>
          <cell r="J460">
            <v>200</v>
          </cell>
        </row>
        <row r="461">
          <cell r="C461" t="str">
            <v>推广订单扣款</v>
          </cell>
        </row>
        <row r="461">
          <cell r="H461" t="str">
            <v>文灶店</v>
          </cell>
          <cell r="I461">
            <v>45976</v>
          </cell>
          <cell r="J461">
            <v>-285.02</v>
          </cell>
        </row>
        <row r="462">
          <cell r="C462" t="str">
            <v>推广账户自动充值</v>
          </cell>
        </row>
        <row r="462">
          <cell r="H462" t="str">
            <v>文灶店</v>
          </cell>
          <cell r="I462">
            <v>45975</v>
          </cell>
          <cell r="J462">
            <v>200</v>
          </cell>
        </row>
        <row r="463">
          <cell r="C463" t="str">
            <v>推广订单扣款</v>
          </cell>
        </row>
        <row r="463">
          <cell r="H463" t="str">
            <v>文灶店</v>
          </cell>
          <cell r="I463">
            <v>45975</v>
          </cell>
          <cell r="J463">
            <v>-233.12</v>
          </cell>
        </row>
        <row r="464">
          <cell r="C464" t="str">
            <v>推广账户充值</v>
          </cell>
        </row>
        <row r="464">
          <cell r="H464" t="str">
            <v>文灶店</v>
          </cell>
          <cell r="I464">
            <v>45974</v>
          </cell>
          <cell r="J464">
            <v>200</v>
          </cell>
        </row>
        <row r="465">
          <cell r="C465" t="str">
            <v>推广账户自动充值</v>
          </cell>
        </row>
        <row r="465">
          <cell r="H465" t="str">
            <v>文灶店</v>
          </cell>
          <cell r="I465">
            <v>45974</v>
          </cell>
          <cell r="J465">
            <v>200</v>
          </cell>
        </row>
        <row r="466">
          <cell r="C466" t="str">
            <v>推广订单扣款</v>
          </cell>
        </row>
        <row r="466">
          <cell r="H466" t="str">
            <v>文灶店</v>
          </cell>
          <cell r="I466">
            <v>45974</v>
          </cell>
          <cell r="J466">
            <v>-159.29</v>
          </cell>
        </row>
        <row r="467">
          <cell r="C467" t="str">
            <v>推广账户自动充值</v>
          </cell>
        </row>
        <row r="467">
          <cell r="H467" t="str">
            <v>湖里店</v>
          </cell>
          <cell r="I467">
            <v>45977</v>
          </cell>
          <cell r="J467">
            <v>200</v>
          </cell>
        </row>
        <row r="468">
          <cell r="C468" t="str">
            <v>推广订单扣款</v>
          </cell>
        </row>
        <row r="468">
          <cell r="H468" t="str">
            <v>湖里店</v>
          </cell>
          <cell r="I468">
            <v>45977</v>
          </cell>
          <cell r="J468">
            <v>-213.71</v>
          </cell>
        </row>
        <row r="469">
          <cell r="C469" t="str">
            <v>推广账户自动充值</v>
          </cell>
        </row>
        <row r="469">
          <cell r="H469" t="str">
            <v>东新店</v>
          </cell>
          <cell r="I469">
            <v>45977</v>
          </cell>
          <cell r="J469">
            <v>200</v>
          </cell>
        </row>
        <row r="470">
          <cell r="C470" t="str">
            <v>推广订单扣款</v>
          </cell>
        </row>
        <row r="470">
          <cell r="H470" t="str">
            <v>东新店</v>
          </cell>
          <cell r="I470">
            <v>45977</v>
          </cell>
          <cell r="J470">
            <v>-163.11</v>
          </cell>
        </row>
        <row r="471">
          <cell r="C471" t="str">
            <v>推广账户自动充值</v>
          </cell>
        </row>
        <row r="471">
          <cell r="H471" t="str">
            <v>启点店</v>
          </cell>
          <cell r="I471">
            <v>45977</v>
          </cell>
          <cell r="J471">
            <v>200</v>
          </cell>
        </row>
        <row r="472">
          <cell r="C472" t="str">
            <v>推广账户自动充值</v>
          </cell>
        </row>
        <row r="472">
          <cell r="H472" t="str">
            <v>启点店</v>
          </cell>
          <cell r="I472">
            <v>45977</v>
          </cell>
          <cell r="J472">
            <v>200</v>
          </cell>
        </row>
        <row r="473">
          <cell r="C473" t="str">
            <v>推广订单扣款</v>
          </cell>
        </row>
        <row r="473">
          <cell r="H473" t="str">
            <v>启点店</v>
          </cell>
          <cell r="I473">
            <v>45977</v>
          </cell>
          <cell r="J473">
            <v>-203.19</v>
          </cell>
        </row>
        <row r="474">
          <cell r="C474" t="str">
            <v>推广订单扣款</v>
          </cell>
        </row>
        <row r="474">
          <cell r="H474" t="str">
            <v>高新店</v>
          </cell>
          <cell r="I474">
            <v>45977</v>
          </cell>
          <cell r="J474">
            <v>-194</v>
          </cell>
        </row>
        <row r="475">
          <cell r="C475" t="str">
            <v>推广订单扣款</v>
          </cell>
        </row>
        <row r="475">
          <cell r="H475" t="str">
            <v>成华店</v>
          </cell>
          <cell r="I475">
            <v>45977</v>
          </cell>
          <cell r="J475">
            <v>-130</v>
          </cell>
        </row>
        <row r="476">
          <cell r="C476" t="str">
            <v>推广订单扣款</v>
          </cell>
        </row>
        <row r="476">
          <cell r="H476" t="str">
            <v>金牛店</v>
          </cell>
          <cell r="I476">
            <v>45977</v>
          </cell>
          <cell r="J476">
            <v>-131.64</v>
          </cell>
        </row>
        <row r="477">
          <cell r="C477" t="str">
            <v>推广账户自动充值</v>
          </cell>
        </row>
        <row r="477">
          <cell r="H477" t="str">
            <v>西山店</v>
          </cell>
          <cell r="I477">
            <v>45977</v>
          </cell>
          <cell r="J477">
            <v>200</v>
          </cell>
        </row>
        <row r="478">
          <cell r="C478" t="str">
            <v>推广订单扣款</v>
          </cell>
        </row>
        <row r="478">
          <cell r="H478" t="str">
            <v>西山店</v>
          </cell>
          <cell r="I478">
            <v>45977</v>
          </cell>
          <cell r="J478">
            <v>-132.71</v>
          </cell>
        </row>
        <row r="479">
          <cell r="C479" t="str">
            <v>推广订单扣款</v>
          </cell>
        </row>
        <row r="479">
          <cell r="H479" t="str">
            <v>沙坪坝店</v>
          </cell>
          <cell r="I479">
            <v>45977</v>
          </cell>
          <cell r="J479">
            <v>-51.3</v>
          </cell>
        </row>
        <row r="480">
          <cell r="C480" t="str">
            <v>推广账户自动充值</v>
          </cell>
        </row>
        <row r="480">
          <cell r="H480" t="str">
            <v>凤城二路店</v>
          </cell>
          <cell r="I480">
            <v>45977</v>
          </cell>
          <cell r="J480">
            <v>200</v>
          </cell>
        </row>
        <row r="481">
          <cell r="C481" t="str">
            <v>推广账户自动充值</v>
          </cell>
        </row>
        <row r="481">
          <cell r="H481" t="str">
            <v>凤城二路店</v>
          </cell>
          <cell r="I481">
            <v>45977</v>
          </cell>
          <cell r="J481">
            <v>200</v>
          </cell>
        </row>
        <row r="482">
          <cell r="C482" t="str">
            <v>推广订单扣款</v>
          </cell>
        </row>
        <row r="482">
          <cell r="H482" t="str">
            <v>凤城二路店</v>
          </cell>
          <cell r="I482">
            <v>45977</v>
          </cell>
          <cell r="J482">
            <v>-374.27</v>
          </cell>
        </row>
        <row r="483">
          <cell r="C483" t="str">
            <v>推广账户自动充值</v>
          </cell>
        </row>
        <row r="483">
          <cell r="H483" t="str">
            <v>大坪店</v>
          </cell>
          <cell r="I483">
            <v>45977</v>
          </cell>
          <cell r="J483">
            <v>200</v>
          </cell>
        </row>
        <row r="484">
          <cell r="C484" t="str">
            <v>推广订单扣款</v>
          </cell>
        </row>
        <row r="484">
          <cell r="H484" t="str">
            <v>大坪店</v>
          </cell>
          <cell r="I484">
            <v>45977</v>
          </cell>
          <cell r="J484">
            <v>-164.55</v>
          </cell>
        </row>
        <row r="485">
          <cell r="C485" t="str">
            <v>推广账户自动充值</v>
          </cell>
        </row>
        <row r="485">
          <cell r="H485" t="str">
            <v>五华店</v>
          </cell>
          <cell r="I485">
            <v>45977</v>
          </cell>
          <cell r="J485">
            <v>200</v>
          </cell>
        </row>
        <row r="486">
          <cell r="C486" t="str">
            <v>推广订单扣款</v>
          </cell>
        </row>
        <row r="486">
          <cell r="H486" t="str">
            <v>五华店</v>
          </cell>
          <cell r="I486">
            <v>45977</v>
          </cell>
          <cell r="J486">
            <v>-143.35</v>
          </cell>
        </row>
        <row r="487">
          <cell r="C487" t="str">
            <v>推广账户自动充值</v>
          </cell>
        </row>
        <row r="487">
          <cell r="H487" t="str">
            <v>官渡店</v>
          </cell>
          <cell r="I487">
            <v>45977</v>
          </cell>
          <cell r="J487">
            <v>200</v>
          </cell>
        </row>
        <row r="488">
          <cell r="C488" t="str">
            <v>推广订单扣款</v>
          </cell>
        </row>
        <row r="488">
          <cell r="H488" t="str">
            <v>官渡店</v>
          </cell>
          <cell r="I488">
            <v>45977</v>
          </cell>
          <cell r="J488">
            <v>-158.59</v>
          </cell>
        </row>
        <row r="489">
          <cell r="C489" t="str">
            <v>推广订单扣款</v>
          </cell>
        </row>
        <row r="489">
          <cell r="H489" t="str">
            <v>百捷店</v>
          </cell>
          <cell r="I489">
            <v>45977</v>
          </cell>
          <cell r="J489">
            <v>-97.67</v>
          </cell>
        </row>
        <row r="490">
          <cell r="C490" t="str">
            <v>推广账户自动充值</v>
          </cell>
        </row>
        <row r="490">
          <cell r="H490" t="str">
            <v>济南店</v>
          </cell>
          <cell r="I490">
            <v>45977</v>
          </cell>
          <cell r="J490">
            <v>200</v>
          </cell>
        </row>
        <row r="491">
          <cell r="C491" t="str">
            <v>推广账户自动充值</v>
          </cell>
        </row>
        <row r="491">
          <cell r="H491" t="str">
            <v>济南店</v>
          </cell>
          <cell r="I491">
            <v>45977</v>
          </cell>
          <cell r="J491">
            <v>200</v>
          </cell>
        </row>
        <row r="492">
          <cell r="C492" t="str">
            <v>推广订单扣款</v>
          </cell>
        </row>
        <row r="492">
          <cell r="H492" t="str">
            <v>济南店</v>
          </cell>
          <cell r="I492">
            <v>45977</v>
          </cell>
          <cell r="J492">
            <v>-286.94</v>
          </cell>
        </row>
        <row r="493">
          <cell r="C493" t="str">
            <v>推广账户自动充值</v>
          </cell>
        </row>
        <row r="493">
          <cell r="H493" t="str">
            <v>观音桥店</v>
          </cell>
          <cell r="I493">
            <v>45977</v>
          </cell>
          <cell r="J493">
            <v>200</v>
          </cell>
        </row>
        <row r="494">
          <cell r="C494" t="str">
            <v>推广账户自动充值</v>
          </cell>
        </row>
        <row r="494">
          <cell r="H494" t="str">
            <v>观音桥店</v>
          </cell>
          <cell r="I494">
            <v>45977</v>
          </cell>
          <cell r="J494">
            <v>200</v>
          </cell>
        </row>
        <row r="495">
          <cell r="C495" t="str">
            <v>推广订单扣款</v>
          </cell>
        </row>
        <row r="495">
          <cell r="H495" t="str">
            <v>观音桥店</v>
          </cell>
          <cell r="I495">
            <v>45977</v>
          </cell>
          <cell r="J495">
            <v>-307.44</v>
          </cell>
        </row>
        <row r="496">
          <cell r="C496" t="str">
            <v>推广账户自动充值</v>
          </cell>
        </row>
        <row r="496">
          <cell r="H496" t="str">
            <v>长沙店</v>
          </cell>
          <cell r="I496">
            <v>45977</v>
          </cell>
          <cell r="J496">
            <v>200</v>
          </cell>
        </row>
        <row r="497">
          <cell r="C497" t="str">
            <v>推广订单扣款</v>
          </cell>
        </row>
        <row r="497">
          <cell r="H497" t="str">
            <v>长沙店</v>
          </cell>
          <cell r="I497">
            <v>45977</v>
          </cell>
          <cell r="J497">
            <v>-154.52</v>
          </cell>
        </row>
        <row r="498">
          <cell r="C498" t="str">
            <v>推广账户自动充值</v>
          </cell>
        </row>
        <row r="498">
          <cell r="H498" t="str">
            <v>五路口店</v>
          </cell>
          <cell r="I498">
            <v>45977</v>
          </cell>
          <cell r="J498">
            <v>200</v>
          </cell>
        </row>
        <row r="499">
          <cell r="C499" t="str">
            <v>推广账户自动充值</v>
          </cell>
        </row>
        <row r="499">
          <cell r="H499" t="str">
            <v>五路口店</v>
          </cell>
          <cell r="I499">
            <v>45977</v>
          </cell>
          <cell r="J499">
            <v>200</v>
          </cell>
        </row>
        <row r="500">
          <cell r="C500" t="str">
            <v>推广订单扣款</v>
          </cell>
        </row>
        <row r="500">
          <cell r="H500" t="str">
            <v>五路口店</v>
          </cell>
          <cell r="I500">
            <v>45977</v>
          </cell>
          <cell r="J500">
            <v>-338.61</v>
          </cell>
        </row>
        <row r="501">
          <cell r="C501" t="str">
            <v>推广账户自动充值</v>
          </cell>
        </row>
        <row r="501">
          <cell r="H501" t="str">
            <v>青羊店</v>
          </cell>
          <cell r="I501">
            <v>45977</v>
          </cell>
          <cell r="J501">
            <v>200</v>
          </cell>
        </row>
        <row r="502">
          <cell r="C502" t="str">
            <v>推广订单扣款</v>
          </cell>
        </row>
        <row r="502">
          <cell r="H502" t="str">
            <v>青羊店</v>
          </cell>
          <cell r="I502">
            <v>45977</v>
          </cell>
          <cell r="J502">
            <v>-109.08</v>
          </cell>
        </row>
        <row r="503">
          <cell r="C503" t="str">
            <v>推广订单扣款</v>
          </cell>
        </row>
        <row r="503">
          <cell r="H503" t="str">
            <v>武侯店</v>
          </cell>
          <cell r="I503">
            <v>45977</v>
          </cell>
          <cell r="J503">
            <v>-57.55</v>
          </cell>
        </row>
        <row r="504">
          <cell r="C504" t="str">
            <v>推广账户自动充值</v>
          </cell>
        </row>
        <row r="504">
          <cell r="H504" t="str">
            <v>鼓楼店</v>
          </cell>
          <cell r="I504">
            <v>45977</v>
          </cell>
          <cell r="J504">
            <v>200</v>
          </cell>
        </row>
        <row r="505">
          <cell r="C505" t="str">
            <v>推广账户自动充值</v>
          </cell>
        </row>
        <row r="505">
          <cell r="H505" t="str">
            <v>鼓楼店</v>
          </cell>
          <cell r="I505">
            <v>45977</v>
          </cell>
          <cell r="J505">
            <v>200</v>
          </cell>
        </row>
        <row r="506">
          <cell r="C506" t="str">
            <v>推广订单扣款</v>
          </cell>
        </row>
        <row r="506">
          <cell r="H506" t="str">
            <v>鼓楼店</v>
          </cell>
          <cell r="I506">
            <v>45977</v>
          </cell>
          <cell r="J506">
            <v>-299.71</v>
          </cell>
        </row>
        <row r="507">
          <cell r="C507" t="str">
            <v>推广账户自动充值</v>
          </cell>
        </row>
        <row r="507">
          <cell r="H507" t="str">
            <v>黄雁村店</v>
          </cell>
          <cell r="I507">
            <v>45977</v>
          </cell>
          <cell r="J507">
            <v>200</v>
          </cell>
        </row>
        <row r="508">
          <cell r="C508" t="str">
            <v>推广账户自动充值</v>
          </cell>
        </row>
        <row r="508">
          <cell r="H508" t="str">
            <v>黄雁村店</v>
          </cell>
          <cell r="I508">
            <v>45977</v>
          </cell>
          <cell r="J508">
            <v>200</v>
          </cell>
        </row>
        <row r="509">
          <cell r="C509" t="str">
            <v>推广订单扣款</v>
          </cell>
        </row>
        <row r="509">
          <cell r="H509" t="str">
            <v>黄雁村店</v>
          </cell>
          <cell r="I509">
            <v>45977</v>
          </cell>
          <cell r="J509">
            <v>-269.99</v>
          </cell>
        </row>
        <row r="510">
          <cell r="C510" t="str">
            <v>推广订单扣款</v>
          </cell>
        </row>
        <row r="510">
          <cell r="H510" t="str">
            <v>西湖店</v>
          </cell>
          <cell r="I510">
            <v>45977</v>
          </cell>
          <cell r="J510">
            <v>-100.82</v>
          </cell>
        </row>
        <row r="511">
          <cell r="C511" t="str">
            <v>推广账户自动充值</v>
          </cell>
        </row>
        <row r="511">
          <cell r="H511" t="str">
            <v>百丈店</v>
          </cell>
          <cell r="I511">
            <v>45977</v>
          </cell>
          <cell r="J511">
            <v>200</v>
          </cell>
        </row>
        <row r="512">
          <cell r="C512" t="str">
            <v>推广订单扣款</v>
          </cell>
        </row>
        <row r="512">
          <cell r="H512" t="str">
            <v>百丈店</v>
          </cell>
          <cell r="I512">
            <v>45977</v>
          </cell>
          <cell r="J512">
            <v>-121.75</v>
          </cell>
        </row>
        <row r="513">
          <cell r="C513" t="str">
            <v>推广账户自动充值</v>
          </cell>
        </row>
        <row r="513">
          <cell r="H513" t="str">
            <v>文昌店</v>
          </cell>
          <cell r="I513">
            <v>45977</v>
          </cell>
          <cell r="J513">
            <v>200</v>
          </cell>
        </row>
        <row r="514">
          <cell r="C514" t="str">
            <v>推广订单扣款</v>
          </cell>
        </row>
        <row r="514">
          <cell r="H514" t="str">
            <v>文昌店</v>
          </cell>
          <cell r="I514">
            <v>45977</v>
          </cell>
          <cell r="J514">
            <v>-196.51</v>
          </cell>
        </row>
        <row r="515">
          <cell r="C515" t="str">
            <v>推广账户自动充值</v>
          </cell>
        </row>
        <row r="515">
          <cell r="H515" t="str">
            <v>观桥店</v>
          </cell>
          <cell r="I515">
            <v>45977</v>
          </cell>
          <cell r="J515">
            <v>200</v>
          </cell>
        </row>
        <row r="516">
          <cell r="C516" t="str">
            <v>推广订单扣款</v>
          </cell>
        </row>
        <row r="516">
          <cell r="H516" t="str">
            <v>观桥店</v>
          </cell>
          <cell r="I516">
            <v>45977</v>
          </cell>
          <cell r="J516">
            <v>-230.69</v>
          </cell>
        </row>
        <row r="517">
          <cell r="C517" t="str">
            <v>推广账户自动充值</v>
          </cell>
        </row>
        <row r="517">
          <cell r="H517" t="str">
            <v>海口店</v>
          </cell>
          <cell r="I517">
            <v>45977</v>
          </cell>
          <cell r="J517">
            <v>200</v>
          </cell>
        </row>
        <row r="518">
          <cell r="C518" t="str">
            <v>推广订单扣款</v>
          </cell>
        </row>
        <row r="518">
          <cell r="H518" t="str">
            <v>海口店</v>
          </cell>
          <cell r="I518">
            <v>45977</v>
          </cell>
          <cell r="J518">
            <v>-200</v>
          </cell>
        </row>
        <row r="519">
          <cell r="C519" t="str">
            <v>推广账户自动充值</v>
          </cell>
        </row>
        <row r="519">
          <cell r="H519" t="str">
            <v>南安店</v>
          </cell>
          <cell r="I519">
            <v>45977</v>
          </cell>
          <cell r="J519">
            <v>100</v>
          </cell>
        </row>
        <row r="520">
          <cell r="C520" t="str">
            <v>推广订单扣款</v>
          </cell>
        </row>
        <row r="520">
          <cell r="H520" t="str">
            <v>南安店</v>
          </cell>
          <cell r="I520">
            <v>45977</v>
          </cell>
          <cell r="J520">
            <v>-100.69</v>
          </cell>
        </row>
        <row r="521">
          <cell r="C521" t="str">
            <v>推广账户自动充值</v>
          </cell>
        </row>
        <row r="521">
          <cell r="H521" t="str">
            <v>诚毅店</v>
          </cell>
          <cell r="I521">
            <v>45977</v>
          </cell>
          <cell r="J521">
            <v>200</v>
          </cell>
        </row>
        <row r="522">
          <cell r="C522" t="str">
            <v>推广订单扣款</v>
          </cell>
        </row>
        <row r="522">
          <cell r="H522" t="str">
            <v>诚毅店</v>
          </cell>
          <cell r="I522">
            <v>45977</v>
          </cell>
          <cell r="J522">
            <v>-192.93</v>
          </cell>
        </row>
        <row r="523">
          <cell r="C523" t="str">
            <v>推广账户自动充值</v>
          </cell>
        </row>
        <row r="523">
          <cell r="H523" t="str">
            <v>首山店</v>
          </cell>
          <cell r="I523">
            <v>45977</v>
          </cell>
          <cell r="J523">
            <v>200</v>
          </cell>
        </row>
        <row r="524">
          <cell r="C524" t="str">
            <v>推广订单扣款</v>
          </cell>
        </row>
        <row r="524">
          <cell r="H524" t="str">
            <v>首山店</v>
          </cell>
          <cell r="I524">
            <v>45977</v>
          </cell>
          <cell r="J524">
            <v>-178.16</v>
          </cell>
        </row>
        <row r="525">
          <cell r="C525" t="str">
            <v>推广账户自动充值</v>
          </cell>
        </row>
        <row r="525">
          <cell r="H525" t="str">
            <v>首南店</v>
          </cell>
          <cell r="I525">
            <v>45977</v>
          </cell>
          <cell r="J525">
            <v>200</v>
          </cell>
        </row>
        <row r="526">
          <cell r="C526" t="str">
            <v>推广订单扣款</v>
          </cell>
        </row>
        <row r="526">
          <cell r="H526" t="str">
            <v>首南店</v>
          </cell>
          <cell r="I526">
            <v>45977</v>
          </cell>
          <cell r="J526">
            <v>-205.28</v>
          </cell>
        </row>
        <row r="527">
          <cell r="C527" t="str">
            <v>推广账户自动充值</v>
          </cell>
        </row>
        <row r="527">
          <cell r="H527" t="str">
            <v>余杭店</v>
          </cell>
          <cell r="I527">
            <v>45977</v>
          </cell>
          <cell r="J527">
            <v>200</v>
          </cell>
        </row>
        <row r="528">
          <cell r="C528" t="str">
            <v>推广订单扣款</v>
          </cell>
        </row>
        <row r="528">
          <cell r="H528" t="str">
            <v>余杭店</v>
          </cell>
          <cell r="I528">
            <v>45977</v>
          </cell>
          <cell r="J528">
            <v>-200</v>
          </cell>
        </row>
        <row r="529">
          <cell r="C529" t="str">
            <v>推广账户自动充值</v>
          </cell>
        </row>
        <row r="529">
          <cell r="H529" t="str">
            <v>东海店</v>
          </cell>
          <cell r="I529">
            <v>45977</v>
          </cell>
          <cell r="J529">
            <v>200</v>
          </cell>
        </row>
        <row r="530">
          <cell r="C530" t="str">
            <v>推广订单扣款</v>
          </cell>
        </row>
        <row r="530">
          <cell r="H530" t="str">
            <v>东海店</v>
          </cell>
          <cell r="I530">
            <v>45977</v>
          </cell>
          <cell r="J530">
            <v>-86.26</v>
          </cell>
        </row>
        <row r="531">
          <cell r="C531" t="str">
            <v>推广账户自动充值</v>
          </cell>
        </row>
        <row r="531">
          <cell r="H531" t="str">
            <v>文灶店</v>
          </cell>
          <cell r="I531">
            <v>45977</v>
          </cell>
          <cell r="J531">
            <v>200</v>
          </cell>
        </row>
        <row r="532">
          <cell r="C532" t="str">
            <v>推广订单扣款</v>
          </cell>
        </row>
        <row r="532">
          <cell r="H532" t="str">
            <v>文灶店</v>
          </cell>
          <cell r="I532">
            <v>45977</v>
          </cell>
          <cell r="J532">
            <v>-248.53</v>
          </cell>
        </row>
        <row r="533">
          <cell r="C533" t="str">
            <v>推广账户自动充值</v>
          </cell>
        </row>
        <row r="533">
          <cell r="H533" t="str">
            <v>华信店</v>
          </cell>
          <cell r="I533">
            <v>45977</v>
          </cell>
          <cell r="J533">
            <v>200</v>
          </cell>
        </row>
        <row r="534">
          <cell r="C534" t="str">
            <v>推广订单扣款</v>
          </cell>
        </row>
        <row r="534">
          <cell r="H534" t="str">
            <v>华信店</v>
          </cell>
          <cell r="I534">
            <v>45977</v>
          </cell>
          <cell r="J534">
            <v>-180</v>
          </cell>
        </row>
        <row r="535">
          <cell r="C535" t="str">
            <v>推广账户自动充值</v>
          </cell>
        </row>
        <row r="535">
          <cell r="H535" t="str">
            <v>华信店</v>
          </cell>
          <cell r="I535">
            <v>45978</v>
          </cell>
          <cell r="J535">
            <v>200</v>
          </cell>
        </row>
        <row r="536">
          <cell r="C536" t="str">
            <v>推广订单扣款</v>
          </cell>
        </row>
        <row r="536">
          <cell r="H536" t="str">
            <v>华信店</v>
          </cell>
          <cell r="I536">
            <v>45978</v>
          </cell>
          <cell r="J536">
            <v>-180</v>
          </cell>
        </row>
        <row r="537">
          <cell r="C537" t="str">
            <v>推广账户自动充值</v>
          </cell>
        </row>
        <row r="537">
          <cell r="H537" t="str">
            <v>湖里店</v>
          </cell>
          <cell r="I537">
            <v>45978</v>
          </cell>
          <cell r="J537">
            <v>200</v>
          </cell>
        </row>
        <row r="538">
          <cell r="C538" t="str">
            <v>推广订单扣款</v>
          </cell>
        </row>
        <row r="538">
          <cell r="H538" t="str">
            <v>湖里店</v>
          </cell>
          <cell r="I538">
            <v>45978</v>
          </cell>
          <cell r="J538">
            <v>-144.86</v>
          </cell>
        </row>
        <row r="539">
          <cell r="C539" t="str">
            <v>推广账户自动充值</v>
          </cell>
        </row>
        <row r="539">
          <cell r="H539" t="str">
            <v>东新店</v>
          </cell>
          <cell r="I539">
            <v>45978</v>
          </cell>
          <cell r="J539">
            <v>200</v>
          </cell>
        </row>
        <row r="540">
          <cell r="C540" t="str">
            <v>推广订单扣款</v>
          </cell>
        </row>
        <row r="540">
          <cell r="H540" t="str">
            <v>东新店</v>
          </cell>
          <cell r="I540">
            <v>45978</v>
          </cell>
          <cell r="J540">
            <v>-202.2</v>
          </cell>
        </row>
        <row r="541">
          <cell r="C541" t="str">
            <v>推广账户自动充值</v>
          </cell>
        </row>
        <row r="541">
          <cell r="H541" t="str">
            <v>启点店</v>
          </cell>
          <cell r="I541">
            <v>45978</v>
          </cell>
          <cell r="J541">
            <v>200</v>
          </cell>
        </row>
        <row r="542">
          <cell r="C542" t="str">
            <v>推广订单扣款</v>
          </cell>
        </row>
        <row r="542">
          <cell r="H542" t="str">
            <v>启点店</v>
          </cell>
          <cell r="I542">
            <v>45978</v>
          </cell>
          <cell r="J542">
            <v>-249.69</v>
          </cell>
        </row>
        <row r="543">
          <cell r="C543" t="str">
            <v>推广账户自动充值</v>
          </cell>
        </row>
        <row r="543">
          <cell r="H543" t="str">
            <v>高新店</v>
          </cell>
          <cell r="I543">
            <v>45978</v>
          </cell>
          <cell r="J543">
            <v>200</v>
          </cell>
        </row>
        <row r="544">
          <cell r="C544" t="str">
            <v>推广订单扣款</v>
          </cell>
        </row>
        <row r="544">
          <cell r="H544" t="str">
            <v>高新店</v>
          </cell>
          <cell r="I544">
            <v>45978</v>
          </cell>
          <cell r="J544">
            <v>-172.7</v>
          </cell>
        </row>
        <row r="545">
          <cell r="C545" t="str">
            <v>推广账户自动充值</v>
          </cell>
        </row>
        <row r="545">
          <cell r="H545" t="str">
            <v>成华店</v>
          </cell>
          <cell r="I545">
            <v>45978</v>
          </cell>
          <cell r="J545">
            <v>200</v>
          </cell>
        </row>
        <row r="546">
          <cell r="C546" t="str">
            <v>推广订单扣款</v>
          </cell>
        </row>
        <row r="546">
          <cell r="H546" t="str">
            <v>成华店</v>
          </cell>
          <cell r="I546">
            <v>45978</v>
          </cell>
          <cell r="J546">
            <v>-83.38</v>
          </cell>
        </row>
        <row r="547">
          <cell r="C547" t="str">
            <v>推广账户自动充值</v>
          </cell>
        </row>
        <row r="547">
          <cell r="H547" t="str">
            <v>金牛店</v>
          </cell>
          <cell r="I547">
            <v>45978</v>
          </cell>
          <cell r="J547">
            <v>200</v>
          </cell>
        </row>
        <row r="548">
          <cell r="C548" t="str">
            <v>推广订单扣款</v>
          </cell>
        </row>
        <row r="548">
          <cell r="H548" t="str">
            <v>金牛店</v>
          </cell>
          <cell r="I548">
            <v>45978</v>
          </cell>
          <cell r="J548">
            <v>-127.3</v>
          </cell>
        </row>
        <row r="549">
          <cell r="C549" t="str">
            <v>推广账户自动充值</v>
          </cell>
        </row>
        <row r="549">
          <cell r="H549" t="str">
            <v>西山店</v>
          </cell>
          <cell r="I549">
            <v>45978</v>
          </cell>
          <cell r="J549">
            <v>200</v>
          </cell>
        </row>
        <row r="550">
          <cell r="C550" t="str">
            <v>推广订单扣款</v>
          </cell>
        </row>
        <row r="550">
          <cell r="H550" t="str">
            <v>西山店</v>
          </cell>
          <cell r="I550">
            <v>45978</v>
          </cell>
          <cell r="J550">
            <v>-162.99</v>
          </cell>
        </row>
        <row r="551">
          <cell r="C551" t="str">
            <v>推广账户自动充值</v>
          </cell>
        </row>
        <row r="551">
          <cell r="H551" t="str">
            <v>沙坪坝店</v>
          </cell>
          <cell r="I551">
            <v>45978</v>
          </cell>
          <cell r="J551">
            <v>200</v>
          </cell>
        </row>
        <row r="552">
          <cell r="C552" t="str">
            <v>推广订单扣款</v>
          </cell>
        </row>
        <row r="552">
          <cell r="H552" t="str">
            <v>沙坪坝店</v>
          </cell>
          <cell r="I552">
            <v>45978</v>
          </cell>
          <cell r="J552">
            <v>-69.43</v>
          </cell>
        </row>
        <row r="553">
          <cell r="C553" t="str">
            <v>推广账户自动充值</v>
          </cell>
        </row>
        <row r="553">
          <cell r="H553" t="str">
            <v>凤城二路店</v>
          </cell>
          <cell r="I553">
            <v>45978</v>
          </cell>
          <cell r="J553">
            <v>200</v>
          </cell>
        </row>
        <row r="554">
          <cell r="C554" t="str">
            <v>推广账户自动充值</v>
          </cell>
        </row>
        <row r="554">
          <cell r="H554" t="str">
            <v>凤城二路店</v>
          </cell>
          <cell r="I554">
            <v>45978</v>
          </cell>
          <cell r="J554">
            <v>200</v>
          </cell>
        </row>
        <row r="555">
          <cell r="C555" t="str">
            <v>推广订单扣款</v>
          </cell>
        </row>
        <row r="555">
          <cell r="H555" t="str">
            <v>凤城二路店</v>
          </cell>
          <cell r="I555">
            <v>45978</v>
          </cell>
          <cell r="J555">
            <v>-428.52</v>
          </cell>
        </row>
        <row r="556">
          <cell r="C556" t="str">
            <v>推广账户自动充值</v>
          </cell>
        </row>
        <row r="556">
          <cell r="H556" t="str">
            <v>大坪店</v>
          </cell>
          <cell r="I556">
            <v>45978</v>
          </cell>
          <cell r="J556">
            <v>200</v>
          </cell>
        </row>
        <row r="557">
          <cell r="C557" t="str">
            <v>推广订单扣款</v>
          </cell>
        </row>
        <row r="557">
          <cell r="H557" t="str">
            <v>大坪店</v>
          </cell>
          <cell r="I557">
            <v>45978</v>
          </cell>
          <cell r="J557">
            <v>-225.56</v>
          </cell>
        </row>
        <row r="558">
          <cell r="C558" t="str">
            <v>推广账户自动充值</v>
          </cell>
        </row>
        <row r="558">
          <cell r="H558" t="str">
            <v>五华店</v>
          </cell>
          <cell r="I558">
            <v>45978</v>
          </cell>
          <cell r="J558">
            <v>200</v>
          </cell>
        </row>
        <row r="559">
          <cell r="C559" t="str">
            <v>推广订单扣款</v>
          </cell>
        </row>
        <row r="559">
          <cell r="H559" t="str">
            <v>五华店</v>
          </cell>
          <cell r="I559">
            <v>45978</v>
          </cell>
          <cell r="J559">
            <v>-162.55</v>
          </cell>
        </row>
        <row r="560">
          <cell r="C560" t="str">
            <v>推广订单扣款</v>
          </cell>
        </row>
        <row r="560">
          <cell r="H560" t="str">
            <v>官渡店</v>
          </cell>
          <cell r="I560">
            <v>45978</v>
          </cell>
          <cell r="J560">
            <v>-121.49</v>
          </cell>
        </row>
        <row r="561">
          <cell r="C561" t="str">
            <v>推广账户自动充值</v>
          </cell>
        </row>
        <row r="561">
          <cell r="H561" t="str">
            <v>百捷店</v>
          </cell>
          <cell r="I561">
            <v>45978</v>
          </cell>
          <cell r="J561">
            <v>200</v>
          </cell>
        </row>
        <row r="562">
          <cell r="C562" t="str">
            <v>推广订单扣款</v>
          </cell>
        </row>
        <row r="562">
          <cell r="H562" t="str">
            <v>百捷店</v>
          </cell>
          <cell r="I562">
            <v>45978</v>
          </cell>
          <cell r="J562">
            <v>-156.01</v>
          </cell>
        </row>
        <row r="563">
          <cell r="C563" t="str">
            <v>推广账户自动充值</v>
          </cell>
        </row>
        <row r="563">
          <cell r="H563" t="str">
            <v>济南店</v>
          </cell>
          <cell r="I563">
            <v>45978</v>
          </cell>
          <cell r="J563">
            <v>200</v>
          </cell>
        </row>
        <row r="564">
          <cell r="C564" t="str">
            <v>推广订单扣款</v>
          </cell>
        </row>
        <row r="564">
          <cell r="H564" t="str">
            <v>济南店</v>
          </cell>
          <cell r="I564">
            <v>45978</v>
          </cell>
          <cell r="J564">
            <v>-318.19</v>
          </cell>
        </row>
        <row r="565">
          <cell r="C565" t="str">
            <v>推广账户自动充值</v>
          </cell>
        </row>
        <row r="565">
          <cell r="H565" t="str">
            <v>观音桥店</v>
          </cell>
          <cell r="I565">
            <v>45978</v>
          </cell>
          <cell r="J565">
            <v>200</v>
          </cell>
        </row>
        <row r="566">
          <cell r="C566" t="str">
            <v>推广账户自动充值</v>
          </cell>
        </row>
        <row r="566">
          <cell r="H566" t="str">
            <v>观音桥店</v>
          </cell>
          <cell r="I566">
            <v>45978</v>
          </cell>
          <cell r="J566">
            <v>200</v>
          </cell>
        </row>
        <row r="567">
          <cell r="C567" t="str">
            <v>推广订单扣款</v>
          </cell>
        </row>
        <row r="567">
          <cell r="H567" t="str">
            <v>观音桥店</v>
          </cell>
          <cell r="I567">
            <v>45978</v>
          </cell>
          <cell r="J567">
            <v>-343.84</v>
          </cell>
        </row>
        <row r="568">
          <cell r="C568" t="str">
            <v>推广订单扣款</v>
          </cell>
        </row>
        <row r="568">
          <cell r="H568" t="str">
            <v>长沙店</v>
          </cell>
          <cell r="I568">
            <v>45978</v>
          </cell>
          <cell r="J568">
            <v>-159.46</v>
          </cell>
        </row>
        <row r="569">
          <cell r="C569" t="str">
            <v>推广订单扣款</v>
          </cell>
        </row>
        <row r="569">
          <cell r="H569" t="str">
            <v>洛江店</v>
          </cell>
          <cell r="I569">
            <v>45978</v>
          </cell>
          <cell r="J569">
            <v>-49.11</v>
          </cell>
        </row>
        <row r="570">
          <cell r="C570" t="str">
            <v>推广账户自动充值</v>
          </cell>
        </row>
        <row r="570">
          <cell r="H570" t="str">
            <v>五路口店</v>
          </cell>
          <cell r="I570">
            <v>45978</v>
          </cell>
          <cell r="J570">
            <v>200</v>
          </cell>
        </row>
        <row r="571">
          <cell r="C571" t="str">
            <v>推广订单扣款</v>
          </cell>
        </row>
        <row r="571">
          <cell r="H571" t="str">
            <v>五路口店</v>
          </cell>
          <cell r="I571">
            <v>45978</v>
          </cell>
          <cell r="J571">
            <v>-314.04</v>
          </cell>
        </row>
        <row r="572">
          <cell r="C572" t="str">
            <v>推广订单扣款</v>
          </cell>
        </row>
        <row r="572">
          <cell r="H572" t="str">
            <v>青羊店</v>
          </cell>
          <cell r="I572">
            <v>45978</v>
          </cell>
          <cell r="J572">
            <v>-99.38</v>
          </cell>
        </row>
        <row r="573">
          <cell r="C573" t="str">
            <v>推广账户自动充值</v>
          </cell>
        </row>
        <row r="573">
          <cell r="H573" t="str">
            <v>武侯店</v>
          </cell>
          <cell r="I573">
            <v>45978</v>
          </cell>
          <cell r="J573">
            <v>200</v>
          </cell>
        </row>
        <row r="574">
          <cell r="C574" t="str">
            <v>推广订单扣款</v>
          </cell>
        </row>
        <row r="574">
          <cell r="H574" t="str">
            <v>武侯店</v>
          </cell>
          <cell r="I574">
            <v>45978</v>
          </cell>
          <cell r="J574">
            <v>-54.6</v>
          </cell>
        </row>
        <row r="575">
          <cell r="C575" t="str">
            <v>推广账户自动充值</v>
          </cell>
        </row>
        <row r="575">
          <cell r="H575" t="str">
            <v>鼓楼店</v>
          </cell>
          <cell r="I575">
            <v>45978</v>
          </cell>
          <cell r="J575">
            <v>200</v>
          </cell>
        </row>
        <row r="576">
          <cell r="C576" t="str">
            <v>推广账户自动充值</v>
          </cell>
        </row>
        <row r="576">
          <cell r="H576" t="str">
            <v>鼓楼店</v>
          </cell>
          <cell r="I576">
            <v>45978</v>
          </cell>
          <cell r="J576">
            <v>200</v>
          </cell>
        </row>
        <row r="577">
          <cell r="C577" t="str">
            <v>推广订单扣款</v>
          </cell>
        </row>
        <row r="577">
          <cell r="H577" t="str">
            <v>鼓楼店</v>
          </cell>
          <cell r="I577">
            <v>45978</v>
          </cell>
          <cell r="J577">
            <v>-500</v>
          </cell>
        </row>
        <row r="578">
          <cell r="C578" t="str">
            <v>推广账户自动充值</v>
          </cell>
        </row>
        <row r="578">
          <cell r="H578" t="str">
            <v>黄雁村店</v>
          </cell>
          <cell r="I578">
            <v>45978</v>
          </cell>
          <cell r="J578">
            <v>200</v>
          </cell>
        </row>
        <row r="579">
          <cell r="C579" t="str">
            <v>推广账户自动充值</v>
          </cell>
        </row>
        <row r="579">
          <cell r="H579" t="str">
            <v>黄雁村店</v>
          </cell>
          <cell r="I579">
            <v>45978</v>
          </cell>
          <cell r="J579">
            <v>200</v>
          </cell>
        </row>
        <row r="580">
          <cell r="C580" t="str">
            <v>推广订单扣款</v>
          </cell>
        </row>
        <row r="580">
          <cell r="H580" t="str">
            <v>黄雁村店</v>
          </cell>
          <cell r="I580">
            <v>45978</v>
          </cell>
          <cell r="J580">
            <v>-340.53</v>
          </cell>
        </row>
        <row r="581">
          <cell r="C581" t="str">
            <v>推广账户自动充值</v>
          </cell>
        </row>
        <row r="581">
          <cell r="H581" t="str">
            <v>西湖店</v>
          </cell>
          <cell r="I581">
            <v>45978</v>
          </cell>
          <cell r="J581">
            <v>200</v>
          </cell>
        </row>
        <row r="582">
          <cell r="C582" t="str">
            <v>推广订单扣款</v>
          </cell>
        </row>
        <row r="582">
          <cell r="H582" t="str">
            <v>西湖店</v>
          </cell>
          <cell r="I582">
            <v>45978</v>
          </cell>
          <cell r="J582">
            <v>-147.53</v>
          </cell>
        </row>
        <row r="583">
          <cell r="C583" t="str">
            <v>推广订单扣款</v>
          </cell>
        </row>
        <row r="583">
          <cell r="H583" t="str">
            <v>百丈店</v>
          </cell>
          <cell r="I583">
            <v>45978</v>
          </cell>
          <cell r="J583">
            <v>-169.83</v>
          </cell>
        </row>
        <row r="584">
          <cell r="C584" t="str">
            <v>推广账户自动充值</v>
          </cell>
        </row>
        <row r="584">
          <cell r="H584" t="str">
            <v>文昌店</v>
          </cell>
          <cell r="I584">
            <v>45978</v>
          </cell>
          <cell r="J584">
            <v>200</v>
          </cell>
        </row>
        <row r="585">
          <cell r="C585" t="str">
            <v>推广订单扣款</v>
          </cell>
        </row>
        <row r="585">
          <cell r="H585" t="str">
            <v>文昌店</v>
          </cell>
          <cell r="I585">
            <v>45978</v>
          </cell>
          <cell r="J585">
            <v>-181.57</v>
          </cell>
        </row>
        <row r="586">
          <cell r="C586" t="str">
            <v>推广账户自动充值</v>
          </cell>
        </row>
        <row r="586">
          <cell r="H586" t="str">
            <v>观桥店</v>
          </cell>
          <cell r="I586">
            <v>45978</v>
          </cell>
          <cell r="J586">
            <v>200</v>
          </cell>
        </row>
        <row r="587">
          <cell r="C587" t="str">
            <v>推广订单扣款</v>
          </cell>
        </row>
        <row r="587">
          <cell r="H587" t="str">
            <v>观桥店</v>
          </cell>
          <cell r="I587">
            <v>45978</v>
          </cell>
          <cell r="J587">
            <v>-267.63</v>
          </cell>
        </row>
        <row r="588">
          <cell r="C588" t="str">
            <v>推广账户自动充值</v>
          </cell>
        </row>
        <row r="588">
          <cell r="H588" t="str">
            <v>海口店</v>
          </cell>
          <cell r="I588">
            <v>45978</v>
          </cell>
          <cell r="J588">
            <v>200</v>
          </cell>
        </row>
        <row r="589">
          <cell r="C589" t="str">
            <v>推广订单扣款</v>
          </cell>
        </row>
        <row r="589">
          <cell r="H589" t="str">
            <v>海口店</v>
          </cell>
          <cell r="I589">
            <v>45978</v>
          </cell>
          <cell r="J589">
            <v>-200</v>
          </cell>
        </row>
        <row r="590">
          <cell r="C590" t="str">
            <v>推广账户自动充值</v>
          </cell>
        </row>
        <row r="590">
          <cell r="H590" t="str">
            <v>南安店</v>
          </cell>
          <cell r="I590">
            <v>45978</v>
          </cell>
          <cell r="J590">
            <v>100</v>
          </cell>
        </row>
        <row r="591">
          <cell r="C591" t="str">
            <v>推广订单扣款</v>
          </cell>
        </row>
        <row r="591">
          <cell r="H591" t="str">
            <v>南安店</v>
          </cell>
          <cell r="I591">
            <v>45978</v>
          </cell>
          <cell r="J591">
            <v>-150</v>
          </cell>
        </row>
        <row r="592">
          <cell r="C592" t="str">
            <v>推广账户自动充值</v>
          </cell>
        </row>
        <row r="592">
          <cell r="H592" t="str">
            <v>诚毅店</v>
          </cell>
          <cell r="I592">
            <v>45978</v>
          </cell>
          <cell r="J592">
            <v>200</v>
          </cell>
        </row>
        <row r="593">
          <cell r="C593" t="str">
            <v>推广订单扣款</v>
          </cell>
        </row>
        <row r="593">
          <cell r="H593" t="str">
            <v>诚毅店</v>
          </cell>
          <cell r="I593">
            <v>45978</v>
          </cell>
          <cell r="J593">
            <v>-253.37</v>
          </cell>
        </row>
        <row r="594">
          <cell r="C594" t="str">
            <v>推广账户自动充值</v>
          </cell>
        </row>
        <row r="594">
          <cell r="H594" t="str">
            <v>首山店</v>
          </cell>
          <cell r="I594">
            <v>45978</v>
          </cell>
          <cell r="J594">
            <v>200</v>
          </cell>
        </row>
        <row r="595">
          <cell r="C595" t="str">
            <v>推广账户自动充值</v>
          </cell>
        </row>
        <row r="595">
          <cell r="H595" t="str">
            <v>首山店</v>
          </cell>
          <cell r="I595">
            <v>45978</v>
          </cell>
          <cell r="J595">
            <v>200</v>
          </cell>
        </row>
        <row r="596">
          <cell r="C596" t="str">
            <v>推广订单扣款</v>
          </cell>
        </row>
        <row r="596">
          <cell r="H596" t="str">
            <v>首山店</v>
          </cell>
          <cell r="I596">
            <v>45978</v>
          </cell>
          <cell r="J596">
            <v>-252.11</v>
          </cell>
        </row>
        <row r="597">
          <cell r="C597" t="str">
            <v>推广订单扣款</v>
          </cell>
        </row>
        <row r="597">
          <cell r="H597" t="str">
            <v>首南店</v>
          </cell>
          <cell r="I597">
            <v>45978</v>
          </cell>
          <cell r="J597">
            <v>-212.25</v>
          </cell>
        </row>
        <row r="598">
          <cell r="C598" t="str">
            <v>推广账户自动充值</v>
          </cell>
        </row>
        <row r="598">
          <cell r="H598" t="str">
            <v>余杭店</v>
          </cell>
          <cell r="I598">
            <v>45978</v>
          </cell>
          <cell r="J598">
            <v>200</v>
          </cell>
        </row>
        <row r="599">
          <cell r="C599" t="str">
            <v>推广订单扣款</v>
          </cell>
        </row>
        <row r="599">
          <cell r="H599" t="str">
            <v>余杭店</v>
          </cell>
          <cell r="I599">
            <v>45978</v>
          </cell>
          <cell r="J599">
            <v>-200</v>
          </cell>
        </row>
        <row r="600">
          <cell r="C600" t="str">
            <v>推广账户自动充值</v>
          </cell>
        </row>
        <row r="600">
          <cell r="H600" t="str">
            <v>东海店</v>
          </cell>
          <cell r="I600">
            <v>45978</v>
          </cell>
          <cell r="J600">
            <v>200</v>
          </cell>
        </row>
        <row r="601">
          <cell r="C601" t="str">
            <v>推广订单扣款</v>
          </cell>
        </row>
        <row r="601">
          <cell r="H601" t="str">
            <v>东海店</v>
          </cell>
          <cell r="I601">
            <v>45978</v>
          </cell>
          <cell r="J601">
            <v>-111.24</v>
          </cell>
        </row>
        <row r="602">
          <cell r="C602" t="str">
            <v>推广账户自动充值</v>
          </cell>
        </row>
        <row r="602">
          <cell r="H602" t="str">
            <v>文灶店</v>
          </cell>
          <cell r="I602">
            <v>45978</v>
          </cell>
          <cell r="J602">
            <v>200</v>
          </cell>
        </row>
        <row r="603">
          <cell r="C603" t="str">
            <v>推广账户自动充值</v>
          </cell>
        </row>
        <row r="603">
          <cell r="H603" t="str">
            <v>文灶店</v>
          </cell>
          <cell r="I603">
            <v>45978</v>
          </cell>
          <cell r="J603">
            <v>200</v>
          </cell>
        </row>
        <row r="604">
          <cell r="C604" t="str">
            <v>推广订单扣款</v>
          </cell>
        </row>
        <row r="604">
          <cell r="H604" t="str">
            <v>文灶店</v>
          </cell>
          <cell r="I604">
            <v>45978</v>
          </cell>
          <cell r="J604">
            <v>-299.88</v>
          </cell>
        </row>
        <row r="605">
          <cell r="C605" t="str">
            <v>推广订单扣款</v>
          </cell>
        </row>
        <row r="605">
          <cell r="H605" t="str">
            <v>华信店</v>
          </cell>
          <cell r="I605">
            <v>45979</v>
          </cell>
          <cell r="J605">
            <v>-180</v>
          </cell>
        </row>
        <row r="606">
          <cell r="C606" t="str">
            <v>推广账户自动充值</v>
          </cell>
        </row>
        <row r="606">
          <cell r="H606" t="str">
            <v>湖里店</v>
          </cell>
          <cell r="I606">
            <v>45979</v>
          </cell>
          <cell r="J606">
            <v>200</v>
          </cell>
        </row>
        <row r="607">
          <cell r="C607" t="str">
            <v>推广订单扣款</v>
          </cell>
        </row>
        <row r="607">
          <cell r="H607" t="str">
            <v>湖里店</v>
          </cell>
          <cell r="I607">
            <v>45979</v>
          </cell>
          <cell r="J607">
            <v>-166.29</v>
          </cell>
        </row>
        <row r="608">
          <cell r="C608" t="str">
            <v>推广账户自动充值</v>
          </cell>
        </row>
        <row r="608">
          <cell r="H608" t="str">
            <v>东新店</v>
          </cell>
          <cell r="I608">
            <v>45979</v>
          </cell>
          <cell r="J608">
            <v>200</v>
          </cell>
        </row>
        <row r="609">
          <cell r="C609" t="str">
            <v>推广订单扣款</v>
          </cell>
        </row>
        <row r="609">
          <cell r="H609" t="str">
            <v>东新店</v>
          </cell>
          <cell r="I609">
            <v>45979</v>
          </cell>
          <cell r="J609">
            <v>-202.74</v>
          </cell>
        </row>
        <row r="610">
          <cell r="C610" t="str">
            <v>推广账户自动充值</v>
          </cell>
        </row>
        <row r="610">
          <cell r="H610" t="str">
            <v>启点店</v>
          </cell>
          <cell r="I610">
            <v>45979</v>
          </cell>
          <cell r="J610">
            <v>200</v>
          </cell>
        </row>
        <row r="611">
          <cell r="C611" t="str">
            <v>推广订单扣款</v>
          </cell>
        </row>
        <row r="611">
          <cell r="H611" t="str">
            <v>启点店</v>
          </cell>
          <cell r="I611">
            <v>45979</v>
          </cell>
          <cell r="J611">
            <v>-158.04</v>
          </cell>
        </row>
        <row r="612">
          <cell r="C612" t="str">
            <v>推广账户自动充值</v>
          </cell>
        </row>
        <row r="612">
          <cell r="H612" t="str">
            <v>高新店</v>
          </cell>
          <cell r="I612">
            <v>45979</v>
          </cell>
          <cell r="J612">
            <v>200</v>
          </cell>
        </row>
        <row r="613">
          <cell r="C613" t="str">
            <v>推广订单扣款</v>
          </cell>
        </row>
        <row r="613">
          <cell r="H613" t="str">
            <v>高新店</v>
          </cell>
          <cell r="I613">
            <v>45979</v>
          </cell>
          <cell r="J613">
            <v>-167.04</v>
          </cell>
        </row>
        <row r="614">
          <cell r="C614" t="str">
            <v>推广账户自动充值</v>
          </cell>
        </row>
        <row r="614">
          <cell r="H614" t="str">
            <v>成华店</v>
          </cell>
          <cell r="I614">
            <v>45979</v>
          </cell>
          <cell r="J614">
            <v>200</v>
          </cell>
        </row>
        <row r="615">
          <cell r="C615" t="str">
            <v>推广订单扣款</v>
          </cell>
        </row>
        <row r="615">
          <cell r="H615" t="str">
            <v>成华店</v>
          </cell>
          <cell r="I615">
            <v>45979</v>
          </cell>
          <cell r="J615">
            <v>-120.59</v>
          </cell>
        </row>
        <row r="616">
          <cell r="C616" t="str">
            <v>推广账户自动充值</v>
          </cell>
        </row>
        <row r="616">
          <cell r="H616" t="str">
            <v>金牛店</v>
          </cell>
          <cell r="I616">
            <v>45979</v>
          </cell>
          <cell r="J616">
            <v>200</v>
          </cell>
        </row>
        <row r="617">
          <cell r="C617" t="str">
            <v>推广订单扣款</v>
          </cell>
        </row>
        <row r="617">
          <cell r="H617" t="str">
            <v>金牛店</v>
          </cell>
          <cell r="I617">
            <v>45979</v>
          </cell>
          <cell r="J617">
            <v>-142.01</v>
          </cell>
        </row>
        <row r="618">
          <cell r="C618" t="str">
            <v>推广账户自动充值</v>
          </cell>
        </row>
        <row r="618">
          <cell r="H618" t="str">
            <v>西山店</v>
          </cell>
          <cell r="I618">
            <v>45979</v>
          </cell>
          <cell r="J618">
            <v>200</v>
          </cell>
        </row>
        <row r="619">
          <cell r="C619" t="str">
            <v>推广订单扣款</v>
          </cell>
        </row>
        <row r="619">
          <cell r="H619" t="str">
            <v>西山店</v>
          </cell>
          <cell r="I619">
            <v>45979</v>
          </cell>
          <cell r="J619">
            <v>-236.27</v>
          </cell>
        </row>
        <row r="620">
          <cell r="C620" t="str">
            <v>推广订单扣款</v>
          </cell>
        </row>
        <row r="620">
          <cell r="H620" t="str">
            <v>沙坪坝店</v>
          </cell>
          <cell r="I620">
            <v>45979</v>
          </cell>
          <cell r="J620">
            <v>-46.53</v>
          </cell>
        </row>
        <row r="621">
          <cell r="C621" t="str">
            <v>推广账户自动充值</v>
          </cell>
        </row>
        <row r="621">
          <cell r="H621" t="str">
            <v>凤城二路店</v>
          </cell>
          <cell r="I621">
            <v>45979</v>
          </cell>
          <cell r="J621">
            <v>200</v>
          </cell>
        </row>
        <row r="622">
          <cell r="C622" t="str">
            <v>推广账户自动充值</v>
          </cell>
        </row>
        <row r="622">
          <cell r="H622" t="str">
            <v>凤城二路店</v>
          </cell>
          <cell r="I622">
            <v>45979</v>
          </cell>
          <cell r="J622">
            <v>200</v>
          </cell>
        </row>
        <row r="623">
          <cell r="C623" t="str">
            <v>推广订单扣款</v>
          </cell>
        </row>
        <row r="623">
          <cell r="H623" t="str">
            <v>凤城二路店</v>
          </cell>
          <cell r="I623">
            <v>45979</v>
          </cell>
          <cell r="J623">
            <v>-354.24</v>
          </cell>
        </row>
        <row r="624">
          <cell r="C624" t="str">
            <v>推广账户自动充值</v>
          </cell>
        </row>
        <row r="624">
          <cell r="H624" t="str">
            <v>大坪店</v>
          </cell>
          <cell r="I624">
            <v>45979</v>
          </cell>
          <cell r="J624">
            <v>200</v>
          </cell>
        </row>
        <row r="625">
          <cell r="C625" t="str">
            <v>推广账户自动充值</v>
          </cell>
        </row>
        <row r="625">
          <cell r="H625" t="str">
            <v>大坪店</v>
          </cell>
          <cell r="I625">
            <v>45979</v>
          </cell>
          <cell r="J625">
            <v>200</v>
          </cell>
        </row>
        <row r="626">
          <cell r="C626" t="str">
            <v>推广订单扣款</v>
          </cell>
        </row>
        <row r="626">
          <cell r="H626" t="str">
            <v>大坪店</v>
          </cell>
          <cell r="I626">
            <v>45979</v>
          </cell>
          <cell r="J626">
            <v>-215.6</v>
          </cell>
        </row>
        <row r="627">
          <cell r="C627" t="str">
            <v>推广账户自动充值</v>
          </cell>
        </row>
        <row r="627">
          <cell r="H627" t="str">
            <v>五华店</v>
          </cell>
          <cell r="I627">
            <v>45979</v>
          </cell>
          <cell r="J627">
            <v>200</v>
          </cell>
        </row>
        <row r="628">
          <cell r="C628" t="str">
            <v>推广订单扣款</v>
          </cell>
        </row>
        <row r="628">
          <cell r="H628" t="str">
            <v>五华店</v>
          </cell>
          <cell r="I628">
            <v>45979</v>
          </cell>
          <cell r="J628">
            <v>-209.79</v>
          </cell>
        </row>
        <row r="629">
          <cell r="C629" t="str">
            <v>推广账户自动充值</v>
          </cell>
        </row>
        <row r="629">
          <cell r="H629" t="str">
            <v>官渡店</v>
          </cell>
          <cell r="I629">
            <v>45979</v>
          </cell>
          <cell r="J629">
            <v>200</v>
          </cell>
        </row>
        <row r="630">
          <cell r="C630" t="str">
            <v>推广账户自动充值</v>
          </cell>
        </row>
        <row r="630">
          <cell r="H630" t="str">
            <v>官渡店</v>
          </cell>
          <cell r="I630">
            <v>45979</v>
          </cell>
          <cell r="J630">
            <v>200</v>
          </cell>
        </row>
        <row r="631">
          <cell r="C631" t="str">
            <v>推广订单扣款</v>
          </cell>
        </row>
        <row r="631">
          <cell r="H631" t="str">
            <v>官渡店</v>
          </cell>
          <cell r="I631">
            <v>45979</v>
          </cell>
          <cell r="J631">
            <v>-110.88</v>
          </cell>
        </row>
        <row r="632">
          <cell r="C632" t="str">
            <v>推广账户自动充值</v>
          </cell>
        </row>
        <row r="632">
          <cell r="H632" t="str">
            <v>百捷店</v>
          </cell>
          <cell r="I632">
            <v>45979</v>
          </cell>
          <cell r="J632">
            <v>200</v>
          </cell>
        </row>
        <row r="633">
          <cell r="C633" t="str">
            <v>推广订单扣款</v>
          </cell>
        </row>
        <row r="633">
          <cell r="H633" t="str">
            <v>百捷店</v>
          </cell>
          <cell r="I633">
            <v>45979</v>
          </cell>
          <cell r="J633">
            <v>-140.86</v>
          </cell>
        </row>
        <row r="634">
          <cell r="C634" t="str">
            <v>推广账户自动充值</v>
          </cell>
        </row>
        <row r="634">
          <cell r="H634" t="str">
            <v>济南店</v>
          </cell>
          <cell r="I634">
            <v>45979</v>
          </cell>
          <cell r="J634">
            <v>200</v>
          </cell>
        </row>
        <row r="635">
          <cell r="C635" t="str">
            <v>推广账户自动充值</v>
          </cell>
        </row>
        <row r="635">
          <cell r="H635" t="str">
            <v>济南店</v>
          </cell>
          <cell r="I635">
            <v>45979</v>
          </cell>
          <cell r="J635">
            <v>200</v>
          </cell>
        </row>
        <row r="636">
          <cell r="C636" t="str">
            <v>推广订单扣款</v>
          </cell>
        </row>
        <row r="636">
          <cell r="H636" t="str">
            <v>济南店</v>
          </cell>
          <cell r="I636">
            <v>45979</v>
          </cell>
          <cell r="J636">
            <v>-256.95</v>
          </cell>
        </row>
        <row r="637">
          <cell r="C637" t="str">
            <v>推广账户自动充值</v>
          </cell>
        </row>
        <row r="637">
          <cell r="H637" t="str">
            <v>观音桥店</v>
          </cell>
          <cell r="I637">
            <v>45979</v>
          </cell>
          <cell r="J637">
            <v>200</v>
          </cell>
        </row>
        <row r="638">
          <cell r="C638" t="str">
            <v>推广订单扣款</v>
          </cell>
        </row>
        <row r="638">
          <cell r="H638" t="str">
            <v>观音桥店</v>
          </cell>
          <cell r="I638">
            <v>45979</v>
          </cell>
          <cell r="J638">
            <v>-418.39</v>
          </cell>
        </row>
        <row r="639">
          <cell r="C639" t="str">
            <v>推广账户自动充值</v>
          </cell>
        </row>
        <row r="639">
          <cell r="H639" t="str">
            <v>长沙店</v>
          </cell>
          <cell r="I639">
            <v>45979</v>
          </cell>
          <cell r="J639">
            <v>200</v>
          </cell>
        </row>
        <row r="640">
          <cell r="C640" t="str">
            <v>推广订单扣款</v>
          </cell>
        </row>
        <row r="640">
          <cell r="H640" t="str">
            <v>长沙店</v>
          </cell>
          <cell r="I640">
            <v>45979</v>
          </cell>
          <cell r="J640">
            <v>-110.08</v>
          </cell>
        </row>
        <row r="641">
          <cell r="C641" t="str">
            <v>推广订单扣款</v>
          </cell>
        </row>
        <row r="641">
          <cell r="H641" t="str">
            <v>洛江店</v>
          </cell>
          <cell r="I641">
            <v>45979</v>
          </cell>
          <cell r="J641">
            <v>-43.42</v>
          </cell>
        </row>
        <row r="642">
          <cell r="C642" t="str">
            <v>推广账户自动充值</v>
          </cell>
        </row>
        <row r="642">
          <cell r="H642" t="str">
            <v>五路口店</v>
          </cell>
          <cell r="I642">
            <v>45979</v>
          </cell>
          <cell r="J642">
            <v>200</v>
          </cell>
        </row>
        <row r="643">
          <cell r="C643" t="str">
            <v>推广订单扣款</v>
          </cell>
        </row>
        <row r="643">
          <cell r="H643" t="str">
            <v>五路口店</v>
          </cell>
          <cell r="I643">
            <v>45979</v>
          </cell>
          <cell r="J643">
            <v>-290.07</v>
          </cell>
        </row>
        <row r="644">
          <cell r="C644" t="str">
            <v>推广账户自动充值</v>
          </cell>
        </row>
        <row r="644">
          <cell r="H644" t="str">
            <v>青羊店</v>
          </cell>
          <cell r="I644">
            <v>45979</v>
          </cell>
          <cell r="J644">
            <v>200</v>
          </cell>
        </row>
        <row r="645">
          <cell r="C645" t="str">
            <v>推广订单扣款</v>
          </cell>
        </row>
        <row r="645">
          <cell r="H645" t="str">
            <v>青羊店</v>
          </cell>
          <cell r="I645">
            <v>45979</v>
          </cell>
          <cell r="J645">
            <v>-98.78</v>
          </cell>
        </row>
        <row r="646">
          <cell r="C646" t="str">
            <v>推广订单扣款</v>
          </cell>
        </row>
        <row r="646">
          <cell r="H646" t="str">
            <v>武侯店</v>
          </cell>
          <cell r="I646">
            <v>45979</v>
          </cell>
          <cell r="J646">
            <v>-76.09</v>
          </cell>
        </row>
        <row r="647">
          <cell r="C647" t="str">
            <v>推广账户自动充值</v>
          </cell>
        </row>
        <row r="647">
          <cell r="H647" t="str">
            <v>鼓楼店</v>
          </cell>
          <cell r="I647">
            <v>45979</v>
          </cell>
          <cell r="J647">
            <v>200</v>
          </cell>
        </row>
        <row r="648">
          <cell r="C648" t="str">
            <v>推广订单扣款</v>
          </cell>
        </row>
        <row r="648">
          <cell r="H648" t="str">
            <v>鼓楼店</v>
          </cell>
          <cell r="I648">
            <v>45979</v>
          </cell>
          <cell r="J648">
            <v>-266.39</v>
          </cell>
        </row>
        <row r="649">
          <cell r="C649" t="str">
            <v>推广账户自动充值</v>
          </cell>
        </row>
        <row r="649">
          <cell r="H649" t="str">
            <v>黄雁村店</v>
          </cell>
          <cell r="I649">
            <v>45979</v>
          </cell>
          <cell r="J649">
            <v>200</v>
          </cell>
        </row>
        <row r="650">
          <cell r="C650" t="str">
            <v>推广账户自动充值</v>
          </cell>
        </row>
        <row r="650">
          <cell r="H650" t="str">
            <v>黄雁村店</v>
          </cell>
          <cell r="I650">
            <v>45979</v>
          </cell>
          <cell r="J650">
            <v>200</v>
          </cell>
        </row>
        <row r="651">
          <cell r="C651" t="str">
            <v>推广订单扣款</v>
          </cell>
        </row>
        <row r="651">
          <cell r="H651" t="str">
            <v>黄雁村店</v>
          </cell>
          <cell r="I651">
            <v>45979</v>
          </cell>
          <cell r="J651">
            <v>-452.18</v>
          </cell>
        </row>
        <row r="652">
          <cell r="C652" t="str">
            <v>推广账户自动充值</v>
          </cell>
        </row>
        <row r="652">
          <cell r="H652" t="str">
            <v>西湖店</v>
          </cell>
          <cell r="I652">
            <v>45979</v>
          </cell>
          <cell r="J652">
            <v>200</v>
          </cell>
        </row>
        <row r="653">
          <cell r="C653" t="str">
            <v>推广账户自动充值</v>
          </cell>
        </row>
        <row r="653">
          <cell r="H653" t="str">
            <v>西湖店</v>
          </cell>
          <cell r="I653">
            <v>45979</v>
          </cell>
          <cell r="J653">
            <v>200</v>
          </cell>
        </row>
        <row r="654">
          <cell r="C654" t="str">
            <v>推广订单扣款</v>
          </cell>
        </row>
        <row r="654">
          <cell r="H654" t="str">
            <v>西湖店</v>
          </cell>
          <cell r="I654">
            <v>45979</v>
          </cell>
          <cell r="J654">
            <v>-146.1</v>
          </cell>
        </row>
        <row r="655">
          <cell r="C655" t="str">
            <v>推广账户自动充值</v>
          </cell>
        </row>
        <row r="655">
          <cell r="H655" t="str">
            <v>百丈店</v>
          </cell>
          <cell r="I655">
            <v>45979</v>
          </cell>
          <cell r="J655">
            <v>200</v>
          </cell>
        </row>
        <row r="656">
          <cell r="C656" t="str">
            <v>推广订单扣款</v>
          </cell>
        </row>
        <row r="656">
          <cell r="H656" t="str">
            <v>百丈店</v>
          </cell>
          <cell r="I656">
            <v>45979</v>
          </cell>
          <cell r="J656">
            <v>-130.14</v>
          </cell>
        </row>
        <row r="657">
          <cell r="C657" t="str">
            <v>推广账户自动充值</v>
          </cell>
        </row>
        <row r="657">
          <cell r="H657" t="str">
            <v>文昌店</v>
          </cell>
          <cell r="I657">
            <v>45979</v>
          </cell>
          <cell r="J657">
            <v>200</v>
          </cell>
        </row>
        <row r="658">
          <cell r="C658" t="str">
            <v>推广订单扣款</v>
          </cell>
        </row>
        <row r="658">
          <cell r="H658" t="str">
            <v>文昌店</v>
          </cell>
          <cell r="I658">
            <v>45979</v>
          </cell>
          <cell r="J658">
            <v>-223.66</v>
          </cell>
        </row>
        <row r="659">
          <cell r="C659" t="str">
            <v>推广账户自动充值</v>
          </cell>
        </row>
        <row r="659">
          <cell r="H659" t="str">
            <v>观桥店</v>
          </cell>
          <cell r="I659">
            <v>45979</v>
          </cell>
          <cell r="J659">
            <v>200</v>
          </cell>
        </row>
        <row r="660">
          <cell r="C660" t="str">
            <v>推广订单扣款</v>
          </cell>
        </row>
        <row r="660">
          <cell r="H660" t="str">
            <v>观桥店</v>
          </cell>
          <cell r="I660">
            <v>45979</v>
          </cell>
          <cell r="J660">
            <v>-200.71</v>
          </cell>
        </row>
        <row r="661">
          <cell r="C661" t="str">
            <v>推广账户自动充值</v>
          </cell>
        </row>
        <row r="661">
          <cell r="H661" t="str">
            <v>海口店</v>
          </cell>
          <cell r="I661">
            <v>45979</v>
          </cell>
          <cell r="J661">
            <v>200</v>
          </cell>
        </row>
        <row r="662">
          <cell r="C662" t="str">
            <v>推广订单扣款</v>
          </cell>
        </row>
        <row r="662">
          <cell r="H662" t="str">
            <v>海口店</v>
          </cell>
          <cell r="I662">
            <v>45979</v>
          </cell>
          <cell r="J662">
            <v>-200</v>
          </cell>
        </row>
        <row r="663">
          <cell r="C663" t="str">
            <v>推广账户自动充值</v>
          </cell>
        </row>
        <row r="663">
          <cell r="H663" t="str">
            <v>南安店</v>
          </cell>
          <cell r="I663">
            <v>45979</v>
          </cell>
          <cell r="J663">
            <v>100</v>
          </cell>
        </row>
        <row r="664">
          <cell r="C664" t="str">
            <v>推广订单扣款</v>
          </cell>
        </row>
        <row r="664">
          <cell r="H664" t="str">
            <v>南安店</v>
          </cell>
          <cell r="I664">
            <v>45979</v>
          </cell>
          <cell r="J664">
            <v>-106.24</v>
          </cell>
        </row>
        <row r="665">
          <cell r="C665" t="str">
            <v>推广账户自动充值</v>
          </cell>
        </row>
        <row r="665">
          <cell r="H665" t="str">
            <v>诚毅店</v>
          </cell>
          <cell r="I665">
            <v>45979</v>
          </cell>
          <cell r="J665">
            <v>200</v>
          </cell>
        </row>
        <row r="666">
          <cell r="C666" t="str">
            <v>推广订单扣款</v>
          </cell>
        </row>
        <row r="666">
          <cell r="H666" t="str">
            <v>诚毅店</v>
          </cell>
          <cell r="I666">
            <v>45979</v>
          </cell>
          <cell r="J666">
            <v>-189.81</v>
          </cell>
        </row>
        <row r="667">
          <cell r="C667" t="str">
            <v>推广订单扣款</v>
          </cell>
        </row>
        <row r="667">
          <cell r="H667" t="str">
            <v>首山店</v>
          </cell>
          <cell r="I667">
            <v>45979</v>
          </cell>
          <cell r="J667">
            <v>-239.85</v>
          </cell>
        </row>
        <row r="668">
          <cell r="C668" t="str">
            <v>推广账户自动充值</v>
          </cell>
        </row>
        <row r="668">
          <cell r="H668" t="str">
            <v>首南店</v>
          </cell>
          <cell r="I668">
            <v>45979</v>
          </cell>
          <cell r="J668">
            <v>200</v>
          </cell>
        </row>
        <row r="669">
          <cell r="C669" t="str">
            <v>推广订单扣款</v>
          </cell>
        </row>
        <row r="669">
          <cell r="H669" t="str">
            <v>首南店</v>
          </cell>
          <cell r="I669">
            <v>45979</v>
          </cell>
          <cell r="J669">
            <v>-147.65</v>
          </cell>
        </row>
        <row r="670">
          <cell r="C670" t="str">
            <v>推广账户自动充值</v>
          </cell>
        </row>
        <row r="670">
          <cell r="H670" t="str">
            <v>余杭店</v>
          </cell>
          <cell r="I670">
            <v>45979</v>
          </cell>
          <cell r="J670">
            <v>200</v>
          </cell>
        </row>
        <row r="671">
          <cell r="C671" t="str">
            <v>推广订单扣款</v>
          </cell>
        </row>
        <row r="671">
          <cell r="H671" t="str">
            <v>余杭店</v>
          </cell>
          <cell r="I671">
            <v>45979</v>
          </cell>
          <cell r="J671">
            <v>-200</v>
          </cell>
        </row>
        <row r="672">
          <cell r="C672" t="str">
            <v>推广订单扣款</v>
          </cell>
        </row>
        <row r="672">
          <cell r="H672" t="str">
            <v>东海店</v>
          </cell>
          <cell r="I672">
            <v>45979</v>
          </cell>
          <cell r="J672">
            <v>-153.26</v>
          </cell>
        </row>
        <row r="673">
          <cell r="C673" t="str">
            <v>推广账户充值</v>
          </cell>
        </row>
        <row r="673">
          <cell r="H673" t="str">
            <v>文灶店</v>
          </cell>
          <cell r="I673">
            <v>45979</v>
          </cell>
          <cell r="J673">
            <v>100</v>
          </cell>
        </row>
        <row r="674">
          <cell r="C674" t="str">
            <v>推广订单扣款</v>
          </cell>
        </row>
        <row r="674">
          <cell r="H674" t="str">
            <v>文灶店</v>
          </cell>
          <cell r="I674">
            <v>45979</v>
          </cell>
          <cell r="J674">
            <v>-218.4</v>
          </cell>
        </row>
        <row r="675">
          <cell r="C675" t="str">
            <v>推广账户自动充值</v>
          </cell>
        </row>
        <row r="675">
          <cell r="H675" t="str">
            <v>华信店</v>
          </cell>
          <cell r="I675">
            <v>45980</v>
          </cell>
          <cell r="J675">
            <v>200</v>
          </cell>
        </row>
        <row r="676">
          <cell r="C676" t="str">
            <v>推广订单扣款</v>
          </cell>
        </row>
        <row r="676">
          <cell r="H676" t="str">
            <v>华信店</v>
          </cell>
          <cell r="I676">
            <v>45980</v>
          </cell>
          <cell r="J676">
            <v>-180</v>
          </cell>
        </row>
        <row r="677">
          <cell r="C677" t="str">
            <v>推广账户自动充值</v>
          </cell>
        </row>
        <row r="677">
          <cell r="H677" t="str">
            <v>湖里店</v>
          </cell>
          <cell r="I677">
            <v>45980</v>
          </cell>
          <cell r="J677">
            <v>200</v>
          </cell>
        </row>
        <row r="678">
          <cell r="C678" t="str">
            <v>推广订单扣款</v>
          </cell>
        </row>
        <row r="678">
          <cell r="H678" t="str">
            <v>湖里店</v>
          </cell>
          <cell r="I678">
            <v>45980</v>
          </cell>
          <cell r="J678">
            <v>-136.93</v>
          </cell>
        </row>
        <row r="679">
          <cell r="C679" t="str">
            <v>推广订单扣款</v>
          </cell>
        </row>
        <row r="679">
          <cell r="H679" t="str">
            <v>东新店</v>
          </cell>
          <cell r="I679">
            <v>45980</v>
          </cell>
          <cell r="J679">
            <v>-126.31</v>
          </cell>
        </row>
        <row r="680">
          <cell r="C680" t="str">
            <v>推广订单扣款</v>
          </cell>
        </row>
        <row r="680">
          <cell r="H680" t="str">
            <v>启点店</v>
          </cell>
          <cell r="I680">
            <v>45980</v>
          </cell>
          <cell r="J680">
            <v>-215.96</v>
          </cell>
        </row>
        <row r="681">
          <cell r="C681" t="str">
            <v>推广账户自动充值</v>
          </cell>
        </row>
        <row r="681">
          <cell r="H681" t="str">
            <v>高新店</v>
          </cell>
          <cell r="I681">
            <v>45980</v>
          </cell>
          <cell r="J681">
            <v>200</v>
          </cell>
        </row>
        <row r="682">
          <cell r="C682" t="str">
            <v>推广订单扣款</v>
          </cell>
        </row>
        <row r="682">
          <cell r="H682" t="str">
            <v>高新店</v>
          </cell>
          <cell r="I682">
            <v>45980</v>
          </cell>
          <cell r="J682">
            <v>-171.61</v>
          </cell>
        </row>
        <row r="683">
          <cell r="C683" t="str">
            <v>推广订单扣款</v>
          </cell>
        </row>
        <row r="683">
          <cell r="H683" t="str">
            <v>成华店</v>
          </cell>
          <cell r="I683">
            <v>45980</v>
          </cell>
          <cell r="J683">
            <v>-159.89</v>
          </cell>
        </row>
        <row r="684">
          <cell r="C684" t="str">
            <v>推广订单扣款</v>
          </cell>
        </row>
        <row r="684">
          <cell r="H684" t="str">
            <v>金牛店</v>
          </cell>
          <cell r="I684">
            <v>45980</v>
          </cell>
          <cell r="J684">
            <v>-115.49</v>
          </cell>
        </row>
        <row r="685">
          <cell r="C685" t="str">
            <v>推广账户自动充值</v>
          </cell>
        </row>
        <row r="685">
          <cell r="H685" t="str">
            <v>西山店</v>
          </cell>
          <cell r="I685">
            <v>45980</v>
          </cell>
          <cell r="J685">
            <v>200</v>
          </cell>
        </row>
        <row r="686">
          <cell r="C686" t="str">
            <v>推广订单扣款</v>
          </cell>
        </row>
        <row r="686">
          <cell r="H686" t="str">
            <v>西山店</v>
          </cell>
          <cell r="I686">
            <v>45980</v>
          </cell>
          <cell r="J686">
            <v>-218.81</v>
          </cell>
        </row>
        <row r="687">
          <cell r="C687" t="str">
            <v>推广账户自动充值</v>
          </cell>
        </row>
        <row r="687">
          <cell r="H687" t="str">
            <v>沙坪坝店</v>
          </cell>
          <cell r="I687">
            <v>45980</v>
          </cell>
          <cell r="J687">
            <v>200</v>
          </cell>
        </row>
        <row r="688">
          <cell r="C688" t="str">
            <v>推广订单扣款</v>
          </cell>
        </row>
        <row r="688">
          <cell r="H688" t="str">
            <v>沙坪坝店</v>
          </cell>
          <cell r="I688">
            <v>45980</v>
          </cell>
          <cell r="J688">
            <v>-113.73</v>
          </cell>
        </row>
        <row r="689">
          <cell r="C689" t="str">
            <v>推广账户自动充值</v>
          </cell>
        </row>
        <row r="689">
          <cell r="H689" t="str">
            <v>凤城二路店</v>
          </cell>
          <cell r="I689">
            <v>45980</v>
          </cell>
          <cell r="J689">
            <v>200</v>
          </cell>
        </row>
        <row r="690">
          <cell r="C690" t="str">
            <v>推广账户自动充值</v>
          </cell>
        </row>
        <row r="690">
          <cell r="H690" t="str">
            <v>凤城二路店</v>
          </cell>
          <cell r="I690">
            <v>45980</v>
          </cell>
          <cell r="J690">
            <v>200</v>
          </cell>
        </row>
        <row r="691">
          <cell r="C691" t="str">
            <v>推广订单扣款</v>
          </cell>
        </row>
        <row r="691">
          <cell r="H691" t="str">
            <v>凤城二路店</v>
          </cell>
          <cell r="I691">
            <v>45980</v>
          </cell>
          <cell r="J691">
            <v>-388.58</v>
          </cell>
        </row>
        <row r="692">
          <cell r="C692" t="str">
            <v>推广账户自动充值</v>
          </cell>
        </row>
        <row r="692">
          <cell r="H692" t="str">
            <v>大坪店</v>
          </cell>
          <cell r="I692">
            <v>45980</v>
          </cell>
          <cell r="J692">
            <v>200</v>
          </cell>
        </row>
        <row r="693">
          <cell r="C693" t="str">
            <v>推广订单扣款</v>
          </cell>
        </row>
        <row r="693">
          <cell r="H693" t="str">
            <v>大坪店</v>
          </cell>
          <cell r="I693">
            <v>45980</v>
          </cell>
          <cell r="J693">
            <v>-197.02</v>
          </cell>
        </row>
        <row r="694">
          <cell r="C694" t="str">
            <v>推广账户自动充值</v>
          </cell>
        </row>
        <row r="694">
          <cell r="H694" t="str">
            <v>五华店</v>
          </cell>
          <cell r="I694">
            <v>45980</v>
          </cell>
          <cell r="J694">
            <v>200</v>
          </cell>
        </row>
        <row r="695">
          <cell r="C695" t="str">
            <v>推广订单扣款</v>
          </cell>
        </row>
        <row r="695">
          <cell r="H695" t="str">
            <v>五华店</v>
          </cell>
          <cell r="I695">
            <v>45980</v>
          </cell>
          <cell r="J695">
            <v>-189.27</v>
          </cell>
        </row>
        <row r="696">
          <cell r="C696" t="str">
            <v>推广账户自动充值</v>
          </cell>
        </row>
        <row r="696">
          <cell r="H696" t="str">
            <v>官渡店</v>
          </cell>
          <cell r="I696">
            <v>45980</v>
          </cell>
          <cell r="J696">
            <v>200</v>
          </cell>
        </row>
        <row r="697">
          <cell r="C697" t="str">
            <v>推广订单扣款</v>
          </cell>
        </row>
        <row r="697">
          <cell r="H697" t="str">
            <v>官渡店</v>
          </cell>
          <cell r="I697">
            <v>45980</v>
          </cell>
          <cell r="J697">
            <v>-283.27</v>
          </cell>
        </row>
        <row r="698">
          <cell r="C698" t="str">
            <v>推广账户自动充值</v>
          </cell>
        </row>
        <row r="698">
          <cell r="H698" t="str">
            <v>百捷店</v>
          </cell>
          <cell r="I698">
            <v>45980</v>
          </cell>
          <cell r="J698">
            <v>200</v>
          </cell>
        </row>
        <row r="699">
          <cell r="C699" t="str">
            <v>推广订单扣款</v>
          </cell>
        </row>
        <row r="699">
          <cell r="H699" t="str">
            <v>百捷店</v>
          </cell>
          <cell r="I699">
            <v>45980</v>
          </cell>
          <cell r="J699">
            <v>-123.25</v>
          </cell>
        </row>
        <row r="700">
          <cell r="C700" t="str">
            <v>推广账户自动充值</v>
          </cell>
        </row>
        <row r="700">
          <cell r="H700" t="str">
            <v>济南店</v>
          </cell>
          <cell r="I700">
            <v>45980</v>
          </cell>
          <cell r="J700">
            <v>200</v>
          </cell>
        </row>
        <row r="701">
          <cell r="C701" t="str">
            <v>推广订单扣款</v>
          </cell>
        </row>
        <row r="701">
          <cell r="H701" t="str">
            <v>济南店</v>
          </cell>
          <cell r="I701">
            <v>45980</v>
          </cell>
          <cell r="J701">
            <v>-259.91</v>
          </cell>
        </row>
        <row r="702">
          <cell r="C702" t="str">
            <v>推广账户自动充值</v>
          </cell>
        </row>
        <row r="702">
          <cell r="H702" t="str">
            <v>观音桥店</v>
          </cell>
          <cell r="I702">
            <v>45980</v>
          </cell>
          <cell r="J702">
            <v>200</v>
          </cell>
        </row>
        <row r="703">
          <cell r="C703" t="str">
            <v>推广账户自动充值</v>
          </cell>
        </row>
        <row r="703">
          <cell r="H703" t="str">
            <v>观音桥店</v>
          </cell>
          <cell r="I703">
            <v>45980</v>
          </cell>
          <cell r="J703">
            <v>200</v>
          </cell>
        </row>
        <row r="704">
          <cell r="C704" t="str">
            <v>推广账户自动充值</v>
          </cell>
        </row>
        <row r="704">
          <cell r="H704" t="str">
            <v>观音桥店</v>
          </cell>
          <cell r="I704">
            <v>45980</v>
          </cell>
          <cell r="J704">
            <v>200</v>
          </cell>
        </row>
        <row r="705">
          <cell r="C705" t="str">
            <v>推广订单扣款</v>
          </cell>
        </row>
        <row r="705">
          <cell r="H705" t="str">
            <v>观音桥店</v>
          </cell>
          <cell r="I705">
            <v>45980</v>
          </cell>
          <cell r="J705">
            <v>-327.73</v>
          </cell>
        </row>
        <row r="706">
          <cell r="C706" t="str">
            <v>推广账户自动充值</v>
          </cell>
        </row>
        <row r="706">
          <cell r="H706" t="str">
            <v>长沙店</v>
          </cell>
          <cell r="I706">
            <v>45980</v>
          </cell>
          <cell r="J706">
            <v>200</v>
          </cell>
        </row>
        <row r="707">
          <cell r="C707" t="str">
            <v>推广订单扣款</v>
          </cell>
        </row>
        <row r="707">
          <cell r="H707" t="str">
            <v>长沙店</v>
          </cell>
          <cell r="I707">
            <v>45980</v>
          </cell>
          <cell r="J707">
            <v>-174.31</v>
          </cell>
        </row>
        <row r="708">
          <cell r="C708" t="str">
            <v>推广账户自动充值</v>
          </cell>
        </row>
        <row r="708">
          <cell r="H708" t="str">
            <v>洛江店</v>
          </cell>
          <cell r="I708">
            <v>45980</v>
          </cell>
          <cell r="J708">
            <v>200</v>
          </cell>
        </row>
        <row r="709">
          <cell r="C709" t="str">
            <v>推广账户自动充值</v>
          </cell>
        </row>
        <row r="709">
          <cell r="H709" t="str">
            <v>五路口店</v>
          </cell>
          <cell r="I709">
            <v>45980</v>
          </cell>
          <cell r="J709">
            <v>200</v>
          </cell>
        </row>
        <row r="710">
          <cell r="C710" t="str">
            <v>推广账户自动充值</v>
          </cell>
        </row>
        <row r="710">
          <cell r="H710" t="str">
            <v>五路口店</v>
          </cell>
          <cell r="I710">
            <v>45980</v>
          </cell>
          <cell r="J710">
            <v>200</v>
          </cell>
        </row>
        <row r="711">
          <cell r="C711" t="str">
            <v>推广订单扣款</v>
          </cell>
        </row>
        <row r="711">
          <cell r="H711" t="str">
            <v>五路口店</v>
          </cell>
          <cell r="I711">
            <v>45980</v>
          </cell>
          <cell r="J711">
            <v>-270.35</v>
          </cell>
        </row>
        <row r="712">
          <cell r="C712" t="str">
            <v>推广订单扣款</v>
          </cell>
        </row>
        <row r="712">
          <cell r="H712" t="str">
            <v>青羊店</v>
          </cell>
          <cell r="I712">
            <v>45980</v>
          </cell>
          <cell r="J712">
            <v>-93.75</v>
          </cell>
        </row>
        <row r="713">
          <cell r="C713" t="str">
            <v>推广订单扣款</v>
          </cell>
        </row>
        <row r="713">
          <cell r="H713" t="str">
            <v>武侯店</v>
          </cell>
          <cell r="I713">
            <v>45980</v>
          </cell>
          <cell r="J713">
            <v>-38.84</v>
          </cell>
        </row>
        <row r="714">
          <cell r="C714" t="str">
            <v>推广账户自动充值</v>
          </cell>
        </row>
        <row r="714">
          <cell r="H714" t="str">
            <v>鼓楼店</v>
          </cell>
          <cell r="I714">
            <v>45980</v>
          </cell>
          <cell r="J714">
            <v>200</v>
          </cell>
        </row>
        <row r="715">
          <cell r="C715" t="str">
            <v>推广账户自动充值</v>
          </cell>
        </row>
        <row r="715">
          <cell r="H715" t="str">
            <v>鼓楼店</v>
          </cell>
          <cell r="I715">
            <v>45980</v>
          </cell>
          <cell r="J715">
            <v>200</v>
          </cell>
        </row>
        <row r="716">
          <cell r="C716" t="str">
            <v>推广订单扣款</v>
          </cell>
        </row>
        <row r="716">
          <cell r="H716" t="str">
            <v>鼓楼店</v>
          </cell>
          <cell r="I716">
            <v>45980</v>
          </cell>
          <cell r="J716">
            <v>-329.69</v>
          </cell>
        </row>
        <row r="717">
          <cell r="C717" t="str">
            <v>推广账户自动充值</v>
          </cell>
        </row>
        <row r="717">
          <cell r="H717" t="str">
            <v>黄雁村店</v>
          </cell>
          <cell r="I717">
            <v>45980</v>
          </cell>
          <cell r="J717">
            <v>200</v>
          </cell>
        </row>
        <row r="718">
          <cell r="C718" t="str">
            <v>推广账户自动充值</v>
          </cell>
        </row>
        <row r="718">
          <cell r="H718" t="str">
            <v>黄雁村店</v>
          </cell>
          <cell r="I718">
            <v>45980</v>
          </cell>
          <cell r="J718">
            <v>200</v>
          </cell>
        </row>
        <row r="719">
          <cell r="C719" t="str">
            <v>推广订单扣款</v>
          </cell>
        </row>
        <row r="719">
          <cell r="H719" t="str">
            <v>黄雁村店</v>
          </cell>
          <cell r="I719">
            <v>45980</v>
          </cell>
          <cell r="J719">
            <v>-408.34</v>
          </cell>
        </row>
        <row r="720">
          <cell r="C720" t="str">
            <v>推广账户自动充值</v>
          </cell>
        </row>
        <row r="720">
          <cell r="H720" t="str">
            <v>西湖店</v>
          </cell>
          <cell r="I720">
            <v>45980</v>
          </cell>
          <cell r="J720">
            <v>200</v>
          </cell>
        </row>
        <row r="721">
          <cell r="C721" t="str">
            <v>推广订单扣款</v>
          </cell>
        </row>
        <row r="721">
          <cell r="H721" t="str">
            <v>西湖店</v>
          </cell>
          <cell r="I721">
            <v>45980</v>
          </cell>
          <cell r="J721">
            <v>-273.15</v>
          </cell>
        </row>
        <row r="722">
          <cell r="C722" t="str">
            <v>推广账户自动充值</v>
          </cell>
        </row>
        <row r="722">
          <cell r="H722" t="str">
            <v>百丈店</v>
          </cell>
          <cell r="I722">
            <v>45980</v>
          </cell>
          <cell r="J722">
            <v>200</v>
          </cell>
        </row>
        <row r="723">
          <cell r="C723" t="str">
            <v>推广订单扣款</v>
          </cell>
        </row>
        <row r="723">
          <cell r="H723" t="str">
            <v>百丈店</v>
          </cell>
          <cell r="I723">
            <v>45980</v>
          </cell>
          <cell r="J723">
            <v>-158.1</v>
          </cell>
        </row>
        <row r="724">
          <cell r="C724" t="str">
            <v>推广订单扣款</v>
          </cell>
        </row>
        <row r="724">
          <cell r="H724" t="str">
            <v>文昌店</v>
          </cell>
          <cell r="I724">
            <v>45980</v>
          </cell>
          <cell r="J724">
            <v>-98.96</v>
          </cell>
        </row>
        <row r="725">
          <cell r="C725" t="str">
            <v>推广账户自动充值</v>
          </cell>
        </row>
        <row r="725">
          <cell r="H725" t="str">
            <v>观桥店</v>
          </cell>
          <cell r="I725">
            <v>45980</v>
          </cell>
          <cell r="J725">
            <v>200</v>
          </cell>
        </row>
        <row r="726">
          <cell r="C726" t="str">
            <v>推广订单扣款</v>
          </cell>
        </row>
        <row r="726">
          <cell r="H726" t="str">
            <v>观桥店</v>
          </cell>
          <cell r="I726">
            <v>45980</v>
          </cell>
          <cell r="J726">
            <v>-149.06</v>
          </cell>
        </row>
        <row r="727">
          <cell r="C727" t="str">
            <v>推广账户自动充值</v>
          </cell>
        </row>
        <row r="727">
          <cell r="H727" t="str">
            <v>海口店</v>
          </cell>
          <cell r="I727">
            <v>45980</v>
          </cell>
          <cell r="J727">
            <v>200</v>
          </cell>
        </row>
        <row r="728">
          <cell r="C728" t="str">
            <v>推广订单扣款</v>
          </cell>
        </row>
        <row r="728">
          <cell r="H728" t="str">
            <v>海口店</v>
          </cell>
          <cell r="I728">
            <v>45980</v>
          </cell>
          <cell r="J728">
            <v>-200</v>
          </cell>
        </row>
        <row r="729">
          <cell r="C729" t="str">
            <v>推广账户自动充值</v>
          </cell>
        </row>
        <row r="729">
          <cell r="H729" t="str">
            <v>南安店</v>
          </cell>
          <cell r="I729">
            <v>45980</v>
          </cell>
          <cell r="J729">
            <v>100</v>
          </cell>
        </row>
        <row r="730">
          <cell r="C730" t="str">
            <v>推广订单扣款</v>
          </cell>
        </row>
        <row r="730">
          <cell r="H730" t="str">
            <v>南安店</v>
          </cell>
          <cell r="I730">
            <v>45980</v>
          </cell>
          <cell r="J730">
            <v>-116.95</v>
          </cell>
        </row>
        <row r="731">
          <cell r="C731" t="str">
            <v>推广账户自动充值</v>
          </cell>
        </row>
        <row r="731">
          <cell r="H731" t="str">
            <v>诚毅店</v>
          </cell>
          <cell r="I731">
            <v>45980</v>
          </cell>
          <cell r="J731">
            <v>200</v>
          </cell>
        </row>
        <row r="732">
          <cell r="C732" t="str">
            <v>推广订单扣款</v>
          </cell>
        </row>
        <row r="732">
          <cell r="H732" t="str">
            <v>诚毅店</v>
          </cell>
          <cell r="I732">
            <v>45980</v>
          </cell>
          <cell r="J732">
            <v>-183.79</v>
          </cell>
        </row>
        <row r="733">
          <cell r="C733" t="str">
            <v>推广账户自动充值</v>
          </cell>
        </row>
        <row r="733">
          <cell r="H733" t="str">
            <v>首山店</v>
          </cell>
          <cell r="I733">
            <v>45980</v>
          </cell>
          <cell r="J733">
            <v>200</v>
          </cell>
        </row>
        <row r="734">
          <cell r="C734" t="str">
            <v>推广订单扣款</v>
          </cell>
        </row>
        <row r="734">
          <cell r="H734" t="str">
            <v>首山店</v>
          </cell>
          <cell r="I734">
            <v>45980</v>
          </cell>
          <cell r="J734">
            <v>-167.26</v>
          </cell>
        </row>
        <row r="735">
          <cell r="C735" t="str">
            <v>推广账户自动充值</v>
          </cell>
        </row>
        <row r="735">
          <cell r="H735" t="str">
            <v>首南店</v>
          </cell>
          <cell r="I735">
            <v>45980</v>
          </cell>
          <cell r="J735">
            <v>200</v>
          </cell>
        </row>
        <row r="736">
          <cell r="C736" t="str">
            <v>推广订单扣款</v>
          </cell>
        </row>
        <row r="736">
          <cell r="H736" t="str">
            <v>首南店</v>
          </cell>
          <cell r="I736">
            <v>45980</v>
          </cell>
          <cell r="J736">
            <v>-191.19</v>
          </cell>
        </row>
        <row r="737">
          <cell r="C737" t="str">
            <v>推广账户自动充值</v>
          </cell>
        </row>
        <row r="737">
          <cell r="H737" t="str">
            <v>余杭店</v>
          </cell>
          <cell r="I737">
            <v>45980</v>
          </cell>
          <cell r="J737">
            <v>200</v>
          </cell>
        </row>
        <row r="738">
          <cell r="C738" t="str">
            <v>推广订单扣款</v>
          </cell>
        </row>
        <row r="738">
          <cell r="H738" t="str">
            <v>余杭店</v>
          </cell>
          <cell r="I738">
            <v>45980</v>
          </cell>
          <cell r="J738">
            <v>-200</v>
          </cell>
        </row>
        <row r="739">
          <cell r="C739" t="str">
            <v>推广订单扣款</v>
          </cell>
        </row>
        <row r="739">
          <cell r="H739" t="str">
            <v>东海店</v>
          </cell>
          <cell r="I739">
            <v>45980</v>
          </cell>
          <cell r="J739">
            <v>-139.5</v>
          </cell>
        </row>
        <row r="740">
          <cell r="C740" t="str">
            <v>推广账户自动充值</v>
          </cell>
        </row>
        <row r="740">
          <cell r="H740" t="str">
            <v>东海店</v>
          </cell>
          <cell r="I740">
            <v>45980</v>
          </cell>
          <cell r="J740">
            <v>200</v>
          </cell>
        </row>
        <row r="741">
          <cell r="C741" t="str">
            <v>推广账户自动充值</v>
          </cell>
        </row>
        <row r="741">
          <cell r="H741" t="str">
            <v>文灶店</v>
          </cell>
          <cell r="I741">
            <v>45980</v>
          </cell>
          <cell r="J741">
            <v>200</v>
          </cell>
        </row>
        <row r="742">
          <cell r="C742" t="str">
            <v>推广订单扣款</v>
          </cell>
        </row>
        <row r="742">
          <cell r="H742" t="str">
            <v>文灶店</v>
          </cell>
          <cell r="I742">
            <v>45980</v>
          </cell>
          <cell r="J742">
            <v>-202.48</v>
          </cell>
        </row>
        <row r="743">
          <cell r="C743" t="str">
            <v>推广账户自动充值</v>
          </cell>
        </row>
        <row r="743">
          <cell r="H743" t="str">
            <v>湖里店</v>
          </cell>
          <cell r="I743">
            <v>45983</v>
          </cell>
          <cell r="J743">
            <v>200</v>
          </cell>
        </row>
        <row r="744">
          <cell r="C744" t="str">
            <v>推广订单扣款</v>
          </cell>
        </row>
        <row r="744">
          <cell r="H744" t="str">
            <v>湖里店</v>
          </cell>
          <cell r="I744">
            <v>45983</v>
          </cell>
          <cell r="J744">
            <v>-148.7</v>
          </cell>
        </row>
        <row r="745">
          <cell r="C745" t="str">
            <v>推广账户自动充值</v>
          </cell>
        </row>
        <row r="745">
          <cell r="H745" t="str">
            <v>湖里店</v>
          </cell>
          <cell r="I745">
            <v>45982</v>
          </cell>
          <cell r="J745">
            <v>200</v>
          </cell>
        </row>
        <row r="746">
          <cell r="C746" t="str">
            <v>推广订单扣款</v>
          </cell>
        </row>
        <row r="746">
          <cell r="H746" t="str">
            <v>湖里店</v>
          </cell>
          <cell r="I746">
            <v>45982</v>
          </cell>
          <cell r="J746">
            <v>-140.21</v>
          </cell>
        </row>
        <row r="747">
          <cell r="C747" t="str">
            <v>推广订单扣款</v>
          </cell>
        </row>
        <row r="747">
          <cell r="H747" t="str">
            <v>湖里店</v>
          </cell>
          <cell r="I747">
            <v>45981</v>
          </cell>
          <cell r="J747">
            <v>-197.41</v>
          </cell>
        </row>
        <row r="748">
          <cell r="C748" t="str">
            <v>推广账户自动充值</v>
          </cell>
        </row>
        <row r="748">
          <cell r="H748" t="str">
            <v>东新店</v>
          </cell>
          <cell r="I748">
            <v>45983</v>
          </cell>
          <cell r="J748">
            <v>200</v>
          </cell>
        </row>
        <row r="749">
          <cell r="C749" t="str">
            <v>推广订单扣款</v>
          </cell>
        </row>
        <row r="749">
          <cell r="H749" t="str">
            <v>东新店</v>
          </cell>
          <cell r="I749">
            <v>45983</v>
          </cell>
          <cell r="J749">
            <v>-293.15</v>
          </cell>
        </row>
        <row r="750">
          <cell r="C750" t="str">
            <v>推广账户自动充值</v>
          </cell>
        </row>
        <row r="750">
          <cell r="H750" t="str">
            <v>东新店</v>
          </cell>
          <cell r="I750">
            <v>45982</v>
          </cell>
          <cell r="J750">
            <v>200</v>
          </cell>
        </row>
        <row r="751">
          <cell r="C751" t="str">
            <v>推广订单扣款</v>
          </cell>
        </row>
        <row r="751">
          <cell r="H751" t="str">
            <v>东新店</v>
          </cell>
          <cell r="I751">
            <v>45982</v>
          </cell>
          <cell r="J751">
            <v>-211.22</v>
          </cell>
        </row>
        <row r="752">
          <cell r="C752" t="str">
            <v>推广账户自动充值</v>
          </cell>
        </row>
        <row r="752">
          <cell r="H752" t="str">
            <v>东新店</v>
          </cell>
          <cell r="I752">
            <v>45981</v>
          </cell>
          <cell r="J752">
            <v>200</v>
          </cell>
        </row>
        <row r="753">
          <cell r="C753" t="str">
            <v>推广订单扣款</v>
          </cell>
        </row>
        <row r="753">
          <cell r="H753" t="str">
            <v>东新店</v>
          </cell>
          <cell r="I753">
            <v>45981</v>
          </cell>
          <cell r="J753">
            <v>-182.17</v>
          </cell>
        </row>
        <row r="754">
          <cell r="C754" t="str">
            <v>推广账户自动充值</v>
          </cell>
        </row>
        <row r="754">
          <cell r="H754" t="str">
            <v>东新店</v>
          </cell>
          <cell r="I754">
            <v>45981</v>
          </cell>
          <cell r="J754">
            <v>200</v>
          </cell>
        </row>
        <row r="755">
          <cell r="C755" t="str">
            <v>推广账户自动充值</v>
          </cell>
        </row>
        <row r="755">
          <cell r="H755" t="str">
            <v>启点店</v>
          </cell>
          <cell r="I755">
            <v>45983</v>
          </cell>
          <cell r="J755">
            <v>200</v>
          </cell>
        </row>
        <row r="756">
          <cell r="C756" t="str">
            <v>推广订单扣款</v>
          </cell>
        </row>
        <row r="756">
          <cell r="H756" t="str">
            <v>启点店</v>
          </cell>
          <cell r="I756">
            <v>45983</v>
          </cell>
          <cell r="J756">
            <v>-177.57</v>
          </cell>
        </row>
        <row r="757">
          <cell r="C757" t="str">
            <v>推广账户自动充值</v>
          </cell>
        </row>
        <row r="757">
          <cell r="H757" t="str">
            <v>启点店</v>
          </cell>
          <cell r="I757">
            <v>45982</v>
          </cell>
          <cell r="J757">
            <v>200</v>
          </cell>
        </row>
        <row r="758">
          <cell r="C758" t="str">
            <v>推广订单扣款</v>
          </cell>
        </row>
        <row r="758">
          <cell r="H758" t="str">
            <v>启点店</v>
          </cell>
          <cell r="I758">
            <v>45982</v>
          </cell>
          <cell r="J758">
            <v>-166.84</v>
          </cell>
        </row>
        <row r="759">
          <cell r="C759" t="str">
            <v>推广账户自动充值</v>
          </cell>
        </row>
        <row r="759">
          <cell r="H759" t="str">
            <v>启点店</v>
          </cell>
          <cell r="I759">
            <v>45981</v>
          </cell>
          <cell r="J759">
            <v>200</v>
          </cell>
        </row>
        <row r="760">
          <cell r="C760" t="str">
            <v>推广订单扣款</v>
          </cell>
        </row>
        <row r="760">
          <cell r="H760" t="str">
            <v>启点店</v>
          </cell>
          <cell r="I760">
            <v>45981</v>
          </cell>
          <cell r="J760">
            <v>-155.69</v>
          </cell>
        </row>
        <row r="761">
          <cell r="C761" t="str">
            <v>推广账户自动充值</v>
          </cell>
        </row>
        <row r="761">
          <cell r="H761" t="str">
            <v>高新店</v>
          </cell>
          <cell r="I761">
            <v>45983</v>
          </cell>
          <cell r="J761">
            <v>200</v>
          </cell>
        </row>
        <row r="762">
          <cell r="C762" t="str">
            <v>推广订单扣款</v>
          </cell>
        </row>
        <row r="762">
          <cell r="H762" t="str">
            <v>高新店</v>
          </cell>
          <cell r="I762">
            <v>45983</v>
          </cell>
          <cell r="J762">
            <v>-137.41</v>
          </cell>
        </row>
        <row r="763">
          <cell r="C763" t="str">
            <v>推广订单扣款</v>
          </cell>
        </row>
        <row r="763">
          <cell r="H763" t="str">
            <v>高新店</v>
          </cell>
          <cell r="I763">
            <v>45982</v>
          </cell>
          <cell r="J763">
            <v>-99.95</v>
          </cell>
        </row>
        <row r="764">
          <cell r="C764" t="str">
            <v>推广账户自动充值</v>
          </cell>
        </row>
        <row r="764">
          <cell r="H764" t="str">
            <v>高新店</v>
          </cell>
          <cell r="I764">
            <v>45981</v>
          </cell>
          <cell r="J764">
            <v>200</v>
          </cell>
        </row>
        <row r="765">
          <cell r="C765" t="str">
            <v>推广订单扣款</v>
          </cell>
        </row>
        <row r="765">
          <cell r="H765" t="str">
            <v>高新店</v>
          </cell>
          <cell r="I765">
            <v>45981</v>
          </cell>
          <cell r="J765">
            <v>-172.01</v>
          </cell>
        </row>
        <row r="766">
          <cell r="C766" t="str">
            <v>推广订单扣款</v>
          </cell>
        </row>
        <row r="766">
          <cell r="H766" t="str">
            <v>成华店</v>
          </cell>
          <cell r="I766">
            <v>45983</v>
          </cell>
          <cell r="J766">
            <v>-127.9</v>
          </cell>
        </row>
        <row r="767">
          <cell r="C767" t="str">
            <v>推广订单扣款</v>
          </cell>
        </row>
        <row r="767">
          <cell r="H767" t="str">
            <v>成华店</v>
          </cell>
          <cell r="I767">
            <v>45982</v>
          </cell>
          <cell r="J767">
            <v>-48.04</v>
          </cell>
        </row>
        <row r="768">
          <cell r="C768" t="str">
            <v>推广账户自动充值</v>
          </cell>
        </row>
        <row r="768">
          <cell r="H768" t="str">
            <v>成华店</v>
          </cell>
          <cell r="I768">
            <v>45981</v>
          </cell>
          <cell r="J768">
            <v>200</v>
          </cell>
        </row>
        <row r="769">
          <cell r="C769" t="str">
            <v>推广订单扣款</v>
          </cell>
        </row>
        <row r="769">
          <cell r="H769" t="str">
            <v>成华店</v>
          </cell>
          <cell r="I769">
            <v>45981</v>
          </cell>
          <cell r="J769">
            <v>-114.63</v>
          </cell>
        </row>
        <row r="770">
          <cell r="C770" t="str">
            <v>推广订单扣款</v>
          </cell>
        </row>
        <row r="770">
          <cell r="H770" t="str">
            <v>金牛店</v>
          </cell>
          <cell r="I770">
            <v>45983</v>
          </cell>
          <cell r="J770">
            <v>-176.31</v>
          </cell>
        </row>
        <row r="771">
          <cell r="C771" t="str">
            <v>推广账户自动充值</v>
          </cell>
        </row>
        <row r="771">
          <cell r="H771" t="str">
            <v>金牛店</v>
          </cell>
          <cell r="I771">
            <v>45982</v>
          </cell>
          <cell r="J771">
            <v>200</v>
          </cell>
        </row>
        <row r="772">
          <cell r="C772" t="str">
            <v>推广订单扣款</v>
          </cell>
        </row>
        <row r="772">
          <cell r="H772" t="str">
            <v>金牛店</v>
          </cell>
          <cell r="I772">
            <v>45982</v>
          </cell>
          <cell r="J772">
            <v>-40.77</v>
          </cell>
        </row>
        <row r="773">
          <cell r="C773" t="str">
            <v>推广订单扣款</v>
          </cell>
        </row>
        <row r="773">
          <cell r="H773" t="str">
            <v>金牛店</v>
          </cell>
          <cell r="I773">
            <v>45981</v>
          </cell>
          <cell r="J773">
            <v>-46</v>
          </cell>
        </row>
        <row r="774">
          <cell r="C774" t="str">
            <v>推广账户自动充值</v>
          </cell>
        </row>
        <row r="774">
          <cell r="H774" t="str">
            <v>西山店</v>
          </cell>
          <cell r="I774">
            <v>45983</v>
          </cell>
          <cell r="J774">
            <v>200</v>
          </cell>
        </row>
        <row r="775">
          <cell r="C775" t="str">
            <v>推广订单扣款</v>
          </cell>
        </row>
        <row r="775">
          <cell r="H775" t="str">
            <v>西山店</v>
          </cell>
          <cell r="I775">
            <v>45983</v>
          </cell>
          <cell r="J775">
            <v>-251.98</v>
          </cell>
        </row>
        <row r="776">
          <cell r="C776" t="str">
            <v>推广账户自动充值</v>
          </cell>
        </row>
        <row r="776">
          <cell r="H776" t="str">
            <v>西山店</v>
          </cell>
          <cell r="I776">
            <v>45982</v>
          </cell>
          <cell r="J776">
            <v>200</v>
          </cell>
        </row>
        <row r="777">
          <cell r="C777" t="str">
            <v>推广订单扣款</v>
          </cell>
        </row>
        <row r="777">
          <cell r="H777" t="str">
            <v>西山店</v>
          </cell>
          <cell r="I777">
            <v>45982</v>
          </cell>
          <cell r="J777">
            <v>-163.8</v>
          </cell>
        </row>
        <row r="778">
          <cell r="C778" t="str">
            <v>推广账户自动充值</v>
          </cell>
        </row>
        <row r="778">
          <cell r="H778" t="str">
            <v>西山店</v>
          </cell>
          <cell r="I778">
            <v>45981</v>
          </cell>
          <cell r="J778">
            <v>200</v>
          </cell>
        </row>
        <row r="779">
          <cell r="C779" t="str">
            <v>推广订单扣款</v>
          </cell>
        </row>
        <row r="779">
          <cell r="H779" t="str">
            <v>西山店</v>
          </cell>
          <cell r="I779">
            <v>45981</v>
          </cell>
          <cell r="J779">
            <v>-150.61</v>
          </cell>
        </row>
        <row r="780">
          <cell r="C780" t="str">
            <v>推广账户自动充值</v>
          </cell>
        </row>
        <row r="780">
          <cell r="H780" t="str">
            <v>沙坪坝店</v>
          </cell>
          <cell r="I780">
            <v>45983</v>
          </cell>
          <cell r="J780">
            <v>200</v>
          </cell>
        </row>
        <row r="781">
          <cell r="C781" t="str">
            <v>推广订单扣款</v>
          </cell>
        </row>
        <row r="781">
          <cell r="H781" t="str">
            <v>沙坪坝店</v>
          </cell>
          <cell r="I781">
            <v>45983</v>
          </cell>
          <cell r="J781">
            <v>-164.05</v>
          </cell>
        </row>
        <row r="782">
          <cell r="C782" t="str">
            <v>推广账户自动充值</v>
          </cell>
        </row>
        <row r="782">
          <cell r="H782" t="str">
            <v>沙坪坝店</v>
          </cell>
          <cell r="I782">
            <v>45982</v>
          </cell>
          <cell r="J782">
            <v>200</v>
          </cell>
        </row>
        <row r="783">
          <cell r="C783" t="str">
            <v>推广订单扣款</v>
          </cell>
        </row>
        <row r="783">
          <cell r="H783" t="str">
            <v>沙坪坝店</v>
          </cell>
          <cell r="I783">
            <v>45982</v>
          </cell>
          <cell r="J783">
            <v>-129.74</v>
          </cell>
        </row>
        <row r="784">
          <cell r="C784" t="str">
            <v>推广订单扣款</v>
          </cell>
        </row>
        <row r="784">
          <cell r="H784" t="str">
            <v>沙坪坝店</v>
          </cell>
          <cell r="I784">
            <v>45981</v>
          </cell>
          <cell r="J784">
            <v>-109.38</v>
          </cell>
        </row>
        <row r="785">
          <cell r="C785" t="str">
            <v>推广账户自动充值</v>
          </cell>
        </row>
        <row r="785">
          <cell r="H785" t="str">
            <v>凤城二路店</v>
          </cell>
          <cell r="I785">
            <v>45983</v>
          </cell>
          <cell r="J785">
            <v>200</v>
          </cell>
        </row>
        <row r="786">
          <cell r="C786" t="str">
            <v>推广账户自动充值</v>
          </cell>
        </row>
        <row r="786">
          <cell r="H786" t="str">
            <v>凤城二路店</v>
          </cell>
          <cell r="I786">
            <v>45983</v>
          </cell>
          <cell r="J786">
            <v>200</v>
          </cell>
        </row>
        <row r="787">
          <cell r="C787" t="str">
            <v>推广订单扣款</v>
          </cell>
        </row>
        <row r="787">
          <cell r="H787" t="str">
            <v>凤城二路店</v>
          </cell>
          <cell r="I787">
            <v>45983</v>
          </cell>
          <cell r="J787">
            <v>-414.99</v>
          </cell>
        </row>
        <row r="788">
          <cell r="C788" t="str">
            <v>推广账户自动充值</v>
          </cell>
        </row>
        <row r="788">
          <cell r="H788" t="str">
            <v>凤城二路店</v>
          </cell>
          <cell r="I788">
            <v>45982</v>
          </cell>
          <cell r="J788">
            <v>200</v>
          </cell>
        </row>
        <row r="789">
          <cell r="C789" t="str">
            <v>推广账户自动充值</v>
          </cell>
        </row>
        <row r="789">
          <cell r="H789" t="str">
            <v>凤城二路店</v>
          </cell>
          <cell r="I789">
            <v>45982</v>
          </cell>
          <cell r="J789">
            <v>200</v>
          </cell>
        </row>
        <row r="790">
          <cell r="C790" t="str">
            <v>推广订单扣款</v>
          </cell>
        </row>
        <row r="790">
          <cell r="H790" t="str">
            <v>凤城二路店</v>
          </cell>
          <cell r="I790">
            <v>45982</v>
          </cell>
          <cell r="J790">
            <v>-386.5</v>
          </cell>
        </row>
        <row r="791">
          <cell r="C791" t="str">
            <v>推广账户自动充值</v>
          </cell>
        </row>
        <row r="791">
          <cell r="H791" t="str">
            <v>凤城二路店</v>
          </cell>
          <cell r="I791">
            <v>45981</v>
          </cell>
          <cell r="J791">
            <v>200</v>
          </cell>
        </row>
        <row r="792">
          <cell r="C792" t="str">
            <v>推广账户自动充值</v>
          </cell>
        </row>
        <row r="792">
          <cell r="H792" t="str">
            <v>凤城二路店</v>
          </cell>
          <cell r="I792">
            <v>45981</v>
          </cell>
          <cell r="J792">
            <v>200</v>
          </cell>
        </row>
        <row r="793">
          <cell r="C793" t="str">
            <v>推广订单扣款</v>
          </cell>
        </row>
        <row r="793">
          <cell r="H793" t="str">
            <v>凤城二路店</v>
          </cell>
          <cell r="I793">
            <v>45981</v>
          </cell>
          <cell r="J793">
            <v>-454.19</v>
          </cell>
        </row>
        <row r="794">
          <cell r="C794" t="str">
            <v>推广账户自动充值</v>
          </cell>
        </row>
        <row r="794">
          <cell r="H794" t="str">
            <v>大坪店</v>
          </cell>
          <cell r="I794">
            <v>45983</v>
          </cell>
          <cell r="J794">
            <v>200</v>
          </cell>
        </row>
        <row r="795">
          <cell r="C795" t="str">
            <v>推广订单扣款</v>
          </cell>
        </row>
        <row r="795">
          <cell r="H795" t="str">
            <v>大坪店</v>
          </cell>
          <cell r="I795">
            <v>45983</v>
          </cell>
          <cell r="J795">
            <v>-200</v>
          </cell>
        </row>
        <row r="796">
          <cell r="C796" t="str">
            <v>推广账户自动充值</v>
          </cell>
        </row>
        <row r="796">
          <cell r="H796" t="str">
            <v>大坪店</v>
          </cell>
          <cell r="I796">
            <v>45982</v>
          </cell>
          <cell r="J796">
            <v>200</v>
          </cell>
        </row>
        <row r="797">
          <cell r="C797" t="str">
            <v>推广订单扣款</v>
          </cell>
        </row>
        <row r="797">
          <cell r="H797" t="str">
            <v>大坪店</v>
          </cell>
          <cell r="I797">
            <v>45982</v>
          </cell>
          <cell r="J797">
            <v>-361.15</v>
          </cell>
        </row>
        <row r="798">
          <cell r="C798" t="str">
            <v>推广账户自动充值</v>
          </cell>
        </row>
        <row r="798">
          <cell r="H798" t="str">
            <v>大坪店</v>
          </cell>
          <cell r="I798">
            <v>45981</v>
          </cell>
          <cell r="J798">
            <v>200</v>
          </cell>
        </row>
        <row r="799">
          <cell r="C799" t="str">
            <v>推广订单扣款</v>
          </cell>
        </row>
        <row r="799">
          <cell r="H799" t="str">
            <v>大坪店</v>
          </cell>
          <cell r="I799">
            <v>45981</v>
          </cell>
          <cell r="J799">
            <v>-241.83</v>
          </cell>
        </row>
        <row r="800">
          <cell r="C800" t="str">
            <v>推广账户自动充值</v>
          </cell>
        </row>
        <row r="800">
          <cell r="H800" t="str">
            <v>五华店</v>
          </cell>
          <cell r="I800">
            <v>45983</v>
          </cell>
          <cell r="J800">
            <v>200</v>
          </cell>
        </row>
        <row r="801">
          <cell r="C801" t="str">
            <v>推广订单扣款</v>
          </cell>
        </row>
        <row r="801">
          <cell r="H801" t="str">
            <v>五华店</v>
          </cell>
          <cell r="I801">
            <v>45983</v>
          </cell>
          <cell r="J801">
            <v>-183.22</v>
          </cell>
        </row>
        <row r="802">
          <cell r="C802" t="str">
            <v>推广账户自动充值</v>
          </cell>
        </row>
        <row r="802">
          <cell r="H802" t="str">
            <v>五华店</v>
          </cell>
          <cell r="I802">
            <v>45982</v>
          </cell>
          <cell r="J802">
            <v>200</v>
          </cell>
        </row>
        <row r="803">
          <cell r="C803" t="str">
            <v>推广订单扣款</v>
          </cell>
        </row>
        <row r="803">
          <cell r="H803" t="str">
            <v>五华店</v>
          </cell>
          <cell r="I803">
            <v>45982</v>
          </cell>
          <cell r="J803">
            <v>-163</v>
          </cell>
        </row>
        <row r="804">
          <cell r="C804" t="str">
            <v>推广订单扣款</v>
          </cell>
        </row>
        <row r="804">
          <cell r="H804" t="str">
            <v>五华店</v>
          </cell>
          <cell r="I804">
            <v>45981</v>
          </cell>
          <cell r="J804">
            <v>-143.83</v>
          </cell>
        </row>
        <row r="805">
          <cell r="C805" t="str">
            <v>推广订单扣款</v>
          </cell>
        </row>
        <row r="805">
          <cell r="H805" t="str">
            <v>官渡店</v>
          </cell>
          <cell r="I805">
            <v>45983</v>
          </cell>
          <cell r="J805">
            <v>-250.69</v>
          </cell>
        </row>
        <row r="806">
          <cell r="C806" t="str">
            <v>推广账户自动充值</v>
          </cell>
        </row>
        <row r="806">
          <cell r="H806" t="str">
            <v>官渡店</v>
          </cell>
          <cell r="I806">
            <v>45982</v>
          </cell>
          <cell r="J806">
            <v>200</v>
          </cell>
        </row>
        <row r="807">
          <cell r="C807" t="str">
            <v>推广订单扣款</v>
          </cell>
        </row>
        <row r="807">
          <cell r="H807" t="str">
            <v>官渡店</v>
          </cell>
          <cell r="I807">
            <v>45982</v>
          </cell>
          <cell r="J807">
            <v>-217.57</v>
          </cell>
        </row>
        <row r="808">
          <cell r="C808" t="str">
            <v>推广账户自动充值</v>
          </cell>
        </row>
        <row r="808">
          <cell r="H808" t="str">
            <v>官渡店</v>
          </cell>
          <cell r="I808">
            <v>45981</v>
          </cell>
          <cell r="J808">
            <v>200</v>
          </cell>
        </row>
        <row r="809">
          <cell r="C809" t="str">
            <v>推广订单扣款</v>
          </cell>
        </row>
        <row r="809">
          <cell r="H809" t="str">
            <v>官渡店</v>
          </cell>
          <cell r="I809">
            <v>45981</v>
          </cell>
          <cell r="J809">
            <v>-187.39</v>
          </cell>
        </row>
        <row r="810">
          <cell r="C810" t="str">
            <v>推广订单扣款</v>
          </cell>
        </row>
        <row r="810">
          <cell r="H810" t="str">
            <v>百捷店</v>
          </cell>
          <cell r="I810">
            <v>45983</v>
          </cell>
          <cell r="J810">
            <v>-100.99</v>
          </cell>
        </row>
        <row r="811">
          <cell r="C811" t="str">
            <v>推广账户自动充值</v>
          </cell>
        </row>
        <row r="811">
          <cell r="H811" t="str">
            <v>百捷店</v>
          </cell>
          <cell r="I811">
            <v>45982</v>
          </cell>
          <cell r="J811">
            <v>200</v>
          </cell>
        </row>
        <row r="812">
          <cell r="C812" t="str">
            <v>推广订单扣款</v>
          </cell>
        </row>
        <row r="812">
          <cell r="H812" t="str">
            <v>百捷店</v>
          </cell>
          <cell r="I812">
            <v>45982</v>
          </cell>
          <cell r="J812">
            <v>-116.93</v>
          </cell>
        </row>
        <row r="813">
          <cell r="C813" t="str">
            <v>推广订单扣款</v>
          </cell>
        </row>
        <row r="813">
          <cell r="H813" t="str">
            <v>百捷店</v>
          </cell>
          <cell r="I813">
            <v>45981</v>
          </cell>
          <cell r="J813">
            <v>-187.07</v>
          </cell>
        </row>
        <row r="814">
          <cell r="C814" t="str">
            <v>推广账户自动充值</v>
          </cell>
        </row>
        <row r="814">
          <cell r="H814" t="str">
            <v>济南店</v>
          </cell>
          <cell r="I814">
            <v>45983</v>
          </cell>
          <cell r="J814">
            <v>200</v>
          </cell>
        </row>
        <row r="815">
          <cell r="C815" t="str">
            <v>推广账户自动充值</v>
          </cell>
        </row>
        <row r="815">
          <cell r="H815" t="str">
            <v>济南店</v>
          </cell>
          <cell r="I815">
            <v>45983</v>
          </cell>
          <cell r="J815">
            <v>200</v>
          </cell>
        </row>
        <row r="816">
          <cell r="C816" t="str">
            <v>推广订单扣款</v>
          </cell>
        </row>
        <row r="816">
          <cell r="H816" t="str">
            <v>济南店</v>
          </cell>
          <cell r="I816">
            <v>45983</v>
          </cell>
          <cell r="J816">
            <v>-289.48</v>
          </cell>
        </row>
        <row r="817">
          <cell r="C817" t="str">
            <v>推广账户自动充值</v>
          </cell>
        </row>
        <row r="817">
          <cell r="H817" t="str">
            <v>济南店</v>
          </cell>
          <cell r="I817">
            <v>45982</v>
          </cell>
          <cell r="J817">
            <v>200</v>
          </cell>
        </row>
        <row r="818">
          <cell r="C818" t="str">
            <v>推广账户自动充值</v>
          </cell>
        </row>
        <row r="818">
          <cell r="H818" t="str">
            <v>济南店</v>
          </cell>
          <cell r="I818">
            <v>45982</v>
          </cell>
          <cell r="J818">
            <v>200</v>
          </cell>
        </row>
        <row r="819">
          <cell r="C819" t="str">
            <v>推广订单扣款</v>
          </cell>
        </row>
        <row r="819">
          <cell r="H819" t="str">
            <v>济南店</v>
          </cell>
          <cell r="I819">
            <v>45982</v>
          </cell>
          <cell r="J819">
            <v>-272.46</v>
          </cell>
        </row>
        <row r="820">
          <cell r="C820" t="str">
            <v>推广账户自动充值</v>
          </cell>
        </row>
        <row r="820">
          <cell r="H820" t="str">
            <v>济南店</v>
          </cell>
          <cell r="I820">
            <v>45981</v>
          </cell>
          <cell r="J820">
            <v>200</v>
          </cell>
        </row>
        <row r="821">
          <cell r="C821" t="str">
            <v>推广订单扣款</v>
          </cell>
        </row>
        <row r="821">
          <cell r="H821" t="str">
            <v>济南店</v>
          </cell>
          <cell r="I821">
            <v>45981</v>
          </cell>
          <cell r="J821">
            <v>-234.89</v>
          </cell>
        </row>
        <row r="822">
          <cell r="C822" t="str">
            <v>推广账户自动充值</v>
          </cell>
        </row>
        <row r="822">
          <cell r="H822" t="str">
            <v>观音桥店</v>
          </cell>
          <cell r="I822">
            <v>45983</v>
          </cell>
          <cell r="J822">
            <v>200</v>
          </cell>
        </row>
        <row r="823">
          <cell r="C823" t="str">
            <v>推广订单扣款</v>
          </cell>
        </row>
        <row r="823">
          <cell r="H823" t="str">
            <v>观音桥店</v>
          </cell>
          <cell r="I823">
            <v>45983</v>
          </cell>
          <cell r="J823">
            <v>-628.95</v>
          </cell>
        </row>
        <row r="824">
          <cell r="C824" t="str">
            <v>推广账户自动充值</v>
          </cell>
        </row>
        <row r="824">
          <cell r="H824" t="str">
            <v>观音桥店</v>
          </cell>
          <cell r="I824">
            <v>45982</v>
          </cell>
          <cell r="J824">
            <v>200</v>
          </cell>
        </row>
        <row r="825">
          <cell r="C825" t="str">
            <v>推广账户自动充值</v>
          </cell>
        </row>
        <row r="825">
          <cell r="H825" t="str">
            <v>观音桥店</v>
          </cell>
          <cell r="I825">
            <v>45982</v>
          </cell>
          <cell r="J825">
            <v>200</v>
          </cell>
        </row>
        <row r="826">
          <cell r="C826" t="str">
            <v>推广账户自动充值</v>
          </cell>
        </row>
        <row r="826">
          <cell r="H826" t="str">
            <v>观音桥店</v>
          </cell>
          <cell r="I826">
            <v>45982</v>
          </cell>
          <cell r="J826">
            <v>200</v>
          </cell>
        </row>
        <row r="827">
          <cell r="C827" t="str">
            <v>推广订单扣款</v>
          </cell>
        </row>
        <row r="827">
          <cell r="H827" t="str">
            <v>观音桥店</v>
          </cell>
          <cell r="I827">
            <v>45982</v>
          </cell>
          <cell r="J827">
            <v>-664.43</v>
          </cell>
        </row>
        <row r="828">
          <cell r="C828" t="str">
            <v>推广账户自动充值</v>
          </cell>
        </row>
        <row r="828">
          <cell r="H828" t="str">
            <v>观音桥店</v>
          </cell>
          <cell r="I828">
            <v>45981</v>
          </cell>
          <cell r="J828">
            <v>200</v>
          </cell>
        </row>
        <row r="829">
          <cell r="C829" t="str">
            <v>推广账户自动充值</v>
          </cell>
        </row>
        <row r="829">
          <cell r="H829" t="str">
            <v>观音桥店</v>
          </cell>
          <cell r="I829">
            <v>45981</v>
          </cell>
          <cell r="J829">
            <v>200</v>
          </cell>
        </row>
        <row r="830">
          <cell r="C830" t="str">
            <v>推广账户自动充值</v>
          </cell>
        </row>
        <row r="830">
          <cell r="H830" t="str">
            <v>观音桥店</v>
          </cell>
          <cell r="I830">
            <v>45981</v>
          </cell>
          <cell r="J830">
            <v>200</v>
          </cell>
        </row>
        <row r="831">
          <cell r="C831" t="str">
            <v>推广订单扣款</v>
          </cell>
        </row>
        <row r="831">
          <cell r="H831" t="str">
            <v>观音桥店</v>
          </cell>
          <cell r="I831">
            <v>45981</v>
          </cell>
          <cell r="J831">
            <v>-413.38</v>
          </cell>
        </row>
        <row r="832">
          <cell r="C832" t="str">
            <v>推广订单扣款</v>
          </cell>
        </row>
        <row r="832">
          <cell r="H832" t="str">
            <v>长沙店</v>
          </cell>
          <cell r="I832">
            <v>45983</v>
          </cell>
          <cell r="J832">
            <v>-124.46</v>
          </cell>
        </row>
        <row r="833">
          <cell r="C833" t="str">
            <v>推广账户自动充值</v>
          </cell>
        </row>
        <row r="833">
          <cell r="H833" t="str">
            <v>长沙店</v>
          </cell>
          <cell r="I833">
            <v>45982</v>
          </cell>
          <cell r="J833">
            <v>200</v>
          </cell>
        </row>
        <row r="834">
          <cell r="C834" t="str">
            <v>推广订单扣款</v>
          </cell>
        </row>
        <row r="834">
          <cell r="H834" t="str">
            <v>长沙店</v>
          </cell>
          <cell r="I834">
            <v>45982</v>
          </cell>
          <cell r="J834">
            <v>-196.22</v>
          </cell>
        </row>
        <row r="835">
          <cell r="C835" t="str">
            <v>推广账户自动充值</v>
          </cell>
        </row>
        <row r="835">
          <cell r="H835" t="str">
            <v>长沙店</v>
          </cell>
          <cell r="I835">
            <v>45981</v>
          </cell>
          <cell r="J835">
            <v>200</v>
          </cell>
        </row>
        <row r="836">
          <cell r="C836" t="str">
            <v>推广订单扣款</v>
          </cell>
        </row>
        <row r="836">
          <cell r="H836" t="str">
            <v>长沙店</v>
          </cell>
          <cell r="I836">
            <v>45981</v>
          </cell>
          <cell r="J836">
            <v>-173.26</v>
          </cell>
        </row>
        <row r="837">
          <cell r="C837" t="str">
            <v>推广订单扣款</v>
          </cell>
        </row>
        <row r="837">
          <cell r="H837" t="str">
            <v>洛江店</v>
          </cell>
          <cell r="I837">
            <v>45983</v>
          </cell>
          <cell r="J837">
            <v>-58.14</v>
          </cell>
        </row>
        <row r="838">
          <cell r="C838" t="str">
            <v>推广订单扣款</v>
          </cell>
        </row>
        <row r="838">
          <cell r="H838" t="str">
            <v>洛江店</v>
          </cell>
          <cell r="I838">
            <v>45982</v>
          </cell>
          <cell r="J838">
            <v>-49.8</v>
          </cell>
        </row>
        <row r="839">
          <cell r="C839" t="str">
            <v>推广订单扣款</v>
          </cell>
        </row>
        <row r="839">
          <cell r="H839" t="str">
            <v>洛江店</v>
          </cell>
          <cell r="I839">
            <v>45981</v>
          </cell>
          <cell r="J839">
            <v>-63.22</v>
          </cell>
        </row>
        <row r="840">
          <cell r="C840" t="str">
            <v>推广账户自动充值</v>
          </cell>
        </row>
        <row r="840">
          <cell r="H840" t="str">
            <v>五路口店</v>
          </cell>
          <cell r="I840">
            <v>45983</v>
          </cell>
          <cell r="J840">
            <v>200</v>
          </cell>
        </row>
        <row r="841">
          <cell r="C841" t="str">
            <v>推广账户自动充值</v>
          </cell>
        </row>
        <row r="841">
          <cell r="H841" t="str">
            <v>五路口店</v>
          </cell>
          <cell r="I841">
            <v>45983</v>
          </cell>
          <cell r="J841">
            <v>200</v>
          </cell>
        </row>
        <row r="842">
          <cell r="C842" t="str">
            <v>推广订单扣款</v>
          </cell>
        </row>
        <row r="842">
          <cell r="H842" t="str">
            <v>五路口店</v>
          </cell>
          <cell r="I842">
            <v>45983</v>
          </cell>
          <cell r="J842">
            <v>-200</v>
          </cell>
        </row>
        <row r="843">
          <cell r="C843" t="str">
            <v>推广账户自动充值</v>
          </cell>
        </row>
        <row r="843">
          <cell r="H843" t="str">
            <v>五路口店</v>
          </cell>
          <cell r="I843">
            <v>45982</v>
          </cell>
          <cell r="J843">
            <v>200</v>
          </cell>
        </row>
        <row r="844">
          <cell r="C844" t="str">
            <v>推广订单扣款</v>
          </cell>
        </row>
        <row r="844">
          <cell r="H844" t="str">
            <v>五路口店</v>
          </cell>
          <cell r="I844">
            <v>45982</v>
          </cell>
          <cell r="J844">
            <v>-429.52</v>
          </cell>
        </row>
        <row r="845">
          <cell r="C845" t="str">
            <v>推广账户自动充值</v>
          </cell>
        </row>
        <row r="845">
          <cell r="H845" t="str">
            <v>五路口店</v>
          </cell>
          <cell r="I845">
            <v>45981</v>
          </cell>
          <cell r="J845">
            <v>200</v>
          </cell>
        </row>
        <row r="846">
          <cell r="C846" t="str">
            <v>推广订单扣款</v>
          </cell>
        </row>
        <row r="846">
          <cell r="H846" t="str">
            <v>五路口店</v>
          </cell>
          <cell r="I846">
            <v>45981</v>
          </cell>
          <cell r="J846">
            <v>-370.48</v>
          </cell>
        </row>
        <row r="847">
          <cell r="C847" t="str">
            <v>推广账户自动充值</v>
          </cell>
        </row>
        <row r="847">
          <cell r="H847" t="str">
            <v>五路口店</v>
          </cell>
          <cell r="I847">
            <v>45981</v>
          </cell>
          <cell r="J847">
            <v>200</v>
          </cell>
        </row>
        <row r="848">
          <cell r="C848" t="str">
            <v>推广订单扣款</v>
          </cell>
        </row>
        <row r="848">
          <cell r="H848" t="str">
            <v>青羊店</v>
          </cell>
          <cell r="I848">
            <v>45983</v>
          </cell>
          <cell r="J848">
            <v>-129.15</v>
          </cell>
        </row>
        <row r="849">
          <cell r="C849" t="str">
            <v>推广账户自动充值</v>
          </cell>
        </row>
        <row r="849">
          <cell r="H849" t="str">
            <v>青羊店</v>
          </cell>
          <cell r="I849">
            <v>45982</v>
          </cell>
          <cell r="J849">
            <v>200</v>
          </cell>
        </row>
        <row r="850">
          <cell r="C850" t="str">
            <v>推广订单扣款</v>
          </cell>
        </row>
        <row r="850">
          <cell r="H850" t="str">
            <v>青羊店</v>
          </cell>
          <cell r="I850">
            <v>45982</v>
          </cell>
          <cell r="J850">
            <v>-144.98</v>
          </cell>
        </row>
        <row r="851">
          <cell r="C851" t="str">
            <v>推广账户自动充值</v>
          </cell>
        </row>
        <row r="851">
          <cell r="H851" t="str">
            <v>青羊店</v>
          </cell>
          <cell r="I851">
            <v>45981</v>
          </cell>
          <cell r="J851">
            <v>200</v>
          </cell>
        </row>
        <row r="852">
          <cell r="C852" t="str">
            <v>推广订单扣款</v>
          </cell>
        </row>
        <row r="852">
          <cell r="H852" t="str">
            <v>青羊店</v>
          </cell>
          <cell r="I852">
            <v>45981</v>
          </cell>
          <cell r="J852">
            <v>-141.58</v>
          </cell>
        </row>
        <row r="853">
          <cell r="C853" t="str">
            <v>推广账户自动充值</v>
          </cell>
        </row>
        <row r="853">
          <cell r="H853" t="str">
            <v>武侯店</v>
          </cell>
          <cell r="I853">
            <v>45983</v>
          </cell>
          <cell r="J853">
            <v>200</v>
          </cell>
        </row>
        <row r="854">
          <cell r="C854" t="str">
            <v>推广订单扣款</v>
          </cell>
        </row>
        <row r="854">
          <cell r="H854" t="str">
            <v>武侯店</v>
          </cell>
          <cell r="I854">
            <v>45983</v>
          </cell>
          <cell r="J854">
            <v>-118.07</v>
          </cell>
        </row>
        <row r="855">
          <cell r="C855" t="str">
            <v>推广订单扣款</v>
          </cell>
        </row>
        <row r="855">
          <cell r="H855" t="str">
            <v>武侯店</v>
          </cell>
          <cell r="I855">
            <v>45982</v>
          </cell>
          <cell r="J855">
            <v>-64.57</v>
          </cell>
        </row>
        <row r="856">
          <cell r="C856" t="str">
            <v>推广账户自动充值</v>
          </cell>
        </row>
        <row r="856">
          <cell r="H856" t="str">
            <v>武侯店</v>
          </cell>
          <cell r="I856">
            <v>45981</v>
          </cell>
          <cell r="J856">
            <v>200</v>
          </cell>
        </row>
        <row r="857">
          <cell r="C857" t="str">
            <v>推广订单扣款</v>
          </cell>
        </row>
        <row r="857">
          <cell r="H857" t="str">
            <v>武侯店</v>
          </cell>
          <cell r="I857">
            <v>45981</v>
          </cell>
          <cell r="J857">
            <v>-47.11</v>
          </cell>
        </row>
        <row r="858">
          <cell r="C858" t="str">
            <v>推广账户自动充值</v>
          </cell>
        </row>
        <row r="858">
          <cell r="H858" t="str">
            <v>鼓楼店</v>
          </cell>
          <cell r="I858">
            <v>45983</v>
          </cell>
          <cell r="J858">
            <v>200</v>
          </cell>
        </row>
        <row r="859">
          <cell r="C859" t="str">
            <v>推广订单扣款</v>
          </cell>
        </row>
        <row r="859">
          <cell r="H859" t="str">
            <v>鼓楼店</v>
          </cell>
          <cell r="I859">
            <v>45983</v>
          </cell>
          <cell r="J859">
            <v>-367.63</v>
          </cell>
        </row>
        <row r="860">
          <cell r="C860" t="str">
            <v>推广账户自动充值</v>
          </cell>
        </row>
        <row r="860">
          <cell r="H860" t="str">
            <v>鼓楼店</v>
          </cell>
          <cell r="I860">
            <v>45982</v>
          </cell>
          <cell r="J860">
            <v>200</v>
          </cell>
        </row>
        <row r="861">
          <cell r="C861" t="str">
            <v>推广订单扣款</v>
          </cell>
        </row>
        <row r="861">
          <cell r="H861" t="str">
            <v>鼓楼店</v>
          </cell>
          <cell r="I861">
            <v>45982</v>
          </cell>
          <cell r="J861">
            <v>-464.45</v>
          </cell>
        </row>
        <row r="862">
          <cell r="C862" t="str">
            <v>推广账户自动充值</v>
          </cell>
        </row>
        <row r="862">
          <cell r="H862" t="str">
            <v>鼓楼店</v>
          </cell>
          <cell r="I862">
            <v>45981</v>
          </cell>
          <cell r="J862">
            <v>200</v>
          </cell>
        </row>
        <row r="863">
          <cell r="C863" t="str">
            <v>推广账户自动充值</v>
          </cell>
        </row>
        <row r="863">
          <cell r="H863" t="str">
            <v>鼓楼店</v>
          </cell>
          <cell r="I863">
            <v>45981</v>
          </cell>
          <cell r="J863">
            <v>200</v>
          </cell>
        </row>
        <row r="864">
          <cell r="C864" t="str">
            <v>推广账户自动充值</v>
          </cell>
        </row>
        <row r="864">
          <cell r="H864" t="str">
            <v>鼓楼店</v>
          </cell>
          <cell r="I864">
            <v>45981</v>
          </cell>
          <cell r="J864">
            <v>200</v>
          </cell>
        </row>
        <row r="865">
          <cell r="C865" t="str">
            <v>推广订单扣款</v>
          </cell>
        </row>
        <row r="865">
          <cell r="H865" t="str">
            <v>鼓楼店</v>
          </cell>
          <cell r="I865">
            <v>45981</v>
          </cell>
          <cell r="J865">
            <v>-380.74</v>
          </cell>
        </row>
        <row r="866">
          <cell r="C866" t="str">
            <v>推广账户自动充值</v>
          </cell>
        </row>
        <row r="866">
          <cell r="H866" t="str">
            <v>黄雁村店</v>
          </cell>
          <cell r="I866">
            <v>45983</v>
          </cell>
          <cell r="J866">
            <v>200</v>
          </cell>
        </row>
        <row r="867">
          <cell r="C867" t="str">
            <v>推广订单扣款</v>
          </cell>
        </row>
        <row r="867">
          <cell r="H867" t="str">
            <v>黄雁村店</v>
          </cell>
          <cell r="I867">
            <v>45983</v>
          </cell>
          <cell r="J867">
            <v>-437.66</v>
          </cell>
        </row>
        <row r="868">
          <cell r="C868" t="str">
            <v>推广账户自动充值</v>
          </cell>
        </row>
        <row r="868">
          <cell r="H868" t="str">
            <v>黄雁村店</v>
          </cell>
          <cell r="I868">
            <v>45982</v>
          </cell>
          <cell r="J868">
            <v>200</v>
          </cell>
        </row>
        <row r="869">
          <cell r="C869" t="str">
            <v>推广账户自动充值</v>
          </cell>
        </row>
        <row r="869">
          <cell r="H869" t="str">
            <v>黄雁村店</v>
          </cell>
          <cell r="I869">
            <v>45982</v>
          </cell>
          <cell r="J869">
            <v>200</v>
          </cell>
        </row>
        <row r="870">
          <cell r="C870" t="str">
            <v>推广订单扣款</v>
          </cell>
        </row>
        <row r="870">
          <cell r="H870" t="str">
            <v>黄雁村店</v>
          </cell>
          <cell r="I870">
            <v>45982</v>
          </cell>
          <cell r="J870">
            <v>-345.52</v>
          </cell>
        </row>
        <row r="871">
          <cell r="C871" t="str">
            <v>推广账户自动充值</v>
          </cell>
        </row>
        <row r="871">
          <cell r="H871" t="str">
            <v>黄雁村店</v>
          </cell>
          <cell r="I871">
            <v>45981</v>
          </cell>
          <cell r="J871">
            <v>200</v>
          </cell>
        </row>
        <row r="872">
          <cell r="C872" t="str">
            <v>推广账户自动充值</v>
          </cell>
        </row>
        <row r="872">
          <cell r="H872" t="str">
            <v>黄雁村店</v>
          </cell>
          <cell r="I872">
            <v>45981</v>
          </cell>
          <cell r="J872">
            <v>200</v>
          </cell>
        </row>
        <row r="873">
          <cell r="C873" t="str">
            <v>推广订单扣款</v>
          </cell>
        </row>
        <row r="873">
          <cell r="H873" t="str">
            <v>黄雁村店</v>
          </cell>
          <cell r="I873">
            <v>45981</v>
          </cell>
          <cell r="J873">
            <v>-301.08</v>
          </cell>
        </row>
        <row r="874">
          <cell r="C874" t="str">
            <v>推广账户自动充值</v>
          </cell>
        </row>
        <row r="874">
          <cell r="H874" t="str">
            <v>西湖店</v>
          </cell>
          <cell r="I874">
            <v>45983</v>
          </cell>
          <cell r="J874">
            <v>200</v>
          </cell>
        </row>
        <row r="875">
          <cell r="C875" t="str">
            <v>推广订单扣款</v>
          </cell>
        </row>
        <row r="875">
          <cell r="H875" t="str">
            <v>西湖店</v>
          </cell>
          <cell r="I875">
            <v>45983</v>
          </cell>
          <cell r="J875">
            <v>-290.24</v>
          </cell>
        </row>
        <row r="876">
          <cell r="C876" t="str">
            <v>推广账户自动充值</v>
          </cell>
        </row>
        <row r="876">
          <cell r="H876" t="str">
            <v>西湖店</v>
          </cell>
          <cell r="I876">
            <v>45982</v>
          </cell>
          <cell r="J876">
            <v>200</v>
          </cell>
        </row>
        <row r="877">
          <cell r="C877" t="str">
            <v>推广账户自动充值</v>
          </cell>
        </row>
        <row r="877">
          <cell r="H877" t="str">
            <v>西湖店</v>
          </cell>
          <cell r="I877">
            <v>45982</v>
          </cell>
          <cell r="J877">
            <v>200</v>
          </cell>
        </row>
        <row r="878">
          <cell r="C878" t="str">
            <v>推广订单扣款</v>
          </cell>
        </row>
        <row r="878">
          <cell r="H878" t="str">
            <v>西湖店</v>
          </cell>
          <cell r="I878">
            <v>45982</v>
          </cell>
          <cell r="J878">
            <v>-235.35</v>
          </cell>
        </row>
        <row r="879">
          <cell r="C879" t="str">
            <v>推广账户自动充值</v>
          </cell>
        </row>
        <row r="879">
          <cell r="H879" t="str">
            <v>西湖店</v>
          </cell>
          <cell r="I879">
            <v>45981</v>
          </cell>
          <cell r="J879">
            <v>200</v>
          </cell>
        </row>
        <row r="880">
          <cell r="C880" t="str">
            <v>推广订单扣款</v>
          </cell>
        </row>
        <row r="880">
          <cell r="H880" t="str">
            <v>西湖店</v>
          </cell>
          <cell r="I880">
            <v>45981</v>
          </cell>
          <cell r="J880">
            <v>-290.01</v>
          </cell>
        </row>
        <row r="881">
          <cell r="C881" t="str">
            <v>推广账户自动充值</v>
          </cell>
        </row>
        <row r="881">
          <cell r="H881" t="str">
            <v>百丈店</v>
          </cell>
          <cell r="I881">
            <v>45983</v>
          </cell>
          <cell r="J881">
            <v>200</v>
          </cell>
        </row>
        <row r="882">
          <cell r="C882" t="str">
            <v>推广订单扣款</v>
          </cell>
        </row>
        <row r="882">
          <cell r="H882" t="str">
            <v>百丈店</v>
          </cell>
          <cell r="I882">
            <v>45983</v>
          </cell>
          <cell r="J882">
            <v>-222.2</v>
          </cell>
        </row>
        <row r="883">
          <cell r="C883" t="str">
            <v>推广账户自动充值</v>
          </cell>
        </row>
        <row r="883">
          <cell r="H883" t="str">
            <v>百丈店</v>
          </cell>
          <cell r="I883">
            <v>45982</v>
          </cell>
          <cell r="J883">
            <v>200</v>
          </cell>
        </row>
        <row r="884">
          <cell r="C884" t="str">
            <v>推广订单扣款</v>
          </cell>
        </row>
        <row r="884">
          <cell r="H884" t="str">
            <v>百丈店</v>
          </cell>
          <cell r="I884">
            <v>45982</v>
          </cell>
          <cell r="J884">
            <v>-179.13</v>
          </cell>
        </row>
        <row r="885">
          <cell r="C885" t="str">
            <v>推广账户自动充值</v>
          </cell>
        </row>
        <row r="885">
          <cell r="H885" t="str">
            <v>百丈店</v>
          </cell>
          <cell r="I885">
            <v>45981</v>
          </cell>
          <cell r="J885">
            <v>200</v>
          </cell>
        </row>
        <row r="886">
          <cell r="C886" t="str">
            <v>推广订单扣款</v>
          </cell>
        </row>
        <row r="886">
          <cell r="H886" t="str">
            <v>百丈店</v>
          </cell>
          <cell r="I886">
            <v>45981</v>
          </cell>
          <cell r="J886">
            <v>-140.71</v>
          </cell>
        </row>
        <row r="887">
          <cell r="C887" t="str">
            <v>推广账户自动充值</v>
          </cell>
        </row>
        <row r="887">
          <cell r="H887" t="str">
            <v>文昌店</v>
          </cell>
          <cell r="I887">
            <v>45983</v>
          </cell>
          <cell r="J887">
            <v>200</v>
          </cell>
        </row>
        <row r="888">
          <cell r="C888" t="str">
            <v>推广订单扣款</v>
          </cell>
        </row>
        <row r="888">
          <cell r="H888" t="str">
            <v>文昌店</v>
          </cell>
          <cell r="I888">
            <v>45983</v>
          </cell>
          <cell r="J888">
            <v>-235.21</v>
          </cell>
        </row>
        <row r="889">
          <cell r="C889" t="str">
            <v>推广账户自动充值</v>
          </cell>
        </row>
        <row r="889">
          <cell r="H889" t="str">
            <v>文昌店</v>
          </cell>
          <cell r="I889">
            <v>45982</v>
          </cell>
          <cell r="J889">
            <v>200</v>
          </cell>
        </row>
        <row r="890">
          <cell r="C890" t="str">
            <v>推广订单扣款</v>
          </cell>
        </row>
        <row r="890">
          <cell r="H890" t="str">
            <v>文昌店</v>
          </cell>
          <cell r="I890">
            <v>45982</v>
          </cell>
          <cell r="J890">
            <v>-206.57</v>
          </cell>
        </row>
        <row r="891">
          <cell r="C891" t="str">
            <v>推广账户自动充值</v>
          </cell>
        </row>
        <row r="891">
          <cell r="H891" t="str">
            <v>文昌店</v>
          </cell>
          <cell r="I891">
            <v>45981</v>
          </cell>
          <cell r="J891">
            <v>200</v>
          </cell>
        </row>
        <row r="892">
          <cell r="C892" t="str">
            <v>推广订单扣款</v>
          </cell>
        </row>
        <row r="892">
          <cell r="H892" t="str">
            <v>文昌店</v>
          </cell>
          <cell r="I892">
            <v>45981</v>
          </cell>
          <cell r="J892">
            <v>-146.46</v>
          </cell>
        </row>
        <row r="893">
          <cell r="C893" t="str">
            <v>推广账户自动充值</v>
          </cell>
        </row>
        <row r="893">
          <cell r="H893" t="str">
            <v>观桥店</v>
          </cell>
          <cell r="I893">
            <v>45983</v>
          </cell>
          <cell r="J893">
            <v>200</v>
          </cell>
        </row>
        <row r="894">
          <cell r="C894" t="str">
            <v>推广订单扣款</v>
          </cell>
        </row>
        <row r="894">
          <cell r="H894" t="str">
            <v>观桥店</v>
          </cell>
          <cell r="I894">
            <v>45983</v>
          </cell>
          <cell r="J894">
            <v>-199.02</v>
          </cell>
        </row>
        <row r="895">
          <cell r="C895" t="str">
            <v>推广账户自动充值</v>
          </cell>
        </row>
        <row r="895">
          <cell r="H895" t="str">
            <v>观桥店</v>
          </cell>
          <cell r="I895">
            <v>45982</v>
          </cell>
          <cell r="J895">
            <v>200</v>
          </cell>
        </row>
        <row r="896">
          <cell r="C896" t="str">
            <v>推广订单扣款</v>
          </cell>
        </row>
        <row r="896">
          <cell r="H896" t="str">
            <v>观桥店</v>
          </cell>
          <cell r="I896">
            <v>45982</v>
          </cell>
          <cell r="J896">
            <v>-184.73</v>
          </cell>
        </row>
        <row r="897">
          <cell r="C897" t="str">
            <v>推广账户自动充值</v>
          </cell>
        </row>
        <row r="897">
          <cell r="H897" t="str">
            <v>观桥店</v>
          </cell>
          <cell r="I897">
            <v>45981</v>
          </cell>
          <cell r="J897">
            <v>200</v>
          </cell>
        </row>
        <row r="898">
          <cell r="C898" t="str">
            <v>推广订单扣款</v>
          </cell>
        </row>
        <row r="898">
          <cell r="H898" t="str">
            <v>观桥店</v>
          </cell>
          <cell r="I898">
            <v>45981</v>
          </cell>
          <cell r="J898">
            <v>-209.53</v>
          </cell>
        </row>
        <row r="899">
          <cell r="C899" t="str">
            <v>推广账户自动充值</v>
          </cell>
        </row>
        <row r="899">
          <cell r="H899" t="str">
            <v>海口店</v>
          </cell>
          <cell r="I899">
            <v>45983</v>
          </cell>
          <cell r="J899">
            <v>200</v>
          </cell>
        </row>
        <row r="900">
          <cell r="C900" t="str">
            <v>推广订单扣款</v>
          </cell>
        </row>
        <row r="900">
          <cell r="H900" t="str">
            <v>海口店</v>
          </cell>
          <cell r="I900">
            <v>45983</v>
          </cell>
          <cell r="J900">
            <v>-200</v>
          </cell>
        </row>
        <row r="901">
          <cell r="C901" t="str">
            <v>推广账户自动充值</v>
          </cell>
        </row>
        <row r="901">
          <cell r="H901" t="str">
            <v>海口店</v>
          </cell>
          <cell r="I901">
            <v>45982</v>
          </cell>
          <cell r="J901">
            <v>200</v>
          </cell>
        </row>
        <row r="902">
          <cell r="C902" t="str">
            <v>推广订单扣款</v>
          </cell>
        </row>
        <row r="902">
          <cell r="H902" t="str">
            <v>海口店</v>
          </cell>
          <cell r="I902">
            <v>45982</v>
          </cell>
          <cell r="J902">
            <v>-200</v>
          </cell>
        </row>
        <row r="903">
          <cell r="C903" t="str">
            <v>推广账户自动充值</v>
          </cell>
        </row>
        <row r="903">
          <cell r="H903" t="str">
            <v>海口店</v>
          </cell>
          <cell r="I903">
            <v>45981</v>
          </cell>
          <cell r="J903">
            <v>200</v>
          </cell>
        </row>
        <row r="904">
          <cell r="C904" t="str">
            <v>推广订单扣款</v>
          </cell>
        </row>
        <row r="904">
          <cell r="H904" t="str">
            <v>海口店</v>
          </cell>
          <cell r="I904">
            <v>45981</v>
          </cell>
          <cell r="J904">
            <v>-200</v>
          </cell>
        </row>
        <row r="905">
          <cell r="C905" t="str">
            <v>推广订单扣款</v>
          </cell>
        </row>
        <row r="905">
          <cell r="H905" t="str">
            <v>南安店</v>
          </cell>
          <cell r="I905">
            <v>45983</v>
          </cell>
          <cell r="J905">
            <v>-98.06</v>
          </cell>
        </row>
        <row r="906">
          <cell r="C906" t="str">
            <v>推广账户自动充值</v>
          </cell>
        </row>
        <row r="906">
          <cell r="H906" t="str">
            <v>南安店</v>
          </cell>
          <cell r="I906">
            <v>45983</v>
          </cell>
          <cell r="J906">
            <v>100</v>
          </cell>
        </row>
        <row r="907">
          <cell r="C907" t="str">
            <v>推广账户自动充值</v>
          </cell>
        </row>
        <row r="907">
          <cell r="H907" t="str">
            <v>南安店</v>
          </cell>
          <cell r="I907">
            <v>45982</v>
          </cell>
          <cell r="J907">
            <v>100</v>
          </cell>
        </row>
        <row r="908">
          <cell r="C908" t="str">
            <v>推广订单扣款</v>
          </cell>
        </row>
        <row r="908">
          <cell r="H908" t="str">
            <v>南安店</v>
          </cell>
          <cell r="I908">
            <v>45982</v>
          </cell>
          <cell r="J908">
            <v>-100</v>
          </cell>
        </row>
        <row r="909">
          <cell r="C909" t="str">
            <v>推广账户自动充值</v>
          </cell>
        </row>
        <row r="909">
          <cell r="H909" t="str">
            <v>南安店</v>
          </cell>
          <cell r="I909">
            <v>45981</v>
          </cell>
          <cell r="J909">
            <v>100</v>
          </cell>
        </row>
        <row r="910">
          <cell r="C910" t="str">
            <v>推广订单扣款</v>
          </cell>
        </row>
        <row r="910">
          <cell r="H910" t="str">
            <v>南安店</v>
          </cell>
          <cell r="I910">
            <v>45981</v>
          </cell>
          <cell r="J910">
            <v>-100</v>
          </cell>
        </row>
        <row r="911">
          <cell r="C911" t="str">
            <v>推广账户自动充值</v>
          </cell>
        </row>
        <row r="911">
          <cell r="H911" t="str">
            <v>诚毅店</v>
          </cell>
          <cell r="I911">
            <v>45983</v>
          </cell>
          <cell r="J911">
            <v>200</v>
          </cell>
        </row>
        <row r="912">
          <cell r="C912" t="str">
            <v>推广订单扣款</v>
          </cell>
        </row>
        <row r="912">
          <cell r="H912" t="str">
            <v>诚毅店</v>
          </cell>
          <cell r="I912">
            <v>45983</v>
          </cell>
          <cell r="J912">
            <v>-219.02</v>
          </cell>
        </row>
        <row r="913">
          <cell r="C913" t="str">
            <v>推广账户自动充值</v>
          </cell>
        </row>
        <row r="913">
          <cell r="H913" t="str">
            <v>诚毅店</v>
          </cell>
          <cell r="I913">
            <v>45982</v>
          </cell>
          <cell r="J913">
            <v>200</v>
          </cell>
        </row>
        <row r="914">
          <cell r="C914" t="str">
            <v>推广订单扣款</v>
          </cell>
        </row>
        <row r="914">
          <cell r="H914" t="str">
            <v>诚毅店</v>
          </cell>
          <cell r="I914">
            <v>45982</v>
          </cell>
          <cell r="J914">
            <v>-265.86</v>
          </cell>
        </row>
        <row r="915">
          <cell r="C915" t="str">
            <v>推广账户自动充值</v>
          </cell>
        </row>
        <row r="915">
          <cell r="H915" t="str">
            <v>诚毅店</v>
          </cell>
          <cell r="I915">
            <v>45981</v>
          </cell>
          <cell r="J915">
            <v>200</v>
          </cell>
        </row>
        <row r="916">
          <cell r="C916" t="str">
            <v>推广订单扣款</v>
          </cell>
        </row>
        <row r="916">
          <cell r="H916" t="str">
            <v>诚毅店</v>
          </cell>
          <cell r="I916">
            <v>45981</v>
          </cell>
          <cell r="J916">
            <v>-192.46</v>
          </cell>
        </row>
        <row r="917">
          <cell r="C917" t="str">
            <v>推广账户自动充值</v>
          </cell>
        </row>
        <row r="917">
          <cell r="H917" t="str">
            <v>首山店</v>
          </cell>
          <cell r="I917">
            <v>45983</v>
          </cell>
          <cell r="J917">
            <v>200</v>
          </cell>
        </row>
        <row r="918">
          <cell r="C918" t="str">
            <v>推广订单扣款</v>
          </cell>
        </row>
        <row r="918">
          <cell r="H918" t="str">
            <v>首山店</v>
          </cell>
          <cell r="I918">
            <v>45983</v>
          </cell>
          <cell r="J918">
            <v>-400</v>
          </cell>
        </row>
        <row r="919">
          <cell r="C919" t="str">
            <v>推广账户自动充值</v>
          </cell>
        </row>
        <row r="919">
          <cell r="H919" t="str">
            <v>首山店</v>
          </cell>
          <cell r="I919">
            <v>45982</v>
          </cell>
          <cell r="J919">
            <v>200</v>
          </cell>
        </row>
        <row r="920">
          <cell r="C920" t="str">
            <v>推广订单扣款</v>
          </cell>
        </row>
        <row r="920">
          <cell r="H920" t="str">
            <v>首山店</v>
          </cell>
          <cell r="I920">
            <v>45982</v>
          </cell>
          <cell r="J920">
            <v>-400</v>
          </cell>
        </row>
        <row r="921">
          <cell r="C921" t="str">
            <v>推广账户自动充值</v>
          </cell>
        </row>
        <row r="921">
          <cell r="H921" t="str">
            <v>首山店</v>
          </cell>
          <cell r="I921">
            <v>45982</v>
          </cell>
          <cell r="J921">
            <v>200</v>
          </cell>
        </row>
        <row r="922">
          <cell r="C922" t="str">
            <v>推广账户自动充值</v>
          </cell>
        </row>
        <row r="922">
          <cell r="H922" t="str">
            <v>首山店</v>
          </cell>
          <cell r="I922">
            <v>45981</v>
          </cell>
          <cell r="J922">
            <v>200</v>
          </cell>
        </row>
        <row r="923">
          <cell r="C923" t="str">
            <v>推广订单扣款</v>
          </cell>
        </row>
        <row r="923">
          <cell r="H923" t="str">
            <v>首山店</v>
          </cell>
          <cell r="I923">
            <v>45981</v>
          </cell>
          <cell r="J923">
            <v>-198.47</v>
          </cell>
        </row>
        <row r="924">
          <cell r="C924" t="str">
            <v>推广账户自动充值</v>
          </cell>
        </row>
        <row r="924">
          <cell r="H924" t="str">
            <v>首山店</v>
          </cell>
          <cell r="I924">
            <v>45981</v>
          </cell>
          <cell r="J924">
            <v>200</v>
          </cell>
        </row>
        <row r="925">
          <cell r="C925" t="str">
            <v>推广账户自动充值</v>
          </cell>
        </row>
        <row r="925">
          <cell r="H925" t="str">
            <v>首南店</v>
          </cell>
          <cell r="I925">
            <v>45983</v>
          </cell>
          <cell r="J925">
            <v>200</v>
          </cell>
        </row>
        <row r="926">
          <cell r="C926" t="str">
            <v>推广订单扣款</v>
          </cell>
        </row>
        <row r="926">
          <cell r="H926" t="str">
            <v>首南店</v>
          </cell>
          <cell r="I926">
            <v>45983</v>
          </cell>
          <cell r="J926">
            <v>-229.67</v>
          </cell>
        </row>
        <row r="927">
          <cell r="C927" t="str">
            <v>推广账户自动充值</v>
          </cell>
        </row>
        <row r="927">
          <cell r="H927" t="str">
            <v>首南店</v>
          </cell>
          <cell r="I927">
            <v>45982</v>
          </cell>
          <cell r="J927">
            <v>200</v>
          </cell>
        </row>
        <row r="928">
          <cell r="C928" t="str">
            <v>推广订单扣款</v>
          </cell>
        </row>
        <row r="928">
          <cell r="H928" t="str">
            <v>首南店</v>
          </cell>
          <cell r="I928">
            <v>45982</v>
          </cell>
          <cell r="J928">
            <v>-209.22</v>
          </cell>
        </row>
        <row r="929">
          <cell r="C929" t="str">
            <v>推广账户自动充值</v>
          </cell>
        </row>
        <row r="929">
          <cell r="H929" t="str">
            <v>首南店</v>
          </cell>
          <cell r="I929">
            <v>45981</v>
          </cell>
          <cell r="J929">
            <v>200</v>
          </cell>
        </row>
        <row r="930">
          <cell r="C930" t="str">
            <v>推广订单扣款</v>
          </cell>
        </row>
        <row r="930">
          <cell r="H930" t="str">
            <v>首南店</v>
          </cell>
          <cell r="I930">
            <v>45981</v>
          </cell>
          <cell r="J930">
            <v>-209.47</v>
          </cell>
        </row>
        <row r="931">
          <cell r="C931" t="str">
            <v>推广账户自动充值</v>
          </cell>
        </row>
        <row r="931">
          <cell r="H931" t="str">
            <v>首南店</v>
          </cell>
          <cell r="I931">
            <v>45981</v>
          </cell>
          <cell r="J931">
            <v>200</v>
          </cell>
        </row>
        <row r="932">
          <cell r="C932" t="str">
            <v>推广订单扣款</v>
          </cell>
        </row>
        <row r="932">
          <cell r="H932" t="str">
            <v>余杭店</v>
          </cell>
          <cell r="I932">
            <v>45983</v>
          </cell>
          <cell r="J932">
            <v>-142.01</v>
          </cell>
        </row>
        <row r="933">
          <cell r="C933" t="str">
            <v>推广账户自动充值</v>
          </cell>
        </row>
        <row r="933">
          <cell r="H933" t="str">
            <v>余杭店</v>
          </cell>
          <cell r="I933">
            <v>45982</v>
          </cell>
          <cell r="J933">
            <v>200</v>
          </cell>
        </row>
        <row r="934">
          <cell r="C934" t="str">
            <v>推广订单扣款</v>
          </cell>
        </row>
        <row r="934">
          <cell r="H934" t="str">
            <v>余杭店</v>
          </cell>
          <cell r="I934">
            <v>45982</v>
          </cell>
          <cell r="J934">
            <v>-225.72</v>
          </cell>
        </row>
        <row r="935">
          <cell r="C935" t="str">
            <v>推广账户自动充值</v>
          </cell>
        </row>
        <row r="935">
          <cell r="H935" t="str">
            <v>余杭店</v>
          </cell>
          <cell r="I935">
            <v>45981</v>
          </cell>
          <cell r="J935">
            <v>200</v>
          </cell>
        </row>
        <row r="936">
          <cell r="C936" t="str">
            <v>推广订单扣款</v>
          </cell>
        </row>
        <row r="936">
          <cell r="H936" t="str">
            <v>余杭店</v>
          </cell>
          <cell r="I936">
            <v>45981</v>
          </cell>
          <cell r="J936">
            <v>-200</v>
          </cell>
        </row>
        <row r="937">
          <cell r="C937" t="str">
            <v>推广账户自动充值</v>
          </cell>
        </row>
        <row r="937">
          <cell r="H937" t="str">
            <v>东海店</v>
          </cell>
          <cell r="I937">
            <v>45983</v>
          </cell>
          <cell r="J937">
            <v>200</v>
          </cell>
        </row>
        <row r="938">
          <cell r="C938" t="str">
            <v>推广订单扣款</v>
          </cell>
        </row>
        <row r="938">
          <cell r="H938" t="str">
            <v>东海店</v>
          </cell>
          <cell r="I938">
            <v>45983</v>
          </cell>
          <cell r="J938">
            <v>-200</v>
          </cell>
        </row>
        <row r="939">
          <cell r="C939" t="str">
            <v>推广订单扣款</v>
          </cell>
        </row>
        <row r="939">
          <cell r="H939" t="str">
            <v>东海店</v>
          </cell>
          <cell r="I939">
            <v>45982</v>
          </cell>
          <cell r="J939">
            <v>-200</v>
          </cell>
        </row>
        <row r="940">
          <cell r="C940" t="str">
            <v>推广账户自动充值</v>
          </cell>
        </row>
        <row r="940">
          <cell r="H940" t="str">
            <v>东海店</v>
          </cell>
          <cell r="I940">
            <v>45982</v>
          </cell>
          <cell r="J940">
            <v>200</v>
          </cell>
        </row>
        <row r="941">
          <cell r="C941" t="str">
            <v>推广订单扣款</v>
          </cell>
        </row>
        <row r="941">
          <cell r="H941" t="str">
            <v>东海店</v>
          </cell>
          <cell r="I941">
            <v>45981</v>
          </cell>
          <cell r="J941">
            <v>-200</v>
          </cell>
        </row>
        <row r="942">
          <cell r="C942" t="str">
            <v>推广账户自动充值</v>
          </cell>
        </row>
        <row r="942">
          <cell r="H942" t="str">
            <v>东海店</v>
          </cell>
          <cell r="I942">
            <v>45981</v>
          </cell>
          <cell r="J942">
            <v>200</v>
          </cell>
        </row>
        <row r="943">
          <cell r="C943" t="str">
            <v>推广账户自动充值</v>
          </cell>
        </row>
        <row r="943">
          <cell r="H943" t="str">
            <v>文灶店</v>
          </cell>
          <cell r="I943">
            <v>45983</v>
          </cell>
          <cell r="J943">
            <v>200</v>
          </cell>
        </row>
        <row r="944">
          <cell r="C944" t="str">
            <v>推广订单扣款</v>
          </cell>
        </row>
        <row r="944">
          <cell r="H944" t="str">
            <v>文灶店</v>
          </cell>
          <cell r="I944">
            <v>45983</v>
          </cell>
          <cell r="J944">
            <v>-300</v>
          </cell>
        </row>
        <row r="945">
          <cell r="C945" t="str">
            <v>推广账户自动充值</v>
          </cell>
        </row>
        <row r="945">
          <cell r="H945" t="str">
            <v>文灶店</v>
          </cell>
          <cell r="I945">
            <v>45982</v>
          </cell>
          <cell r="J945">
            <v>200</v>
          </cell>
        </row>
        <row r="946">
          <cell r="C946" t="str">
            <v>推广账户自动充值</v>
          </cell>
        </row>
        <row r="946">
          <cell r="H946" t="str">
            <v>文灶店</v>
          </cell>
          <cell r="I946">
            <v>45982</v>
          </cell>
          <cell r="J946">
            <v>200</v>
          </cell>
        </row>
        <row r="947">
          <cell r="C947" t="str">
            <v>推广订单扣款</v>
          </cell>
        </row>
        <row r="947">
          <cell r="H947" t="str">
            <v>文灶店</v>
          </cell>
          <cell r="I947">
            <v>45982</v>
          </cell>
          <cell r="J947">
            <v>-254.92</v>
          </cell>
        </row>
        <row r="948">
          <cell r="C948" t="str">
            <v>推广账户自动充值</v>
          </cell>
        </row>
        <row r="948">
          <cell r="H948" t="str">
            <v>文灶店</v>
          </cell>
          <cell r="I948">
            <v>45981</v>
          </cell>
          <cell r="J948">
            <v>200</v>
          </cell>
        </row>
        <row r="949">
          <cell r="C949" t="str">
            <v>推广订单扣款</v>
          </cell>
        </row>
        <row r="949">
          <cell r="H949" t="str">
            <v>文灶店</v>
          </cell>
          <cell r="I949">
            <v>45981</v>
          </cell>
          <cell r="J949">
            <v>-212.19</v>
          </cell>
        </row>
        <row r="950">
          <cell r="C950" t="str">
            <v>推广账户自动充值</v>
          </cell>
        </row>
        <row r="950">
          <cell r="H950" t="str">
            <v>华信店</v>
          </cell>
          <cell r="I950">
            <v>45983</v>
          </cell>
          <cell r="J950">
            <v>200</v>
          </cell>
        </row>
        <row r="951">
          <cell r="C951" t="str">
            <v>推广订单扣款</v>
          </cell>
        </row>
        <row r="951">
          <cell r="H951" t="str">
            <v>华信店</v>
          </cell>
          <cell r="I951">
            <v>45983</v>
          </cell>
          <cell r="J951">
            <v>-180</v>
          </cell>
        </row>
        <row r="952">
          <cell r="C952" t="str">
            <v>推广账户自动充值</v>
          </cell>
        </row>
        <row r="952">
          <cell r="H952" t="str">
            <v>华信店</v>
          </cell>
          <cell r="I952">
            <v>45982</v>
          </cell>
          <cell r="J952">
            <v>200</v>
          </cell>
        </row>
        <row r="953">
          <cell r="C953" t="str">
            <v>推广订单扣款</v>
          </cell>
        </row>
        <row r="953">
          <cell r="H953" t="str">
            <v>华信店</v>
          </cell>
          <cell r="I953">
            <v>45982</v>
          </cell>
          <cell r="J953">
            <v>-180</v>
          </cell>
        </row>
        <row r="954">
          <cell r="C954" t="str">
            <v>推广账户自动充值</v>
          </cell>
        </row>
        <row r="954">
          <cell r="H954" t="str">
            <v>华信店</v>
          </cell>
          <cell r="I954">
            <v>45981</v>
          </cell>
          <cell r="J954">
            <v>200</v>
          </cell>
        </row>
        <row r="955">
          <cell r="C955" t="str">
            <v>推广订单扣款</v>
          </cell>
        </row>
        <row r="955">
          <cell r="H955" t="str">
            <v>华信店</v>
          </cell>
          <cell r="I955">
            <v>45981</v>
          </cell>
          <cell r="J955">
            <v>-180</v>
          </cell>
        </row>
        <row r="956">
          <cell r="C956" t="str">
            <v>推广账户自动充值</v>
          </cell>
        </row>
        <row r="956">
          <cell r="H956" t="str">
            <v>华信店</v>
          </cell>
          <cell r="I956">
            <v>45984</v>
          </cell>
          <cell r="J956">
            <v>200</v>
          </cell>
        </row>
        <row r="957">
          <cell r="C957" t="str">
            <v>推广订单扣款</v>
          </cell>
        </row>
        <row r="957">
          <cell r="H957" t="str">
            <v>华信店</v>
          </cell>
          <cell r="I957">
            <v>45984</v>
          </cell>
          <cell r="J957">
            <v>-180</v>
          </cell>
        </row>
        <row r="958">
          <cell r="C958" t="str">
            <v>推广账户自动充值</v>
          </cell>
        </row>
        <row r="958">
          <cell r="H958" t="str">
            <v>湖里店</v>
          </cell>
          <cell r="I958">
            <v>45984</v>
          </cell>
          <cell r="J958">
            <v>200</v>
          </cell>
        </row>
        <row r="959">
          <cell r="C959" t="str">
            <v>推广订单扣款</v>
          </cell>
        </row>
        <row r="959">
          <cell r="H959" t="str">
            <v>湖里店</v>
          </cell>
          <cell r="I959">
            <v>45984</v>
          </cell>
          <cell r="J959">
            <v>-162.85</v>
          </cell>
        </row>
        <row r="960">
          <cell r="C960" t="str">
            <v>推广账户自动充值</v>
          </cell>
        </row>
        <row r="960">
          <cell r="H960" t="str">
            <v>东新店</v>
          </cell>
          <cell r="I960">
            <v>45984</v>
          </cell>
          <cell r="J960">
            <v>200</v>
          </cell>
        </row>
        <row r="961">
          <cell r="C961" t="str">
            <v>推广订单扣款</v>
          </cell>
        </row>
        <row r="961">
          <cell r="H961" t="str">
            <v>东新店</v>
          </cell>
          <cell r="I961">
            <v>45984</v>
          </cell>
          <cell r="J961">
            <v>-173.24</v>
          </cell>
        </row>
        <row r="962">
          <cell r="C962" t="str">
            <v>推广账户自动充值</v>
          </cell>
        </row>
        <row r="962">
          <cell r="H962" t="str">
            <v>启点店</v>
          </cell>
          <cell r="I962">
            <v>45984</v>
          </cell>
          <cell r="J962">
            <v>200</v>
          </cell>
        </row>
        <row r="963">
          <cell r="C963" t="str">
            <v>推广订单扣款</v>
          </cell>
        </row>
        <row r="963">
          <cell r="H963" t="str">
            <v>启点店</v>
          </cell>
          <cell r="I963">
            <v>45984</v>
          </cell>
          <cell r="J963">
            <v>-247.32</v>
          </cell>
        </row>
        <row r="964">
          <cell r="C964" t="str">
            <v>推广账户自动充值</v>
          </cell>
        </row>
        <row r="964">
          <cell r="H964" t="str">
            <v>高新店</v>
          </cell>
          <cell r="I964">
            <v>45984</v>
          </cell>
          <cell r="J964">
            <v>200</v>
          </cell>
        </row>
        <row r="965">
          <cell r="C965" t="str">
            <v>推广订单扣款</v>
          </cell>
        </row>
        <row r="965">
          <cell r="H965" t="str">
            <v>高新店</v>
          </cell>
          <cell r="I965">
            <v>45984</v>
          </cell>
          <cell r="J965">
            <v>-138.02</v>
          </cell>
        </row>
        <row r="966">
          <cell r="C966" t="str">
            <v>推广账户自动充值</v>
          </cell>
        </row>
        <row r="966">
          <cell r="H966" t="str">
            <v>成华店</v>
          </cell>
          <cell r="I966">
            <v>45984</v>
          </cell>
          <cell r="J966">
            <v>200</v>
          </cell>
        </row>
        <row r="967">
          <cell r="C967" t="str">
            <v>推广订单扣款</v>
          </cell>
        </row>
        <row r="967">
          <cell r="H967" t="str">
            <v>成华店</v>
          </cell>
          <cell r="I967">
            <v>45984</v>
          </cell>
          <cell r="J967">
            <v>-72.94</v>
          </cell>
        </row>
        <row r="968">
          <cell r="C968" t="str">
            <v>推广账户自动充值</v>
          </cell>
        </row>
        <row r="968">
          <cell r="H968" t="str">
            <v>金牛店</v>
          </cell>
          <cell r="I968">
            <v>45984</v>
          </cell>
          <cell r="J968">
            <v>200</v>
          </cell>
        </row>
        <row r="969">
          <cell r="C969" t="str">
            <v>推广订单扣款</v>
          </cell>
        </row>
        <row r="969">
          <cell r="H969" t="str">
            <v>金牛店</v>
          </cell>
          <cell r="I969">
            <v>45984</v>
          </cell>
          <cell r="J969">
            <v>-94.22</v>
          </cell>
        </row>
        <row r="970">
          <cell r="C970" t="str">
            <v>推广订单扣款</v>
          </cell>
        </row>
        <row r="970">
          <cell r="H970" t="str">
            <v>西山店</v>
          </cell>
          <cell r="I970">
            <v>45984</v>
          </cell>
          <cell r="J970">
            <v>-107.13</v>
          </cell>
        </row>
        <row r="971">
          <cell r="C971" t="str">
            <v>推广订单扣款</v>
          </cell>
        </row>
        <row r="971">
          <cell r="H971" t="str">
            <v>沙坪坝店</v>
          </cell>
          <cell r="I971">
            <v>45984</v>
          </cell>
          <cell r="J971">
            <v>-88.52</v>
          </cell>
        </row>
        <row r="972">
          <cell r="C972" t="str">
            <v>推广账户自动充值</v>
          </cell>
        </row>
        <row r="972">
          <cell r="H972" t="str">
            <v>凤城二路店</v>
          </cell>
          <cell r="I972">
            <v>45984</v>
          </cell>
          <cell r="J972">
            <v>200</v>
          </cell>
        </row>
        <row r="973">
          <cell r="C973" t="str">
            <v>推广账户自动充值</v>
          </cell>
        </row>
        <row r="973">
          <cell r="H973" t="str">
            <v>凤城二路店</v>
          </cell>
          <cell r="I973">
            <v>45984</v>
          </cell>
          <cell r="J973">
            <v>200</v>
          </cell>
        </row>
        <row r="974">
          <cell r="C974" t="str">
            <v>推广订单扣款</v>
          </cell>
        </row>
        <row r="974">
          <cell r="H974" t="str">
            <v>凤城二路店</v>
          </cell>
          <cell r="I974">
            <v>45984</v>
          </cell>
          <cell r="J974">
            <v>-482.43</v>
          </cell>
        </row>
        <row r="975">
          <cell r="C975" t="str">
            <v>推广账户自动充值</v>
          </cell>
        </row>
        <row r="975">
          <cell r="H975" t="str">
            <v>大坪店</v>
          </cell>
          <cell r="I975">
            <v>45984</v>
          </cell>
          <cell r="J975">
            <v>200</v>
          </cell>
        </row>
        <row r="976">
          <cell r="C976" t="str">
            <v>推广订单扣款</v>
          </cell>
        </row>
        <row r="976">
          <cell r="H976" t="str">
            <v>大坪店</v>
          </cell>
          <cell r="I976">
            <v>45984</v>
          </cell>
          <cell r="J976">
            <v>-124.68</v>
          </cell>
        </row>
        <row r="977">
          <cell r="C977" t="str">
            <v>推广订单扣款</v>
          </cell>
        </row>
        <row r="977">
          <cell r="H977" t="str">
            <v>五华店</v>
          </cell>
          <cell r="I977">
            <v>45984</v>
          </cell>
          <cell r="J977">
            <v>-105.1</v>
          </cell>
        </row>
        <row r="978">
          <cell r="C978" t="str">
            <v>推广账户自动充值</v>
          </cell>
        </row>
        <row r="978">
          <cell r="H978" t="str">
            <v>官渡店</v>
          </cell>
          <cell r="I978">
            <v>45984</v>
          </cell>
          <cell r="J978">
            <v>200</v>
          </cell>
        </row>
        <row r="979">
          <cell r="C979" t="str">
            <v>推广订单扣款</v>
          </cell>
        </row>
        <row r="979">
          <cell r="H979" t="str">
            <v>官渡店</v>
          </cell>
          <cell r="I979">
            <v>45984</v>
          </cell>
          <cell r="J979">
            <v>-100</v>
          </cell>
        </row>
        <row r="980">
          <cell r="C980" t="str">
            <v>推广账户自动充值</v>
          </cell>
        </row>
        <row r="980">
          <cell r="H980" t="str">
            <v>百捷店</v>
          </cell>
          <cell r="I980">
            <v>45984</v>
          </cell>
          <cell r="J980">
            <v>200</v>
          </cell>
        </row>
        <row r="981">
          <cell r="C981" t="str">
            <v>推广订单扣款</v>
          </cell>
        </row>
        <row r="981">
          <cell r="H981" t="str">
            <v>百捷店</v>
          </cell>
          <cell r="I981">
            <v>45984</v>
          </cell>
          <cell r="J981">
            <v>-96.22</v>
          </cell>
        </row>
        <row r="982">
          <cell r="C982" t="str">
            <v>推广账户自动充值</v>
          </cell>
        </row>
        <row r="982">
          <cell r="H982" t="str">
            <v>济南店</v>
          </cell>
          <cell r="I982">
            <v>45984</v>
          </cell>
          <cell r="J982">
            <v>200</v>
          </cell>
        </row>
        <row r="983">
          <cell r="C983" t="str">
            <v>推广订单扣款</v>
          </cell>
        </row>
        <row r="983">
          <cell r="H983" t="str">
            <v>济南店</v>
          </cell>
          <cell r="I983">
            <v>45984</v>
          </cell>
          <cell r="J983">
            <v>-423.24</v>
          </cell>
        </row>
        <row r="984">
          <cell r="C984" t="str">
            <v>推广账户自动充值</v>
          </cell>
        </row>
        <row r="984">
          <cell r="H984" t="str">
            <v>观音桥店</v>
          </cell>
          <cell r="I984">
            <v>45984</v>
          </cell>
          <cell r="J984">
            <v>200</v>
          </cell>
        </row>
        <row r="985">
          <cell r="C985" t="str">
            <v>推广订单扣款</v>
          </cell>
        </row>
        <row r="985">
          <cell r="H985" t="str">
            <v>观音桥店</v>
          </cell>
          <cell r="I985">
            <v>45984</v>
          </cell>
          <cell r="J985">
            <v>-261.25</v>
          </cell>
        </row>
        <row r="986">
          <cell r="C986" t="str">
            <v>推广账户自动充值</v>
          </cell>
        </row>
        <row r="986">
          <cell r="H986" t="str">
            <v>长沙店</v>
          </cell>
          <cell r="I986">
            <v>45984</v>
          </cell>
          <cell r="J986">
            <v>200</v>
          </cell>
        </row>
        <row r="987">
          <cell r="C987" t="str">
            <v>推广订单扣款</v>
          </cell>
        </row>
        <row r="987">
          <cell r="H987" t="str">
            <v>长沙店</v>
          </cell>
          <cell r="I987">
            <v>45984</v>
          </cell>
          <cell r="J987">
            <v>-115.2</v>
          </cell>
        </row>
        <row r="988">
          <cell r="C988" t="str">
            <v>推广账户自动充值</v>
          </cell>
        </row>
        <row r="988">
          <cell r="H988" t="str">
            <v>洛江店</v>
          </cell>
          <cell r="I988">
            <v>45984</v>
          </cell>
          <cell r="J988">
            <v>200</v>
          </cell>
        </row>
        <row r="989">
          <cell r="C989" t="str">
            <v>推广账户自动充值</v>
          </cell>
        </row>
        <row r="989">
          <cell r="H989" t="str">
            <v>五路口店</v>
          </cell>
          <cell r="I989">
            <v>45984</v>
          </cell>
          <cell r="J989">
            <v>200</v>
          </cell>
        </row>
        <row r="990">
          <cell r="C990" t="str">
            <v>推广账户自动充值</v>
          </cell>
        </row>
        <row r="990">
          <cell r="H990" t="str">
            <v>五路口店</v>
          </cell>
          <cell r="I990">
            <v>45984</v>
          </cell>
          <cell r="J990">
            <v>200</v>
          </cell>
        </row>
        <row r="991">
          <cell r="C991" t="str">
            <v>推广订单扣款</v>
          </cell>
        </row>
        <row r="991">
          <cell r="H991" t="str">
            <v>五路口店</v>
          </cell>
          <cell r="I991">
            <v>45984</v>
          </cell>
          <cell r="J991">
            <v>-290.89</v>
          </cell>
        </row>
        <row r="992">
          <cell r="C992" t="str">
            <v>推广账户自动充值</v>
          </cell>
        </row>
        <row r="992">
          <cell r="H992" t="str">
            <v>青羊店</v>
          </cell>
          <cell r="I992">
            <v>45984</v>
          </cell>
          <cell r="J992">
            <v>200</v>
          </cell>
        </row>
        <row r="993">
          <cell r="C993" t="str">
            <v>推广订单扣款</v>
          </cell>
        </row>
        <row r="993">
          <cell r="H993" t="str">
            <v>青羊店</v>
          </cell>
          <cell r="I993">
            <v>45984</v>
          </cell>
          <cell r="J993">
            <v>-96.53</v>
          </cell>
        </row>
        <row r="994">
          <cell r="C994" t="str">
            <v>推广订单扣款</v>
          </cell>
        </row>
        <row r="994">
          <cell r="H994" t="str">
            <v>武侯店</v>
          </cell>
          <cell r="I994">
            <v>45984</v>
          </cell>
          <cell r="J994">
            <v>-162.18</v>
          </cell>
        </row>
        <row r="995">
          <cell r="C995" t="str">
            <v>推广账户自动充值</v>
          </cell>
        </row>
        <row r="995">
          <cell r="H995" t="str">
            <v>鼓楼店</v>
          </cell>
          <cell r="I995">
            <v>45984</v>
          </cell>
          <cell r="J995">
            <v>200</v>
          </cell>
        </row>
        <row r="996">
          <cell r="C996" t="str">
            <v>推广账户自动充值</v>
          </cell>
        </row>
        <row r="996">
          <cell r="H996" t="str">
            <v>鼓楼店</v>
          </cell>
          <cell r="I996">
            <v>45984</v>
          </cell>
          <cell r="J996">
            <v>200</v>
          </cell>
        </row>
        <row r="997">
          <cell r="C997" t="str">
            <v>推广账户自动充值</v>
          </cell>
        </row>
        <row r="997">
          <cell r="H997" t="str">
            <v>鼓楼店</v>
          </cell>
          <cell r="I997">
            <v>45984</v>
          </cell>
          <cell r="J997">
            <v>200</v>
          </cell>
        </row>
        <row r="998">
          <cell r="C998" t="str">
            <v>推广订单扣款</v>
          </cell>
        </row>
        <row r="998">
          <cell r="H998" t="str">
            <v>鼓楼店</v>
          </cell>
          <cell r="I998">
            <v>45984</v>
          </cell>
          <cell r="J998">
            <v>-200</v>
          </cell>
        </row>
        <row r="999">
          <cell r="C999" t="str">
            <v>推广账户自动充值</v>
          </cell>
        </row>
        <row r="999">
          <cell r="H999" t="str">
            <v>黄雁村店</v>
          </cell>
          <cell r="I999">
            <v>45984</v>
          </cell>
          <cell r="J999">
            <v>200</v>
          </cell>
        </row>
        <row r="1000">
          <cell r="C1000" t="str">
            <v>推广账户自动充值</v>
          </cell>
        </row>
        <row r="1000">
          <cell r="H1000" t="str">
            <v>黄雁村店</v>
          </cell>
          <cell r="I1000">
            <v>45984</v>
          </cell>
          <cell r="J1000">
            <v>200</v>
          </cell>
        </row>
        <row r="1001">
          <cell r="C1001" t="str">
            <v>推广订单扣款</v>
          </cell>
        </row>
        <row r="1001">
          <cell r="H1001" t="str">
            <v>黄雁村店</v>
          </cell>
          <cell r="I1001">
            <v>45984</v>
          </cell>
          <cell r="J1001">
            <v>-279.04</v>
          </cell>
        </row>
        <row r="1002">
          <cell r="C1002" t="str">
            <v>推广账户自动充值</v>
          </cell>
        </row>
        <row r="1002">
          <cell r="H1002" t="str">
            <v>西湖店</v>
          </cell>
          <cell r="I1002">
            <v>45984</v>
          </cell>
          <cell r="J1002">
            <v>200</v>
          </cell>
        </row>
        <row r="1003">
          <cell r="C1003" t="str">
            <v>推广订单扣款</v>
          </cell>
        </row>
        <row r="1003">
          <cell r="H1003" t="str">
            <v>西湖店</v>
          </cell>
          <cell r="I1003">
            <v>45984</v>
          </cell>
          <cell r="J1003">
            <v>-242.66</v>
          </cell>
        </row>
        <row r="1004">
          <cell r="C1004" t="str">
            <v>推广账户自动充值</v>
          </cell>
        </row>
        <row r="1004">
          <cell r="H1004" t="str">
            <v>百丈店</v>
          </cell>
          <cell r="I1004">
            <v>45984</v>
          </cell>
          <cell r="J1004">
            <v>200</v>
          </cell>
        </row>
        <row r="1005">
          <cell r="C1005" t="str">
            <v>推广订单扣款</v>
          </cell>
        </row>
        <row r="1005">
          <cell r="H1005" t="str">
            <v>百丈店</v>
          </cell>
          <cell r="I1005">
            <v>45984</v>
          </cell>
          <cell r="J1005">
            <v>-196.39</v>
          </cell>
        </row>
        <row r="1006">
          <cell r="C1006" t="str">
            <v>推广账户自动充值</v>
          </cell>
        </row>
        <row r="1006">
          <cell r="H1006" t="str">
            <v>文昌店</v>
          </cell>
          <cell r="I1006">
            <v>45984</v>
          </cell>
          <cell r="J1006">
            <v>200</v>
          </cell>
        </row>
        <row r="1007">
          <cell r="C1007" t="str">
            <v>推广账户自动充值</v>
          </cell>
        </row>
        <row r="1007">
          <cell r="H1007" t="str">
            <v>文昌店</v>
          </cell>
          <cell r="I1007">
            <v>45984</v>
          </cell>
          <cell r="J1007">
            <v>200</v>
          </cell>
        </row>
        <row r="1008">
          <cell r="C1008" t="str">
            <v>推广订单扣款</v>
          </cell>
        </row>
        <row r="1008">
          <cell r="H1008" t="str">
            <v>文昌店</v>
          </cell>
          <cell r="I1008">
            <v>45984</v>
          </cell>
          <cell r="J1008">
            <v>-177.67</v>
          </cell>
        </row>
        <row r="1009">
          <cell r="C1009" t="str">
            <v>推广账户自动充值</v>
          </cell>
        </row>
        <row r="1009">
          <cell r="H1009" t="str">
            <v>观桥店</v>
          </cell>
          <cell r="I1009">
            <v>45984</v>
          </cell>
          <cell r="J1009">
            <v>200</v>
          </cell>
        </row>
        <row r="1010">
          <cell r="C1010" t="str">
            <v>推广账户自动充值</v>
          </cell>
        </row>
        <row r="1010">
          <cell r="H1010" t="str">
            <v>观桥店</v>
          </cell>
          <cell r="I1010">
            <v>45984</v>
          </cell>
          <cell r="J1010">
            <v>200</v>
          </cell>
        </row>
        <row r="1011">
          <cell r="C1011" t="str">
            <v>推广订单扣款</v>
          </cell>
        </row>
        <row r="1011">
          <cell r="H1011" t="str">
            <v>观桥店</v>
          </cell>
          <cell r="I1011">
            <v>45984</v>
          </cell>
          <cell r="J1011">
            <v>-324.13</v>
          </cell>
        </row>
        <row r="1012">
          <cell r="C1012" t="str">
            <v>推广账户自动充值</v>
          </cell>
        </row>
        <row r="1012">
          <cell r="H1012" t="str">
            <v>海口店</v>
          </cell>
          <cell r="I1012">
            <v>45984</v>
          </cell>
          <cell r="J1012">
            <v>200</v>
          </cell>
        </row>
        <row r="1013">
          <cell r="C1013" t="str">
            <v>推广订单扣款</v>
          </cell>
        </row>
        <row r="1013">
          <cell r="H1013" t="str">
            <v>海口店</v>
          </cell>
          <cell r="I1013">
            <v>45984</v>
          </cell>
          <cell r="J1013">
            <v>-200</v>
          </cell>
        </row>
        <row r="1014">
          <cell r="C1014" t="str">
            <v>推广账户自动充值</v>
          </cell>
        </row>
        <row r="1014">
          <cell r="H1014" t="str">
            <v>南安店</v>
          </cell>
          <cell r="I1014">
            <v>45984</v>
          </cell>
          <cell r="J1014">
            <v>100</v>
          </cell>
        </row>
        <row r="1015">
          <cell r="C1015" t="str">
            <v>推广订单扣款</v>
          </cell>
        </row>
        <row r="1015">
          <cell r="H1015" t="str">
            <v>南安店</v>
          </cell>
          <cell r="I1015">
            <v>45984</v>
          </cell>
          <cell r="J1015">
            <v>-101.94</v>
          </cell>
        </row>
        <row r="1016">
          <cell r="C1016" t="str">
            <v>推广账户自动充值</v>
          </cell>
        </row>
        <row r="1016">
          <cell r="H1016" t="str">
            <v>诚毅店</v>
          </cell>
          <cell r="I1016">
            <v>45984</v>
          </cell>
          <cell r="J1016">
            <v>200</v>
          </cell>
        </row>
        <row r="1017">
          <cell r="C1017" t="str">
            <v>推广订单扣款</v>
          </cell>
        </row>
        <row r="1017">
          <cell r="H1017" t="str">
            <v>诚毅店</v>
          </cell>
          <cell r="I1017">
            <v>45984</v>
          </cell>
          <cell r="J1017">
            <v>-166.14</v>
          </cell>
        </row>
        <row r="1018">
          <cell r="C1018" t="str">
            <v>推广账户自动充值</v>
          </cell>
        </row>
        <row r="1018">
          <cell r="H1018" t="str">
            <v>首山店</v>
          </cell>
          <cell r="I1018">
            <v>45984</v>
          </cell>
          <cell r="J1018">
            <v>200</v>
          </cell>
        </row>
        <row r="1019">
          <cell r="C1019" t="str">
            <v>推广账户自动充值</v>
          </cell>
        </row>
        <row r="1019">
          <cell r="H1019" t="str">
            <v>首山店</v>
          </cell>
          <cell r="I1019">
            <v>45984</v>
          </cell>
          <cell r="J1019">
            <v>200</v>
          </cell>
        </row>
        <row r="1020">
          <cell r="C1020" t="str">
            <v>推广订单扣款</v>
          </cell>
        </row>
        <row r="1020">
          <cell r="H1020" t="str">
            <v>首山店</v>
          </cell>
          <cell r="I1020">
            <v>45984</v>
          </cell>
          <cell r="J1020">
            <v>-211.65</v>
          </cell>
        </row>
        <row r="1021">
          <cell r="C1021" t="str">
            <v>推广订单扣款</v>
          </cell>
        </row>
        <row r="1021">
          <cell r="H1021" t="str">
            <v>首南店</v>
          </cell>
          <cell r="I1021">
            <v>45984</v>
          </cell>
          <cell r="J1021">
            <v>-200</v>
          </cell>
        </row>
        <row r="1022">
          <cell r="C1022" t="str">
            <v>推广账户自动充值</v>
          </cell>
        </row>
        <row r="1022">
          <cell r="H1022" t="str">
            <v>余杭店</v>
          </cell>
          <cell r="I1022">
            <v>45984</v>
          </cell>
          <cell r="J1022">
            <v>200</v>
          </cell>
        </row>
        <row r="1023">
          <cell r="C1023" t="str">
            <v>推广订单扣款</v>
          </cell>
        </row>
        <row r="1023">
          <cell r="H1023" t="str">
            <v>余杭店</v>
          </cell>
          <cell r="I1023">
            <v>45984</v>
          </cell>
          <cell r="J1023">
            <v>-160.5</v>
          </cell>
        </row>
        <row r="1024">
          <cell r="C1024" t="str">
            <v>推广账户自动充值</v>
          </cell>
        </row>
        <row r="1024">
          <cell r="H1024" t="str">
            <v>东海店</v>
          </cell>
          <cell r="I1024">
            <v>45984</v>
          </cell>
          <cell r="J1024">
            <v>200</v>
          </cell>
        </row>
        <row r="1025">
          <cell r="C1025" t="str">
            <v>推广订单扣款</v>
          </cell>
        </row>
        <row r="1025">
          <cell r="H1025" t="str">
            <v>东海店</v>
          </cell>
          <cell r="I1025">
            <v>45984</v>
          </cell>
          <cell r="J1025">
            <v>-126.5</v>
          </cell>
        </row>
        <row r="1026">
          <cell r="C1026" t="str">
            <v>推广账户自动充值</v>
          </cell>
        </row>
        <row r="1026">
          <cell r="H1026" t="str">
            <v>文灶店</v>
          </cell>
          <cell r="I1026">
            <v>45984</v>
          </cell>
          <cell r="J1026">
            <v>200</v>
          </cell>
        </row>
        <row r="1027">
          <cell r="C1027" t="str">
            <v>推广订单扣款</v>
          </cell>
        </row>
        <row r="1027">
          <cell r="H1027" t="str">
            <v>文灶店</v>
          </cell>
          <cell r="I1027">
            <v>45984</v>
          </cell>
          <cell r="J1027">
            <v>-216.62</v>
          </cell>
        </row>
        <row r="1028">
          <cell r="C1028" t="str">
            <v>推广账户自动充值</v>
          </cell>
        </row>
        <row r="1028">
          <cell r="H1028" t="str">
            <v>华信店</v>
          </cell>
          <cell r="I1028">
            <v>45985</v>
          </cell>
          <cell r="J1028">
            <v>200</v>
          </cell>
        </row>
        <row r="1029">
          <cell r="C1029" t="str">
            <v>推广订单扣款</v>
          </cell>
        </row>
        <row r="1029">
          <cell r="H1029" t="str">
            <v>华信店</v>
          </cell>
          <cell r="I1029">
            <v>45985</v>
          </cell>
          <cell r="J1029">
            <v>-180</v>
          </cell>
        </row>
        <row r="1030">
          <cell r="C1030" t="str">
            <v>推广账户自动充值</v>
          </cell>
        </row>
        <row r="1030">
          <cell r="H1030" t="str">
            <v>湖里店</v>
          </cell>
          <cell r="I1030">
            <v>45985</v>
          </cell>
          <cell r="J1030">
            <v>200</v>
          </cell>
        </row>
        <row r="1031">
          <cell r="C1031" t="str">
            <v>推广订单扣款</v>
          </cell>
        </row>
        <row r="1031">
          <cell r="H1031" t="str">
            <v>湖里店</v>
          </cell>
          <cell r="I1031">
            <v>45985</v>
          </cell>
          <cell r="J1031">
            <v>-180.56</v>
          </cell>
        </row>
        <row r="1032">
          <cell r="C1032" t="str">
            <v>推广账户自动充值</v>
          </cell>
        </row>
        <row r="1032">
          <cell r="H1032" t="str">
            <v>东新店</v>
          </cell>
          <cell r="I1032">
            <v>45985</v>
          </cell>
          <cell r="J1032">
            <v>200</v>
          </cell>
        </row>
        <row r="1033">
          <cell r="C1033" t="str">
            <v>推广订单扣款</v>
          </cell>
        </row>
        <row r="1033">
          <cell r="H1033" t="str">
            <v>东新店</v>
          </cell>
          <cell r="I1033">
            <v>45985</v>
          </cell>
          <cell r="J1033">
            <v>-213.98</v>
          </cell>
        </row>
        <row r="1034">
          <cell r="C1034" t="str">
            <v>推广账户自动充值</v>
          </cell>
        </row>
        <row r="1034">
          <cell r="H1034" t="str">
            <v>启点店</v>
          </cell>
          <cell r="I1034">
            <v>45985</v>
          </cell>
          <cell r="J1034">
            <v>200</v>
          </cell>
        </row>
        <row r="1035">
          <cell r="C1035" t="str">
            <v>推广订单扣款</v>
          </cell>
        </row>
        <row r="1035">
          <cell r="H1035" t="str">
            <v>启点店</v>
          </cell>
          <cell r="I1035">
            <v>45985</v>
          </cell>
          <cell r="J1035">
            <v>-228.18</v>
          </cell>
        </row>
        <row r="1036">
          <cell r="C1036" t="str">
            <v>推广账户自动充值</v>
          </cell>
        </row>
        <row r="1036">
          <cell r="H1036" t="str">
            <v>高新店</v>
          </cell>
          <cell r="I1036">
            <v>45985</v>
          </cell>
          <cell r="J1036">
            <v>200</v>
          </cell>
        </row>
        <row r="1037">
          <cell r="C1037" t="str">
            <v>推广订单扣款</v>
          </cell>
        </row>
        <row r="1037">
          <cell r="H1037" t="str">
            <v>高新店</v>
          </cell>
          <cell r="I1037">
            <v>45985</v>
          </cell>
          <cell r="J1037">
            <v>-171.96</v>
          </cell>
        </row>
        <row r="1038">
          <cell r="C1038" t="str">
            <v>推广账户自动充值</v>
          </cell>
        </row>
        <row r="1038">
          <cell r="H1038" t="str">
            <v>成华店</v>
          </cell>
          <cell r="I1038">
            <v>45985</v>
          </cell>
          <cell r="J1038">
            <v>200</v>
          </cell>
        </row>
        <row r="1039">
          <cell r="C1039" t="str">
            <v>推广订单扣款</v>
          </cell>
        </row>
        <row r="1039">
          <cell r="H1039" t="str">
            <v>成华店</v>
          </cell>
          <cell r="I1039">
            <v>45985</v>
          </cell>
          <cell r="J1039">
            <v>-149.12</v>
          </cell>
        </row>
        <row r="1040">
          <cell r="C1040" t="str">
            <v>推广订单扣款</v>
          </cell>
        </row>
        <row r="1040">
          <cell r="H1040" t="str">
            <v>金牛店</v>
          </cell>
          <cell r="I1040">
            <v>45985</v>
          </cell>
          <cell r="J1040">
            <v>-118.64</v>
          </cell>
        </row>
        <row r="1041">
          <cell r="C1041" t="str">
            <v>推广账户自动充值</v>
          </cell>
        </row>
        <row r="1041">
          <cell r="H1041" t="str">
            <v>西山店</v>
          </cell>
          <cell r="I1041">
            <v>45985</v>
          </cell>
          <cell r="J1041">
            <v>200</v>
          </cell>
        </row>
        <row r="1042">
          <cell r="C1042" t="str">
            <v>推广订单扣款</v>
          </cell>
        </row>
        <row r="1042">
          <cell r="H1042" t="str">
            <v>西山店</v>
          </cell>
          <cell r="I1042">
            <v>45985</v>
          </cell>
          <cell r="J1042">
            <v>-137.93</v>
          </cell>
        </row>
        <row r="1043">
          <cell r="C1043" t="str">
            <v>推广订单扣款</v>
          </cell>
        </row>
        <row r="1043">
          <cell r="H1043" t="str">
            <v>沙坪坝店</v>
          </cell>
          <cell r="I1043">
            <v>45985</v>
          </cell>
          <cell r="J1043">
            <v>-79.29</v>
          </cell>
        </row>
        <row r="1044">
          <cell r="C1044" t="str">
            <v>推广账户自动充值</v>
          </cell>
        </row>
        <row r="1044">
          <cell r="H1044" t="str">
            <v>凤城二路店</v>
          </cell>
          <cell r="I1044">
            <v>45985</v>
          </cell>
          <cell r="J1044">
            <v>200</v>
          </cell>
        </row>
        <row r="1045">
          <cell r="C1045" t="str">
            <v>推广账户自动充值</v>
          </cell>
        </row>
        <row r="1045">
          <cell r="H1045" t="str">
            <v>凤城二路店</v>
          </cell>
          <cell r="I1045">
            <v>45985</v>
          </cell>
          <cell r="J1045">
            <v>200</v>
          </cell>
        </row>
        <row r="1046">
          <cell r="C1046" t="str">
            <v>推广订单扣款</v>
          </cell>
        </row>
        <row r="1046">
          <cell r="H1046" t="str">
            <v>凤城二路店</v>
          </cell>
          <cell r="I1046">
            <v>45985</v>
          </cell>
          <cell r="J1046">
            <v>-356.63</v>
          </cell>
        </row>
        <row r="1047">
          <cell r="C1047" t="str">
            <v>推广账户自动充值</v>
          </cell>
        </row>
        <row r="1047">
          <cell r="H1047" t="str">
            <v>大坪店</v>
          </cell>
          <cell r="I1047">
            <v>45985</v>
          </cell>
          <cell r="J1047">
            <v>200</v>
          </cell>
        </row>
        <row r="1048">
          <cell r="C1048" t="str">
            <v>推广订单扣款</v>
          </cell>
        </row>
        <row r="1048">
          <cell r="H1048" t="str">
            <v>大坪店</v>
          </cell>
          <cell r="I1048">
            <v>45985</v>
          </cell>
          <cell r="J1048">
            <v>-158.51</v>
          </cell>
        </row>
        <row r="1049">
          <cell r="C1049" t="str">
            <v>推广账户自动充值</v>
          </cell>
        </row>
        <row r="1049">
          <cell r="H1049" t="str">
            <v>五华店</v>
          </cell>
          <cell r="I1049">
            <v>45985</v>
          </cell>
          <cell r="J1049">
            <v>200</v>
          </cell>
        </row>
        <row r="1050">
          <cell r="C1050" t="str">
            <v>推广订单扣款</v>
          </cell>
        </row>
        <row r="1050">
          <cell r="H1050" t="str">
            <v>五华店</v>
          </cell>
          <cell r="I1050">
            <v>45985</v>
          </cell>
          <cell r="J1050">
            <v>-113.26</v>
          </cell>
        </row>
        <row r="1051">
          <cell r="C1051" t="str">
            <v>推广订单扣款</v>
          </cell>
        </row>
        <row r="1051">
          <cell r="H1051" t="str">
            <v>官渡店</v>
          </cell>
          <cell r="I1051">
            <v>45985</v>
          </cell>
          <cell r="J1051">
            <v>-97.44</v>
          </cell>
        </row>
        <row r="1052">
          <cell r="C1052" t="str">
            <v>推广账户自动充值</v>
          </cell>
        </row>
        <row r="1052">
          <cell r="H1052" t="str">
            <v>百捷店</v>
          </cell>
          <cell r="I1052">
            <v>45985</v>
          </cell>
          <cell r="J1052">
            <v>200</v>
          </cell>
        </row>
        <row r="1053">
          <cell r="C1053" t="str">
            <v>推广订单扣款</v>
          </cell>
        </row>
        <row r="1053">
          <cell r="H1053" t="str">
            <v>百捷店</v>
          </cell>
          <cell r="I1053">
            <v>45985</v>
          </cell>
          <cell r="J1053">
            <v>-187.19</v>
          </cell>
        </row>
        <row r="1054">
          <cell r="C1054" t="str">
            <v>推广账户自动充值</v>
          </cell>
        </row>
        <row r="1054">
          <cell r="H1054" t="str">
            <v>济南店</v>
          </cell>
          <cell r="I1054">
            <v>45985</v>
          </cell>
          <cell r="J1054">
            <v>200</v>
          </cell>
        </row>
        <row r="1055">
          <cell r="C1055" t="str">
            <v>推广账户自动充值</v>
          </cell>
        </row>
        <row r="1055">
          <cell r="H1055" t="str">
            <v>济南店</v>
          </cell>
          <cell r="I1055">
            <v>45985</v>
          </cell>
          <cell r="J1055">
            <v>200</v>
          </cell>
        </row>
        <row r="1056">
          <cell r="C1056" t="str">
            <v>推广订单扣款</v>
          </cell>
        </row>
        <row r="1056">
          <cell r="H1056" t="str">
            <v>济南店</v>
          </cell>
          <cell r="I1056">
            <v>45985</v>
          </cell>
          <cell r="J1056">
            <v>-290.95</v>
          </cell>
        </row>
        <row r="1057">
          <cell r="C1057" t="str">
            <v>推广账户自动充值</v>
          </cell>
        </row>
        <row r="1057">
          <cell r="H1057" t="str">
            <v>观音桥店</v>
          </cell>
          <cell r="I1057">
            <v>45985</v>
          </cell>
          <cell r="J1057">
            <v>200</v>
          </cell>
        </row>
        <row r="1058">
          <cell r="C1058" t="str">
            <v>推广账户自动充值</v>
          </cell>
        </row>
        <row r="1058">
          <cell r="H1058" t="str">
            <v>观音桥店</v>
          </cell>
          <cell r="I1058">
            <v>45985</v>
          </cell>
          <cell r="J1058">
            <v>200</v>
          </cell>
        </row>
        <row r="1059">
          <cell r="C1059" t="str">
            <v>推广订单扣款</v>
          </cell>
        </row>
        <row r="1059">
          <cell r="H1059" t="str">
            <v>观音桥店</v>
          </cell>
          <cell r="I1059">
            <v>45985</v>
          </cell>
          <cell r="J1059">
            <v>-129.91</v>
          </cell>
        </row>
        <row r="1060">
          <cell r="C1060" t="str">
            <v>推广账户自动充值</v>
          </cell>
        </row>
        <row r="1060">
          <cell r="H1060" t="str">
            <v>长沙店</v>
          </cell>
          <cell r="I1060">
            <v>45985</v>
          </cell>
          <cell r="J1060">
            <v>200</v>
          </cell>
        </row>
        <row r="1061">
          <cell r="C1061" t="str">
            <v>推广订单扣款</v>
          </cell>
        </row>
        <row r="1061">
          <cell r="H1061" t="str">
            <v>长沙店</v>
          </cell>
          <cell r="I1061">
            <v>45985</v>
          </cell>
          <cell r="J1061">
            <v>-173.32</v>
          </cell>
        </row>
        <row r="1062">
          <cell r="C1062" t="str">
            <v>推广订单扣款</v>
          </cell>
        </row>
        <row r="1062">
          <cell r="H1062" t="str">
            <v>洛江店</v>
          </cell>
          <cell r="I1062">
            <v>45985</v>
          </cell>
          <cell r="J1062">
            <v>-28.84</v>
          </cell>
        </row>
        <row r="1063">
          <cell r="C1063" t="str">
            <v>推广账户自动充值</v>
          </cell>
        </row>
        <row r="1063">
          <cell r="H1063" t="str">
            <v>五路口店</v>
          </cell>
          <cell r="I1063">
            <v>45985</v>
          </cell>
          <cell r="J1063">
            <v>200</v>
          </cell>
        </row>
        <row r="1064">
          <cell r="C1064" t="str">
            <v>推广账户自动充值</v>
          </cell>
        </row>
        <row r="1064">
          <cell r="H1064" t="str">
            <v>五路口店</v>
          </cell>
          <cell r="I1064">
            <v>45985</v>
          </cell>
          <cell r="J1064">
            <v>200</v>
          </cell>
        </row>
        <row r="1065">
          <cell r="C1065" t="str">
            <v>推广订单扣款</v>
          </cell>
        </row>
        <row r="1065">
          <cell r="H1065" t="str">
            <v>五路口店</v>
          </cell>
          <cell r="I1065">
            <v>45985</v>
          </cell>
          <cell r="J1065">
            <v>-356.02</v>
          </cell>
        </row>
        <row r="1066">
          <cell r="C1066" t="str">
            <v>推广订单扣款</v>
          </cell>
        </row>
        <row r="1066">
          <cell r="H1066" t="str">
            <v>青羊店</v>
          </cell>
          <cell r="I1066">
            <v>45985</v>
          </cell>
          <cell r="J1066">
            <v>-107.18</v>
          </cell>
        </row>
        <row r="1067">
          <cell r="C1067" t="str">
            <v>推广账户自动充值</v>
          </cell>
        </row>
        <row r="1067">
          <cell r="H1067" t="str">
            <v>武侯店</v>
          </cell>
          <cell r="I1067">
            <v>45985</v>
          </cell>
          <cell r="J1067">
            <v>200</v>
          </cell>
        </row>
        <row r="1068">
          <cell r="C1068" t="str">
            <v>推广订单扣款</v>
          </cell>
        </row>
        <row r="1068">
          <cell r="H1068" t="str">
            <v>武侯店</v>
          </cell>
          <cell r="I1068">
            <v>45985</v>
          </cell>
          <cell r="J1068">
            <v>-71.48</v>
          </cell>
        </row>
        <row r="1069">
          <cell r="C1069" t="str">
            <v>推广账户自动充值</v>
          </cell>
        </row>
        <row r="1069">
          <cell r="H1069" t="str">
            <v>鼓楼店</v>
          </cell>
          <cell r="I1069">
            <v>45985</v>
          </cell>
          <cell r="J1069">
            <v>200</v>
          </cell>
        </row>
        <row r="1070">
          <cell r="C1070" t="str">
            <v>推广订单扣款</v>
          </cell>
        </row>
        <row r="1070">
          <cell r="H1070" t="str">
            <v>鼓楼店</v>
          </cell>
          <cell r="I1070">
            <v>45985</v>
          </cell>
          <cell r="J1070">
            <v>-430.21</v>
          </cell>
        </row>
        <row r="1071">
          <cell r="C1071" t="str">
            <v>推广账户自动充值</v>
          </cell>
        </row>
        <row r="1071">
          <cell r="H1071" t="str">
            <v>黄雁村店</v>
          </cell>
          <cell r="I1071">
            <v>45985</v>
          </cell>
          <cell r="J1071">
            <v>200</v>
          </cell>
        </row>
        <row r="1072">
          <cell r="C1072" t="str">
            <v>推广账户自动充值</v>
          </cell>
        </row>
        <row r="1072">
          <cell r="H1072" t="str">
            <v>黄雁村店</v>
          </cell>
          <cell r="I1072">
            <v>45985</v>
          </cell>
          <cell r="J1072">
            <v>200</v>
          </cell>
        </row>
        <row r="1073">
          <cell r="C1073" t="str">
            <v>推广订单扣款</v>
          </cell>
        </row>
        <row r="1073">
          <cell r="H1073" t="str">
            <v>黄雁村店</v>
          </cell>
          <cell r="I1073">
            <v>45985</v>
          </cell>
          <cell r="J1073">
            <v>-426.71</v>
          </cell>
        </row>
        <row r="1074">
          <cell r="C1074" t="str">
            <v>推广账户自动充值</v>
          </cell>
        </row>
        <row r="1074">
          <cell r="H1074" t="str">
            <v>西湖店</v>
          </cell>
          <cell r="I1074">
            <v>45985</v>
          </cell>
          <cell r="J1074">
            <v>200</v>
          </cell>
        </row>
        <row r="1075">
          <cell r="C1075" t="str">
            <v>推广订单扣款</v>
          </cell>
        </row>
        <row r="1075">
          <cell r="H1075" t="str">
            <v>西湖店</v>
          </cell>
          <cell r="I1075">
            <v>45985</v>
          </cell>
          <cell r="J1075">
            <v>-255.52</v>
          </cell>
        </row>
        <row r="1076">
          <cell r="C1076" t="str">
            <v>推广订单扣款</v>
          </cell>
        </row>
        <row r="1076">
          <cell r="H1076" t="str">
            <v>百丈店</v>
          </cell>
          <cell r="I1076">
            <v>45985</v>
          </cell>
          <cell r="J1076">
            <v>-128.6</v>
          </cell>
        </row>
        <row r="1077">
          <cell r="C1077" t="str">
            <v>推广订单扣款</v>
          </cell>
        </row>
        <row r="1077">
          <cell r="H1077" t="str">
            <v>文昌店</v>
          </cell>
          <cell r="I1077">
            <v>45985</v>
          </cell>
          <cell r="J1077">
            <v>-214.05</v>
          </cell>
        </row>
        <row r="1078">
          <cell r="C1078" t="str">
            <v>推广账户自动充值</v>
          </cell>
        </row>
        <row r="1078">
          <cell r="H1078" t="str">
            <v>观桥店</v>
          </cell>
          <cell r="I1078">
            <v>45985</v>
          </cell>
          <cell r="J1078">
            <v>200</v>
          </cell>
        </row>
        <row r="1079">
          <cell r="C1079" t="str">
            <v>推广订单扣款</v>
          </cell>
        </row>
        <row r="1079">
          <cell r="H1079" t="str">
            <v>观桥店</v>
          </cell>
          <cell r="I1079">
            <v>45985</v>
          </cell>
          <cell r="J1079">
            <v>-319.65</v>
          </cell>
        </row>
        <row r="1080">
          <cell r="C1080" t="str">
            <v>推广账户自动充值</v>
          </cell>
        </row>
        <row r="1080">
          <cell r="H1080" t="str">
            <v>海口店</v>
          </cell>
          <cell r="I1080">
            <v>45985</v>
          </cell>
          <cell r="J1080">
            <v>200</v>
          </cell>
        </row>
        <row r="1081">
          <cell r="C1081" t="str">
            <v>推广订单扣款</v>
          </cell>
        </row>
        <row r="1081">
          <cell r="H1081" t="str">
            <v>海口店</v>
          </cell>
          <cell r="I1081">
            <v>45985</v>
          </cell>
          <cell r="J1081">
            <v>-200</v>
          </cell>
        </row>
        <row r="1082">
          <cell r="C1082" t="str">
            <v>推广账户自动充值</v>
          </cell>
        </row>
        <row r="1082">
          <cell r="H1082" t="str">
            <v>南安店</v>
          </cell>
          <cell r="I1082">
            <v>45985</v>
          </cell>
          <cell r="J1082">
            <v>100</v>
          </cell>
        </row>
        <row r="1083">
          <cell r="C1083" t="str">
            <v>推广订单扣款</v>
          </cell>
        </row>
        <row r="1083">
          <cell r="H1083" t="str">
            <v>南安店</v>
          </cell>
          <cell r="I1083">
            <v>45985</v>
          </cell>
          <cell r="J1083">
            <v>-100</v>
          </cell>
        </row>
        <row r="1084">
          <cell r="C1084" t="str">
            <v>推广账户自动充值</v>
          </cell>
        </row>
        <row r="1084">
          <cell r="H1084" t="str">
            <v>诚毅店</v>
          </cell>
          <cell r="I1084">
            <v>45985</v>
          </cell>
          <cell r="J1084">
            <v>200</v>
          </cell>
        </row>
        <row r="1085">
          <cell r="C1085" t="str">
            <v>推广订单扣款</v>
          </cell>
        </row>
        <row r="1085">
          <cell r="H1085" t="str">
            <v>诚毅店</v>
          </cell>
          <cell r="I1085">
            <v>45985</v>
          </cell>
          <cell r="J1085">
            <v>-182.64</v>
          </cell>
        </row>
        <row r="1086">
          <cell r="C1086" t="str">
            <v>推广账户自动充值</v>
          </cell>
        </row>
        <row r="1086">
          <cell r="H1086" t="str">
            <v>首山店</v>
          </cell>
          <cell r="I1086">
            <v>45985</v>
          </cell>
          <cell r="J1086">
            <v>200</v>
          </cell>
        </row>
        <row r="1087">
          <cell r="C1087" t="str">
            <v>推广订单扣款</v>
          </cell>
        </row>
        <row r="1087">
          <cell r="H1087" t="str">
            <v>首山店</v>
          </cell>
          <cell r="I1087">
            <v>45985</v>
          </cell>
          <cell r="J1087">
            <v>-255.16</v>
          </cell>
        </row>
        <row r="1088">
          <cell r="C1088" t="str">
            <v>推广账户自动充值</v>
          </cell>
        </row>
        <row r="1088">
          <cell r="H1088" t="str">
            <v>首南店</v>
          </cell>
          <cell r="I1088">
            <v>45985</v>
          </cell>
          <cell r="J1088">
            <v>200</v>
          </cell>
        </row>
        <row r="1089">
          <cell r="C1089" t="str">
            <v>推广订单扣款</v>
          </cell>
        </row>
        <row r="1089">
          <cell r="H1089" t="str">
            <v>首南店</v>
          </cell>
          <cell r="I1089">
            <v>45985</v>
          </cell>
          <cell r="J1089">
            <v>-147.46</v>
          </cell>
        </row>
        <row r="1090">
          <cell r="C1090" t="str">
            <v>推广账户自动充值</v>
          </cell>
        </row>
        <row r="1090">
          <cell r="H1090" t="str">
            <v>余杭店</v>
          </cell>
          <cell r="I1090">
            <v>45985</v>
          </cell>
          <cell r="J1090">
            <v>200</v>
          </cell>
        </row>
        <row r="1091">
          <cell r="C1091" t="str">
            <v>推广订单扣款</v>
          </cell>
        </row>
        <row r="1091">
          <cell r="H1091" t="str">
            <v>余杭店</v>
          </cell>
          <cell r="I1091">
            <v>45985</v>
          </cell>
          <cell r="J1091">
            <v>-114.8</v>
          </cell>
        </row>
        <row r="1092">
          <cell r="C1092" t="str">
            <v>推广订单扣款</v>
          </cell>
        </row>
        <row r="1092">
          <cell r="H1092" t="str">
            <v>东海店</v>
          </cell>
          <cell r="I1092">
            <v>45985</v>
          </cell>
          <cell r="J1092">
            <v>-200</v>
          </cell>
        </row>
        <row r="1093">
          <cell r="C1093" t="str">
            <v>推广账户自动充值</v>
          </cell>
        </row>
        <row r="1093">
          <cell r="H1093" t="str">
            <v>文灶店</v>
          </cell>
          <cell r="I1093">
            <v>45985</v>
          </cell>
          <cell r="J1093">
            <v>200</v>
          </cell>
        </row>
        <row r="1094">
          <cell r="C1094" t="str">
            <v>推广订单扣款</v>
          </cell>
        </row>
        <row r="1094">
          <cell r="H1094" t="str">
            <v>文灶店</v>
          </cell>
          <cell r="I1094">
            <v>45985</v>
          </cell>
          <cell r="J1094">
            <v>-177.65</v>
          </cell>
        </row>
        <row r="1095">
          <cell r="C1095" t="str">
            <v>推广账户自动充值</v>
          </cell>
        </row>
        <row r="1095">
          <cell r="H1095" t="str">
            <v>华信店</v>
          </cell>
          <cell r="I1095">
            <v>45987</v>
          </cell>
          <cell r="J1095">
            <v>200</v>
          </cell>
        </row>
        <row r="1096">
          <cell r="C1096" t="str">
            <v>推广订单扣款</v>
          </cell>
        </row>
        <row r="1096">
          <cell r="H1096" t="str">
            <v>华信店</v>
          </cell>
          <cell r="I1096">
            <v>45987</v>
          </cell>
          <cell r="J1096">
            <v>-180</v>
          </cell>
        </row>
        <row r="1097">
          <cell r="C1097" t="str">
            <v>推广账户自动充值</v>
          </cell>
        </row>
        <row r="1097">
          <cell r="H1097" t="str">
            <v>华信店</v>
          </cell>
          <cell r="I1097">
            <v>45986</v>
          </cell>
          <cell r="J1097">
            <v>200</v>
          </cell>
        </row>
        <row r="1098">
          <cell r="C1098" t="str">
            <v>推广订单扣款</v>
          </cell>
        </row>
        <row r="1098">
          <cell r="H1098" t="str">
            <v>华信店</v>
          </cell>
          <cell r="I1098">
            <v>45986</v>
          </cell>
          <cell r="J1098">
            <v>-180</v>
          </cell>
        </row>
        <row r="1099">
          <cell r="C1099" t="str">
            <v>推广账户自动充值</v>
          </cell>
        </row>
        <row r="1099">
          <cell r="H1099" t="str">
            <v>湖里店</v>
          </cell>
          <cell r="I1099">
            <v>45987</v>
          </cell>
          <cell r="J1099">
            <v>200</v>
          </cell>
        </row>
        <row r="1100">
          <cell r="C1100" t="str">
            <v>推广订单扣款</v>
          </cell>
        </row>
        <row r="1100">
          <cell r="H1100" t="str">
            <v>湖里店</v>
          </cell>
          <cell r="I1100">
            <v>45987</v>
          </cell>
          <cell r="J1100">
            <v>-182.55</v>
          </cell>
        </row>
        <row r="1101">
          <cell r="C1101" t="str">
            <v>推广订单扣款</v>
          </cell>
        </row>
        <row r="1101">
          <cell r="H1101" t="str">
            <v>湖里店</v>
          </cell>
          <cell r="I1101">
            <v>45986</v>
          </cell>
          <cell r="J1101">
            <v>-173.36</v>
          </cell>
        </row>
        <row r="1102">
          <cell r="C1102" t="str">
            <v>推广账户自动充值</v>
          </cell>
        </row>
        <row r="1102">
          <cell r="H1102" t="str">
            <v>东新店</v>
          </cell>
          <cell r="I1102">
            <v>45987</v>
          </cell>
          <cell r="J1102">
            <v>200</v>
          </cell>
        </row>
        <row r="1103">
          <cell r="C1103" t="str">
            <v>推广订单扣款</v>
          </cell>
        </row>
        <row r="1103">
          <cell r="H1103" t="str">
            <v>东新店</v>
          </cell>
          <cell r="I1103">
            <v>45987</v>
          </cell>
          <cell r="J1103">
            <v>-207.58</v>
          </cell>
        </row>
        <row r="1104">
          <cell r="C1104" t="str">
            <v>推广账户自动充值</v>
          </cell>
        </row>
        <row r="1104">
          <cell r="H1104" t="str">
            <v>东新店</v>
          </cell>
          <cell r="I1104">
            <v>45986</v>
          </cell>
          <cell r="J1104">
            <v>200</v>
          </cell>
        </row>
        <row r="1105">
          <cell r="C1105" t="str">
            <v>推广订单扣款</v>
          </cell>
        </row>
        <row r="1105">
          <cell r="H1105" t="str">
            <v>东新店</v>
          </cell>
          <cell r="I1105">
            <v>45986</v>
          </cell>
          <cell r="J1105">
            <v>-182.91</v>
          </cell>
        </row>
        <row r="1106">
          <cell r="C1106" t="str">
            <v>推广账户自动充值</v>
          </cell>
        </row>
        <row r="1106">
          <cell r="H1106" t="str">
            <v>启点店</v>
          </cell>
          <cell r="I1106">
            <v>45987</v>
          </cell>
          <cell r="J1106">
            <v>200</v>
          </cell>
        </row>
        <row r="1107">
          <cell r="C1107" t="str">
            <v>推广订单扣款</v>
          </cell>
        </row>
        <row r="1107">
          <cell r="H1107" t="str">
            <v>启点店</v>
          </cell>
          <cell r="I1107">
            <v>45987</v>
          </cell>
          <cell r="J1107">
            <v>-164.52</v>
          </cell>
        </row>
        <row r="1108">
          <cell r="C1108" t="str">
            <v>推广订单扣款</v>
          </cell>
        </row>
        <row r="1108">
          <cell r="H1108" t="str">
            <v>启点店</v>
          </cell>
          <cell r="I1108">
            <v>45986</v>
          </cell>
          <cell r="J1108">
            <v>-32.79</v>
          </cell>
        </row>
        <row r="1109">
          <cell r="C1109" t="str">
            <v>推广账户自动充值</v>
          </cell>
        </row>
        <row r="1109">
          <cell r="H1109" t="str">
            <v>高新店</v>
          </cell>
          <cell r="I1109">
            <v>45987</v>
          </cell>
          <cell r="J1109">
            <v>200</v>
          </cell>
        </row>
        <row r="1110">
          <cell r="C1110" t="str">
            <v>推广订单扣款</v>
          </cell>
        </row>
        <row r="1110">
          <cell r="H1110" t="str">
            <v>高新店</v>
          </cell>
          <cell r="I1110">
            <v>45987</v>
          </cell>
          <cell r="J1110">
            <v>-110.63</v>
          </cell>
        </row>
        <row r="1111">
          <cell r="C1111" t="str">
            <v>推广订单扣款</v>
          </cell>
        </row>
        <row r="1111">
          <cell r="H1111" t="str">
            <v>高新店</v>
          </cell>
          <cell r="I1111">
            <v>45986</v>
          </cell>
          <cell r="J1111">
            <v>-158.99</v>
          </cell>
        </row>
        <row r="1112">
          <cell r="C1112" t="str">
            <v>推广账户自动充值</v>
          </cell>
        </row>
        <row r="1112">
          <cell r="H1112" t="str">
            <v>成华店</v>
          </cell>
          <cell r="I1112">
            <v>45987</v>
          </cell>
          <cell r="J1112">
            <v>200</v>
          </cell>
        </row>
        <row r="1113">
          <cell r="C1113" t="str">
            <v>推广订单扣款</v>
          </cell>
        </row>
        <row r="1113">
          <cell r="H1113" t="str">
            <v>成华店</v>
          </cell>
          <cell r="I1113">
            <v>45987</v>
          </cell>
          <cell r="J1113">
            <v>-44.33</v>
          </cell>
        </row>
        <row r="1114">
          <cell r="C1114" t="str">
            <v>推广订单扣款</v>
          </cell>
        </row>
        <row r="1114">
          <cell r="H1114" t="str">
            <v>成华店</v>
          </cell>
          <cell r="I1114">
            <v>45986</v>
          </cell>
          <cell r="J1114">
            <v>-136.91</v>
          </cell>
        </row>
        <row r="1115">
          <cell r="C1115" t="str">
            <v>推广订单扣款</v>
          </cell>
        </row>
        <row r="1115">
          <cell r="H1115" t="str">
            <v>金牛店</v>
          </cell>
          <cell r="I1115">
            <v>45987</v>
          </cell>
          <cell r="J1115">
            <v>-122.52</v>
          </cell>
        </row>
        <row r="1116">
          <cell r="C1116" t="str">
            <v>推广账户自动充值</v>
          </cell>
        </row>
        <row r="1116">
          <cell r="H1116" t="str">
            <v>金牛店</v>
          </cell>
          <cell r="I1116">
            <v>45986</v>
          </cell>
          <cell r="J1116">
            <v>200</v>
          </cell>
        </row>
        <row r="1117">
          <cell r="C1117" t="str">
            <v>推广订单扣款</v>
          </cell>
        </row>
        <row r="1117">
          <cell r="H1117" t="str">
            <v>金牛店</v>
          </cell>
          <cell r="I1117">
            <v>45986</v>
          </cell>
          <cell r="J1117">
            <v>-106.37</v>
          </cell>
        </row>
        <row r="1118">
          <cell r="C1118" t="str">
            <v>推广账户自动充值</v>
          </cell>
        </row>
        <row r="1118">
          <cell r="H1118" t="str">
            <v>西山店</v>
          </cell>
          <cell r="I1118">
            <v>45987</v>
          </cell>
          <cell r="J1118">
            <v>200</v>
          </cell>
        </row>
        <row r="1119">
          <cell r="C1119" t="str">
            <v>推广订单扣款</v>
          </cell>
        </row>
        <row r="1119">
          <cell r="H1119" t="str">
            <v>西山店</v>
          </cell>
          <cell r="I1119">
            <v>45987</v>
          </cell>
          <cell r="J1119">
            <v>-108.38</v>
          </cell>
        </row>
        <row r="1120">
          <cell r="C1120" t="str">
            <v>推广账户自动充值</v>
          </cell>
        </row>
        <row r="1120">
          <cell r="H1120" t="str">
            <v>西山店</v>
          </cell>
          <cell r="I1120">
            <v>45986</v>
          </cell>
          <cell r="J1120">
            <v>200</v>
          </cell>
        </row>
        <row r="1121">
          <cell r="C1121" t="str">
            <v>推广订单扣款</v>
          </cell>
        </row>
        <row r="1121">
          <cell r="H1121" t="str">
            <v>西山店</v>
          </cell>
          <cell r="I1121">
            <v>45986</v>
          </cell>
          <cell r="J1121">
            <v>-126.4</v>
          </cell>
        </row>
        <row r="1122">
          <cell r="C1122" t="str">
            <v>推广订单扣款</v>
          </cell>
        </row>
        <row r="1122">
          <cell r="H1122" t="str">
            <v>沙坪坝店</v>
          </cell>
          <cell r="I1122">
            <v>45987</v>
          </cell>
          <cell r="J1122">
            <v>-78.89</v>
          </cell>
        </row>
        <row r="1123">
          <cell r="C1123" t="str">
            <v>推广账户自动充值</v>
          </cell>
        </row>
        <row r="1123">
          <cell r="H1123" t="str">
            <v>沙坪坝店</v>
          </cell>
          <cell r="I1123">
            <v>45986</v>
          </cell>
          <cell r="J1123">
            <v>200</v>
          </cell>
        </row>
        <row r="1124">
          <cell r="C1124" t="str">
            <v>推广订单扣款</v>
          </cell>
        </row>
        <row r="1124">
          <cell r="H1124" t="str">
            <v>沙坪坝店</v>
          </cell>
          <cell r="I1124">
            <v>45986</v>
          </cell>
          <cell r="J1124">
            <v>-78.02</v>
          </cell>
        </row>
        <row r="1125">
          <cell r="C1125" t="str">
            <v>推广账户自动充值</v>
          </cell>
        </row>
        <row r="1125">
          <cell r="H1125" t="str">
            <v>凤城二路店</v>
          </cell>
          <cell r="I1125">
            <v>45987</v>
          </cell>
          <cell r="J1125">
            <v>200</v>
          </cell>
        </row>
        <row r="1126">
          <cell r="C1126" t="str">
            <v>推广账户自动充值</v>
          </cell>
        </row>
        <row r="1126">
          <cell r="H1126" t="str">
            <v>凤城二路店</v>
          </cell>
          <cell r="I1126">
            <v>45987</v>
          </cell>
          <cell r="J1126">
            <v>200</v>
          </cell>
        </row>
        <row r="1127">
          <cell r="C1127" t="str">
            <v>推广订单扣款</v>
          </cell>
        </row>
        <row r="1127">
          <cell r="H1127" t="str">
            <v>凤城二路店</v>
          </cell>
          <cell r="I1127">
            <v>45987</v>
          </cell>
          <cell r="J1127">
            <v>-378.75</v>
          </cell>
        </row>
        <row r="1128">
          <cell r="C1128" t="str">
            <v>推广账户自动充值</v>
          </cell>
        </row>
        <row r="1128">
          <cell r="H1128" t="str">
            <v>凤城二路店</v>
          </cell>
          <cell r="I1128">
            <v>45986</v>
          </cell>
          <cell r="J1128">
            <v>200</v>
          </cell>
        </row>
        <row r="1129">
          <cell r="C1129" t="str">
            <v>推广账户自动充值</v>
          </cell>
        </row>
        <row r="1129">
          <cell r="H1129" t="str">
            <v>凤城二路店</v>
          </cell>
          <cell r="I1129">
            <v>45986</v>
          </cell>
          <cell r="J1129">
            <v>200</v>
          </cell>
        </row>
        <row r="1130">
          <cell r="C1130" t="str">
            <v>推广订单扣款</v>
          </cell>
        </row>
        <row r="1130">
          <cell r="H1130" t="str">
            <v>凤城二路店</v>
          </cell>
          <cell r="I1130">
            <v>45986</v>
          </cell>
          <cell r="J1130">
            <v>-393.01</v>
          </cell>
        </row>
        <row r="1131">
          <cell r="C1131" t="str">
            <v>推广账户自动充值</v>
          </cell>
        </row>
        <row r="1131">
          <cell r="H1131" t="str">
            <v>大坪店</v>
          </cell>
          <cell r="I1131">
            <v>45987</v>
          </cell>
          <cell r="J1131">
            <v>200</v>
          </cell>
        </row>
        <row r="1132">
          <cell r="C1132" t="str">
            <v>推广订单扣款</v>
          </cell>
        </row>
        <row r="1132">
          <cell r="H1132" t="str">
            <v>大坪店</v>
          </cell>
          <cell r="I1132">
            <v>45987</v>
          </cell>
          <cell r="J1132">
            <v>-233.36</v>
          </cell>
        </row>
        <row r="1133">
          <cell r="C1133" t="str">
            <v>推广账户自动充值</v>
          </cell>
        </row>
        <row r="1133">
          <cell r="H1133" t="str">
            <v>大坪店</v>
          </cell>
          <cell r="I1133">
            <v>45986</v>
          </cell>
          <cell r="J1133">
            <v>200</v>
          </cell>
        </row>
        <row r="1134">
          <cell r="C1134" t="str">
            <v>推广订单扣款</v>
          </cell>
        </row>
        <row r="1134">
          <cell r="H1134" t="str">
            <v>大坪店</v>
          </cell>
          <cell r="I1134">
            <v>45986</v>
          </cell>
          <cell r="J1134">
            <v>-220.22</v>
          </cell>
        </row>
        <row r="1135">
          <cell r="C1135" t="str">
            <v>推广账户自动充值</v>
          </cell>
        </row>
        <row r="1135">
          <cell r="H1135" t="str">
            <v>五华店</v>
          </cell>
          <cell r="I1135">
            <v>45987</v>
          </cell>
          <cell r="J1135">
            <v>200</v>
          </cell>
        </row>
        <row r="1136">
          <cell r="C1136" t="str">
            <v>推广订单扣款</v>
          </cell>
        </row>
        <row r="1136">
          <cell r="H1136" t="str">
            <v>五华店</v>
          </cell>
          <cell r="I1136">
            <v>45987</v>
          </cell>
          <cell r="J1136">
            <v>-105.82</v>
          </cell>
        </row>
        <row r="1137">
          <cell r="C1137" t="str">
            <v>推广账户自动充值</v>
          </cell>
        </row>
        <row r="1137">
          <cell r="H1137" t="str">
            <v>五华店</v>
          </cell>
          <cell r="I1137">
            <v>45986</v>
          </cell>
          <cell r="J1137">
            <v>200</v>
          </cell>
        </row>
        <row r="1138">
          <cell r="C1138" t="str">
            <v>推广订单扣款</v>
          </cell>
        </row>
        <row r="1138">
          <cell r="H1138" t="str">
            <v>五华店</v>
          </cell>
          <cell r="I1138">
            <v>45986</v>
          </cell>
          <cell r="J1138">
            <v>-148.13</v>
          </cell>
        </row>
        <row r="1139">
          <cell r="C1139" t="str">
            <v>推广账户自动充值</v>
          </cell>
        </row>
        <row r="1139">
          <cell r="H1139" t="str">
            <v>官渡店</v>
          </cell>
          <cell r="I1139">
            <v>45987</v>
          </cell>
          <cell r="J1139">
            <v>200</v>
          </cell>
        </row>
        <row r="1140">
          <cell r="C1140" t="str">
            <v>推广订单扣款</v>
          </cell>
        </row>
        <row r="1140">
          <cell r="H1140" t="str">
            <v>官渡店</v>
          </cell>
          <cell r="I1140">
            <v>45987</v>
          </cell>
          <cell r="J1140">
            <v>-141.28</v>
          </cell>
        </row>
        <row r="1141">
          <cell r="C1141" t="str">
            <v>推广账户自动充值</v>
          </cell>
        </row>
        <row r="1141">
          <cell r="H1141" t="str">
            <v>官渡店</v>
          </cell>
          <cell r="I1141">
            <v>45986</v>
          </cell>
          <cell r="J1141">
            <v>200</v>
          </cell>
        </row>
        <row r="1142">
          <cell r="C1142" t="str">
            <v>推广订单扣款</v>
          </cell>
        </row>
        <row r="1142">
          <cell r="H1142" t="str">
            <v>官渡店</v>
          </cell>
          <cell r="I1142">
            <v>45986</v>
          </cell>
          <cell r="J1142">
            <v>-123.76</v>
          </cell>
        </row>
        <row r="1143">
          <cell r="C1143" t="str">
            <v>推广账户自动充值</v>
          </cell>
        </row>
        <row r="1143">
          <cell r="H1143" t="str">
            <v>百捷店</v>
          </cell>
          <cell r="I1143">
            <v>45987</v>
          </cell>
          <cell r="J1143">
            <v>200</v>
          </cell>
        </row>
        <row r="1144">
          <cell r="C1144" t="str">
            <v>推广订单扣款</v>
          </cell>
        </row>
        <row r="1144">
          <cell r="H1144" t="str">
            <v>百捷店</v>
          </cell>
          <cell r="I1144">
            <v>45987</v>
          </cell>
          <cell r="J1144">
            <v>-201.71</v>
          </cell>
        </row>
        <row r="1145">
          <cell r="C1145" t="str">
            <v>推广账户自动充值</v>
          </cell>
        </row>
        <row r="1145">
          <cell r="H1145" t="str">
            <v>百捷店</v>
          </cell>
          <cell r="I1145">
            <v>45986</v>
          </cell>
          <cell r="J1145">
            <v>200</v>
          </cell>
        </row>
        <row r="1146">
          <cell r="C1146" t="str">
            <v>推广订单扣款</v>
          </cell>
        </row>
        <row r="1146">
          <cell r="H1146" t="str">
            <v>百捷店</v>
          </cell>
          <cell r="I1146">
            <v>45986</v>
          </cell>
          <cell r="J1146">
            <v>-192.71</v>
          </cell>
        </row>
        <row r="1147">
          <cell r="C1147" t="str">
            <v>推广账户自动充值</v>
          </cell>
        </row>
        <row r="1147">
          <cell r="H1147" t="str">
            <v>济南店</v>
          </cell>
          <cell r="I1147">
            <v>45987</v>
          </cell>
          <cell r="J1147">
            <v>200</v>
          </cell>
        </row>
        <row r="1148">
          <cell r="C1148" t="str">
            <v>推广账户自动充值</v>
          </cell>
        </row>
        <row r="1148">
          <cell r="H1148" t="str">
            <v>济南店</v>
          </cell>
          <cell r="I1148">
            <v>45987</v>
          </cell>
          <cell r="J1148">
            <v>200</v>
          </cell>
        </row>
        <row r="1149">
          <cell r="C1149" t="str">
            <v>推广订单扣款</v>
          </cell>
        </row>
        <row r="1149">
          <cell r="H1149" t="str">
            <v>济南店</v>
          </cell>
          <cell r="I1149">
            <v>45987</v>
          </cell>
          <cell r="J1149">
            <v>-281.91</v>
          </cell>
        </row>
        <row r="1150">
          <cell r="C1150" t="str">
            <v>推广账户自动充值</v>
          </cell>
        </row>
        <row r="1150">
          <cell r="H1150" t="str">
            <v>济南店</v>
          </cell>
          <cell r="I1150">
            <v>45986</v>
          </cell>
          <cell r="J1150">
            <v>200</v>
          </cell>
        </row>
        <row r="1151">
          <cell r="C1151" t="str">
            <v>推广订单扣款</v>
          </cell>
        </row>
        <row r="1151">
          <cell r="H1151" t="str">
            <v>济南店</v>
          </cell>
          <cell r="I1151">
            <v>45986</v>
          </cell>
          <cell r="J1151">
            <v>-297.43</v>
          </cell>
        </row>
        <row r="1152">
          <cell r="C1152" t="str">
            <v>推广账户自动充值</v>
          </cell>
        </row>
        <row r="1152">
          <cell r="H1152" t="str">
            <v>观音桥店</v>
          </cell>
          <cell r="I1152">
            <v>45987</v>
          </cell>
          <cell r="J1152">
            <v>200</v>
          </cell>
        </row>
        <row r="1153">
          <cell r="C1153" t="str">
            <v>推广账户自动充值</v>
          </cell>
        </row>
        <row r="1153">
          <cell r="H1153" t="str">
            <v>观音桥店</v>
          </cell>
          <cell r="I1153">
            <v>45987</v>
          </cell>
          <cell r="J1153">
            <v>200</v>
          </cell>
        </row>
        <row r="1154">
          <cell r="C1154" t="str">
            <v>推广订单扣款</v>
          </cell>
        </row>
        <row r="1154">
          <cell r="H1154" t="str">
            <v>观音桥店</v>
          </cell>
          <cell r="I1154">
            <v>45987</v>
          </cell>
          <cell r="J1154">
            <v>-409.29</v>
          </cell>
        </row>
        <row r="1155">
          <cell r="C1155" t="str">
            <v>推广账户自动充值</v>
          </cell>
        </row>
        <row r="1155">
          <cell r="H1155" t="str">
            <v>观音桥店</v>
          </cell>
          <cell r="I1155">
            <v>45986</v>
          </cell>
          <cell r="J1155">
            <v>200</v>
          </cell>
        </row>
        <row r="1156">
          <cell r="C1156" t="str">
            <v>推广账户自动充值</v>
          </cell>
        </row>
        <row r="1156">
          <cell r="H1156" t="str">
            <v>观音桥店</v>
          </cell>
          <cell r="I1156">
            <v>45986</v>
          </cell>
          <cell r="J1156">
            <v>200</v>
          </cell>
        </row>
        <row r="1157">
          <cell r="C1157" t="str">
            <v>推广订单扣款</v>
          </cell>
        </row>
        <row r="1157">
          <cell r="H1157" t="str">
            <v>观音桥店</v>
          </cell>
          <cell r="I1157">
            <v>45986</v>
          </cell>
          <cell r="J1157">
            <v>-357.97</v>
          </cell>
        </row>
        <row r="1158">
          <cell r="C1158" t="str">
            <v>推广订单扣款</v>
          </cell>
        </row>
        <row r="1158">
          <cell r="H1158" t="str">
            <v>长沙店</v>
          </cell>
          <cell r="I1158">
            <v>45987</v>
          </cell>
          <cell r="J1158">
            <v>-182.98</v>
          </cell>
        </row>
        <row r="1159">
          <cell r="C1159" t="str">
            <v>推广账户自动充值</v>
          </cell>
        </row>
        <row r="1159">
          <cell r="H1159" t="str">
            <v>长沙店</v>
          </cell>
          <cell r="I1159">
            <v>45986</v>
          </cell>
          <cell r="J1159">
            <v>200</v>
          </cell>
        </row>
        <row r="1160">
          <cell r="C1160" t="str">
            <v>推广订单扣款</v>
          </cell>
        </row>
        <row r="1160">
          <cell r="H1160" t="str">
            <v>长沙店</v>
          </cell>
          <cell r="I1160">
            <v>45986</v>
          </cell>
          <cell r="J1160">
            <v>-156.07</v>
          </cell>
        </row>
        <row r="1161">
          <cell r="C1161" t="str">
            <v>推广账户自动充值</v>
          </cell>
        </row>
        <row r="1161">
          <cell r="H1161" t="str">
            <v>洛江店</v>
          </cell>
          <cell r="I1161">
            <v>45987</v>
          </cell>
          <cell r="J1161">
            <v>200</v>
          </cell>
        </row>
        <row r="1162">
          <cell r="C1162" t="str">
            <v>推广订单扣款</v>
          </cell>
        </row>
        <row r="1162">
          <cell r="H1162" t="str">
            <v>洛江店</v>
          </cell>
          <cell r="I1162">
            <v>45987</v>
          </cell>
          <cell r="J1162">
            <v>-65.03</v>
          </cell>
        </row>
        <row r="1163">
          <cell r="C1163" t="str">
            <v>推广订单扣款</v>
          </cell>
        </row>
        <row r="1163">
          <cell r="H1163" t="str">
            <v>洛江店</v>
          </cell>
          <cell r="I1163">
            <v>45986</v>
          </cell>
          <cell r="J1163">
            <v>-73.5</v>
          </cell>
        </row>
        <row r="1164">
          <cell r="C1164" t="str">
            <v>推广账户自动充值</v>
          </cell>
        </row>
        <row r="1164">
          <cell r="H1164" t="str">
            <v>五路口店</v>
          </cell>
          <cell r="I1164">
            <v>45987</v>
          </cell>
          <cell r="J1164">
            <v>200</v>
          </cell>
        </row>
        <row r="1165">
          <cell r="C1165" t="str">
            <v>推广账户自动充值</v>
          </cell>
        </row>
        <row r="1165">
          <cell r="H1165" t="str">
            <v>五路口店</v>
          </cell>
          <cell r="I1165">
            <v>45987</v>
          </cell>
          <cell r="J1165">
            <v>200</v>
          </cell>
        </row>
        <row r="1166">
          <cell r="C1166" t="str">
            <v>推广订单扣款</v>
          </cell>
        </row>
        <row r="1166">
          <cell r="H1166" t="str">
            <v>五路口店</v>
          </cell>
          <cell r="I1166">
            <v>45987</v>
          </cell>
          <cell r="J1166">
            <v>-333.83</v>
          </cell>
        </row>
        <row r="1167">
          <cell r="C1167" t="str">
            <v>推广账户自动充值</v>
          </cell>
        </row>
        <row r="1167">
          <cell r="H1167" t="str">
            <v>五路口店</v>
          </cell>
          <cell r="I1167">
            <v>45986</v>
          </cell>
          <cell r="J1167">
            <v>200</v>
          </cell>
        </row>
        <row r="1168">
          <cell r="C1168" t="str">
            <v>推广订单扣款</v>
          </cell>
        </row>
        <row r="1168">
          <cell r="H1168" t="str">
            <v>五路口店</v>
          </cell>
          <cell r="I1168">
            <v>45986</v>
          </cell>
          <cell r="J1168">
            <v>-369.27</v>
          </cell>
        </row>
        <row r="1169">
          <cell r="C1169" t="str">
            <v>推广订单扣款</v>
          </cell>
        </row>
        <row r="1169">
          <cell r="H1169" t="str">
            <v>青羊店</v>
          </cell>
          <cell r="I1169">
            <v>45987</v>
          </cell>
          <cell r="J1169">
            <v>-68.87</v>
          </cell>
        </row>
        <row r="1170">
          <cell r="C1170" t="str">
            <v>推广账户自动充值</v>
          </cell>
        </row>
        <row r="1170">
          <cell r="H1170" t="str">
            <v>青羊店</v>
          </cell>
          <cell r="I1170">
            <v>45986</v>
          </cell>
          <cell r="J1170">
            <v>200</v>
          </cell>
        </row>
        <row r="1171">
          <cell r="C1171" t="str">
            <v>推广订单扣款</v>
          </cell>
        </row>
        <row r="1171">
          <cell r="H1171" t="str">
            <v>青羊店</v>
          </cell>
          <cell r="I1171">
            <v>45986</v>
          </cell>
          <cell r="J1171">
            <v>-92.68</v>
          </cell>
        </row>
        <row r="1172">
          <cell r="C1172" t="str">
            <v>推广订单扣款</v>
          </cell>
        </row>
        <row r="1172">
          <cell r="H1172" t="str">
            <v>武侯店</v>
          </cell>
          <cell r="I1172">
            <v>45987</v>
          </cell>
          <cell r="J1172">
            <v>-60.88</v>
          </cell>
        </row>
        <row r="1173">
          <cell r="C1173" t="str">
            <v>推广订单扣款</v>
          </cell>
        </row>
        <row r="1173">
          <cell r="H1173" t="str">
            <v>武侯店</v>
          </cell>
          <cell r="I1173">
            <v>45986</v>
          </cell>
          <cell r="J1173">
            <v>-72.9</v>
          </cell>
        </row>
        <row r="1174">
          <cell r="C1174" t="str">
            <v>推广账户自动充值</v>
          </cell>
        </row>
        <row r="1174">
          <cell r="H1174" t="str">
            <v>鼓楼店</v>
          </cell>
          <cell r="I1174">
            <v>45987</v>
          </cell>
          <cell r="J1174">
            <v>200</v>
          </cell>
        </row>
        <row r="1175">
          <cell r="C1175" t="str">
            <v>推广订单扣款</v>
          </cell>
        </row>
        <row r="1175">
          <cell r="H1175" t="str">
            <v>鼓楼店</v>
          </cell>
          <cell r="I1175">
            <v>45987</v>
          </cell>
          <cell r="J1175">
            <v>-244.08</v>
          </cell>
        </row>
        <row r="1176">
          <cell r="C1176" t="str">
            <v>推广账户自动充值</v>
          </cell>
        </row>
        <row r="1176">
          <cell r="H1176" t="str">
            <v>鼓楼店</v>
          </cell>
          <cell r="I1176">
            <v>45986</v>
          </cell>
          <cell r="J1176">
            <v>200</v>
          </cell>
        </row>
        <row r="1177">
          <cell r="C1177" t="str">
            <v>推广订单扣款</v>
          </cell>
        </row>
        <row r="1177">
          <cell r="H1177" t="str">
            <v>鼓楼店</v>
          </cell>
          <cell r="I1177">
            <v>45986</v>
          </cell>
          <cell r="J1177">
            <v>-268.21</v>
          </cell>
        </row>
        <row r="1178">
          <cell r="C1178" t="str">
            <v>推广账户自动充值</v>
          </cell>
        </row>
        <row r="1178">
          <cell r="H1178" t="str">
            <v>黄雁村店</v>
          </cell>
          <cell r="I1178">
            <v>45987</v>
          </cell>
          <cell r="J1178">
            <v>200</v>
          </cell>
        </row>
        <row r="1179">
          <cell r="C1179" t="str">
            <v>推广账户自动充值</v>
          </cell>
        </row>
        <row r="1179">
          <cell r="H1179" t="str">
            <v>黄雁村店</v>
          </cell>
          <cell r="I1179">
            <v>45987</v>
          </cell>
          <cell r="J1179">
            <v>200</v>
          </cell>
        </row>
        <row r="1180">
          <cell r="C1180" t="str">
            <v>推广订单扣款</v>
          </cell>
        </row>
        <row r="1180">
          <cell r="H1180" t="str">
            <v>黄雁村店</v>
          </cell>
          <cell r="I1180">
            <v>45987</v>
          </cell>
          <cell r="J1180">
            <v>-364.33</v>
          </cell>
        </row>
        <row r="1181">
          <cell r="C1181" t="str">
            <v>推广账户自动充值</v>
          </cell>
        </row>
        <row r="1181">
          <cell r="H1181" t="str">
            <v>黄雁村店</v>
          </cell>
          <cell r="I1181">
            <v>45986</v>
          </cell>
          <cell r="J1181">
            <v>200</v>
          </cell>
        </row>
        <row r="1182">
          <cell r="C1182" t="str">
            <v>推广账户自动充值</v>
          </cell>
        </row>
        <row r="1182">
          <cell r="H1182" t="str">
            <v>黄雁村店</v>
          </cell>
          <cell r="I1182">
            <v>45986</v>
          </cell>
          <cell r="J1182">
            <v>200</v>
          </cell>
        </row>
        <row r="1183">
          <cell r="C1183" t="str">
            <v>推广订单扣款</v>
          </cell>
        </row>
        <row r="1183">
          <cell r="H1183" t="str">
            <v>黄雁村店</v>
          </cell>
          <cell r="I1183">
            <v>45986</v>
          </cell>
          <cell r="J1183">
            <v>-373.64</v>
          </cell>
        </row>
        <row r="1184">
          <cell r="C1184" t="str">
            <v>推广账户自动充值</v>
          </cell>
        </row>
        <row r="1184">
          <cell r="H1184" t="str">
            <v>西湖店</v>
          </cell>
          <cell r="I1184">
            <v>45987</v>
          </cell>
          <cell r="J1184">
            <v>200</v>
          </cell>
        </row>
        <row r="1185">
          <cell r="C1185" t="str">
            <v>推广订单扣款</v>
          </cell>
        </row>
        <row r="1185">
          <cell r="H1185" t="str">
            <v>西湖店</v>
          </cell>
          <cell r="I1185">
            <v>45987</v>
          </cell>
          <cell r="J1185">
            <v>-197.73</v>
          </cell>
        </row>
        <row r="1186">
          <cell r="C1186" t="str">
            <v>推广账户自动充值</v>
          </cell>
        </row>
        <row r="1186">
          <cell r="H1186" t="str">
            <v>西湖店</v>
          </cell>
          <cell r="I1186">
            <v>45986</v>
          </cell>
          <cell r="J1186">
            <v>200</v>
          </cell>
        </row>
        <row r="1187">
          <cell r="C1187" t="str">
            <v>推广订单扣款</v>
          </cell>
        </row>
        <row r="1187">
          <cell r="H1187" t="str">
            <v>西湖店</v>
          </cell>
          <cell r="I1187">
            <v>45986</v>
          </cell>
          <cell r="J1187">
            <v>-156.89</v>
          </cell>
        </row>
        <row r="1188">
          <cell r="C1188" t="str">
            <v>推广账户自动充值</v>
          </cell>
        </row>
        <row r="1188">
          <cell r="H1188" t="str">
            <v>百丈店</v>
          </cell>
          <cell r="I1188">
            <v>45987</v>
          </cell>
          <cell r="J1188">
            <v>200</v>
          </cell>
        </row>
        <row r="1189">
          <cell r="C1189" t="str">
            <v>推广订单扣款</v>
          </cell>
        </row>
        <row r="1189">
          <cell r="H1189" t="str">
            <v>百丈店</v>
          </cell>
          <cell r="I1189">
            <v>45987</v>
          </cell>
          <cell r="J1189">
            <v>-61.48</v>
          </cell>
        </row>
        <row r="1190">
          <cell r="C1190" t="str">
            <v>推广订单扣款</v>
          </cell>
        </row>
        <row r="1190">
          <cell r="H1190" t="str">
            <v>百丈店</v>
          </cell>
          <cell r="I1190">
            <v>45986</v>
          </cell>
          <cell r="J1190">
            <v>-130.13</v>
          </cell>
        </row>
        <row r="1191">
          <cell r="C1191" t="str">
            <v>推广账户自动充值</v>
          </cell>
        </row>
        <row r="1191">
          <cell r="H1191" t="str">
            <v>文昌店</v>
          </cell>
          <cell r="I1191">
            <v>45987</v>
          </cell>
          <cell r="J1191">
            <v>200</v>
          </cell>
        </row>
        <row r="1192">
          <cell r="C1192" t="str">
            <v>推广订单扣款</v>
          </cell>
        </row>
        <row r="1192">
          <cell r="H1192" t="str">
            <v>文昌店</v>
          </cell>
          <cell r="I1192">
            <v>45987</v>
          </cell>
          <cell r="J1192">
            <v>-176.39</v>
          </cell>
        </row>
        <row r="1193">
          <cell r="C1193" t="str">
            <v>推广账户自动充值</v>
          </cell>
        </row>
        <row r="1193">
          <cell r="H1193" t="str">
            <v>文昌店</v>
          </cell>
          <cell r="I1193">
            <v>45986</v>
          </cell>
          <cell r="J1193">
            <v>200</v>
          </cell>
        </row>
        <row r="1194">
          <cell r="C1194" t="str">
            <v>推广订单扣款</v>
          </cell>
        </row>
        <row r="1194">
          <cell r="H1194" t="str">
            <v>文昌店</v>
          </cell>
          <cell r="I1194">
            <v>45986</v>
          </cell>
          <cell r="J1194">
            <v>-190.42</v>
          </cell>
        </row>
        <row r="1195">
          <cell r="C1195" t="str">
            <v>推广账户自动充值</v>
          </cell>
        </row>
        <row r="1195">
          <cell r="H1195" t="str">
            <v>观桥店</v>
          </cell>
          <cell r="I1195">
            <v>45987</v>
          </cell>
          <cell r="J1195">
            <v>200</v>
          </cell>
        </row>
        <row r="1196">
          <cell r="C1196" t="str">
            <v>推广订单扣款</v>
          </cell>
        </row>
        <row r="1196">
          <cell r="H1196" t="str">
            <v>观桥店</v>
          </cell>
          <cell r="I1196">
            <v>45987</v>
          </cell>
          <cell r="J1196">
            <v>-254.59</v>
          </cell>
        </row>
        <row r="1197">
          <cell r="C1197" t="str">
            <v>推广账户自动充值</v>
          </cell>
        </row>
        <row r="1197">
          <cell r="H1197" t="str">
            <v>观桥店</v>
          </cell>
          <cell r="I1197">
            <v>45986</v>
          </cell>
          <cell r="J1197">
            <v>200</v>
          </cell>
        </row>
        <row r="1198">
          <cell r="C1198" t="str">
            <v>推广订单扣款</v>
          </cell>
        </row>
        <row r="1198">
          <cell r="H1198" t="str">
            <v>观桥店</v>
          </cell>
          <cell r="I1198">
            <v>45986</v>
          </cell>
          <cell r="J1198">
            <v>-265.02</v>
          </cell>
        </row>
        <row r="1199">
          <cell r="C1199" t="str">
            <v>推广账户自动充值</v>
          </cell>
        </row>
        <row r="1199">
          <cell r="H1199" t="str">
            <v>海口店</v>
          </cell>
          <cell r="I1199">
            <v>45987</v>
          </cell>
          <cell r="J1199">
            <v>200</v>
          </cell>
        </row>
        <row r="1200">
          <cell r="C1200" t="str">
            <v>推广订单扣款</v>
          </cell>
        </row>
        <row r="1200">
          <cell r="H1200" t="str">
            <v>海口店</v>
          </cell>
          <cell r="I1200">
            <v>45987</v>
          </cell>
          <cell r="J1200">
            <v>-200</v>
          </cell>
        </row>
        <row r="1201">
          <cell r="C1201" t="str">
            <v>推广账户自动充值</v>
          </cell>
        </row>
        <row r="1201">
          <cell r="H1201" t="str">
            <v>海口店</v>
          </cell>
          <cell r="I1201">
            <v>45986</v>
          </cell>
          <cell r="J1201">
            <v>200</v>
          </cell>
        </row>
        <row r="1202">
          <cell r="C1202" t="str">
            <v>推广订单扣款</v>
          </cell>
        </row>
        <row r="1202">
          <cell r="H1202" t="str">
            <v>海口店</v>
          </cell>
          <cell r="I1202">
            <v>45986</v>
          </cell>
          <cell r="J1202">
            <v>-200</v>
          </cell>
        </row>
        <row r="1203">
          <cell r="C1203" t="str">
            <v>推广账户自动充值</v>
          </cell>
        </row>
        <row r="1203">
          <cell r="H1203" t="str">
            <v>南安店</v>
          </cell>
          <cell r="I1203">
            <v>45987</v>
          </cell>
          <cell r="J1203">
            <v>100</v>
          </cell>
        </row>
        <row r="1204">
          <cell r="C1204" t="str">
            <v>推广订单扣款</v>
          </cell>
        </row>
        <row r="1204">
          <cell r="H1204" t="str">
            <v>南安店</v>
          </cell>
          <cell r="I1204">
            <v>45987</v>
          </cell>
          <cell r="J1204">
            <v>-77.5</v>
          </cell>
        </row>
        <row r="1205">
          <cell r="C1205" t="str">
            <v>推广账户自动充值</v>
          </cell>
        </row>
        <row r="1205">
          <cell r="H1205" t="str">
            <v>南安店</v>
          </cell>
          <cell r="I1205">
            <v>45986</v>
          </cell>
          <cell r="J1205">
            <v>100</v>
          </cell>
        </row>
        <row r="1206">
          <cell r="C1206" t="str">
            <v>推广订单扣款</v>
          </cell>
        </row>
        <row r="1206">
          <cell r="H1206" t="str">
            <v>南安店</v>
          </cell>
          <cell r="I1206">
            <v>45986</v>
          </cell>
          <cell r="J1206">
            <v>-100</v>
          </cell>
        </row>
        <row r="1207">
          <cell r="C1207" t="str">
            <v>推广订单扣款</v>
          </cell>
        </row>
        <row r="1207">
          <cell r="H1207" t="str">
            <v>诚毅店</v>
          </cell>
          <cell r="I1207">
            <v>45987</v>
          </cell>
          <cell r="J1207">
            <v>-98.42</v>
          </cell>
        </row>
        <row r="1208">
          <cell r="C1208" t="str">
            <v>推广账户自动充值</v>
          </cell>
        </row>
        <row r="1208">
          <cell r="H1208" t="str">
            <v>诚毅店</v>
          </cell>
          <cell r="I1208">
            <v>45986</v>
          </cell>
          <cell r="J1208">
            <v>200</v>
          </cell>
        </row>
        <row r="1209">
          <cell r="C1209" t="str">
            <v>推广订单扣款</v>
          </cell>
        </row>
        <row r="1209">
          <cell r="H1209" t="str">
            <v>诚毅店</v>
          </cell>
          <cell r="I1209">
            <v>45986</v>
          </cell>
          <cell r="J1209">
            <v>-177.42</v>
          </cell>
        </row>
        <row r="1210">
          <cell r="C1210" t="str">
            <v>推广账户自动充值</v>
          </cell>
        </row>
        <row r="1210">
          <cell r="H1210" t="str">
            <v>首山店</v>
          </cell>
          <cell r="I1210">
            <v>45987</v>
          </cell>
          <cell r="J1210">
            <v>200</v>
          </cell>
        </row>
        <row r="1211">
          <cell r="C1211" t="str">
            <v>推广订单扣款</v>
          </cell>
        </row>
        <row r="1211">
          <cell r="H1211" t="str">
            <v>首山店</v>
          </cell>
          <cell r="I1211">
            <v>45987</v>
          </cell>
          <cell r="J1211">
            <v>-140.83</v>
          </cell>
        </row>
        <row r="1212">
          <cell r="C1212" t="str">
            <v>推广订单扣款</v>
          </cell>
        </row>
        <row r="1212">
          <cell r="H1212" t="str">
            <v>首山店</v>
          </cell>
          <cell r="I1212">
            <v>45986</v>
          </cell>
          <cell r="J1212">
            <v>-172.82</v>
          </cell>
        </row>
        <row r="1213">
          <cell r="C1213" t="str">
            <v>推广账户自动充值</v>
          </cell>
        </row>
        <row r="1213">
          <cell r="H1213" t="str">
            <v>首南店</v>
          </cell>
          <cell r="I1213">
            <v>45987</v>
          </cell>
          <cell r="J1213">
            <v>200</v>
          </cell>
        </row>
        <row r="1214">
          <cell r="C1214" t="str">
            <v>推广订单扣款</v>
          </cell>
        </row>
        <row r="1214">
          <cell r="H1214" t="str">
            <v>首南店</v>
          </cell>
          <cell r="I1214">
            <v>45987</v>
          </cell>
          <cell r="J1214">
            <v>-187.04</v>
          </cell>
        </row>
        <row r="1215">
          <cell r="C1215" t="str">
            <v>推广账户自动充值</v>
          </cell>
        </row>
        <row r="1215">
          <cell r="H1215" t="str">
            <v>首南店</v>
          </cell>
          <cell r="I1215">
            <v>45986</v>
          </cell>
          <cell r="J1215">
            <v>200</v>
          </cell>
        </row>
        <row r="1216">
          <cell r="C1216" t="str">
            <v>推广订单扣款</v>
          </cell>
        </row>
        <row r="1216">
          <cell r="H1216" t="str">
            <v>首南店</v>
          </cell>
          <cell r="I1216">
            <v>45986</v>
          </cell>
          <cell r="J1216">
            <v>-164.1</v>
          </cell>
        </row>
        <row r="1217">
          <cell r="C1217" t="str">
            <v>推广账户自动充值</v>
          </cell>
        </row>
        <row r="1217">
          <cell r="H1217" t="str">
            <v>余杭店</v>
          </cell>
          <cell r="I1217">
            <v>45987</v>
          </cell>
          <cell r="J1217">
            <v>200</v>
          </cell>
        </row>
        <row r="1218">
          <cell r="C1218" t="str">
            <v>推广订单扣款</v>
          </cell>
        </row>
        <row r="1218">
          <cell r="H1218" t="str">
            <v>余杭店</v>
          </cell>
          <cell r="I1218">
            <v>45987</v>
          </cell>
          <cell r="J1218">
            <v>-111.83</v>
          </cell>
        </row>
        <row r="1219">
          <cell r="C1219" t="str">
            <v>推广订单扣款</v>
          </cell>
        </row>
        <row r="1219">
          <cell r="H1219" t="str">
            <v>余杭店</v>
          </cell>
          <cell r="I1219">
            <v>45986</v>
          </cell>
          <cell r="J1219">
            <v>-110.59</v>
          </cell>
        </row>
        <row r="1220">
          <cell r="C1220" t="str">
            <v>推广账户自动充值</v>
          </cell>
        </row>
        <row r="1220">
          <cell r="H1220" t="str">
            <v>东海店</v>
          </cell>
          <cell r="I1220">
            <v>45987</v>
          </cell>
          <cell r="J1220">
            <v>200</v>
          </cell>
        </row>
        <row r="1221">
          <cell r="C1221" t="str">
            <v>推广订单扣款</v>
          </cell>
        </row>
        <row r="1221">
          <cell r="H1221" t="str">
            <v>东海店</v>
          </cell>
          <cell r="I1221">
            <v>45987</v>
          </cell>
          <cell r="J1221">
            <v>-167.01</v>
          </cell>
        </row>
        <row r="1222">
          <cell r="C1222" t="str">
            <v>推广账户自动充值</v>
          </cell>
        </row>
        <row r="1222">
          <cell r="H1222" t="str">
            <v>东海店</v>
          </cell>
          <cell r="I1222">
            <v>45986</v>
          </cell>
          <cell r="J1222">
            <v>200</v>
          </cell>
        </row>
        <row r="1223">
          <cell r="C1223" t="str">
            <v>推广订单扣款</v>
          </cell>
        </row>
        <row r="1223">
          <cell r="H1223" t="str">
            <v>东海店</v>
          </cell>
          <cell r="I1223">
            <v>45986</v>
          </cell>
          <cell r="J1223">
            <v>-83.94</v>
          </cell>
        </row>
        <row r="1224">
          <cell r="C1224" t="str">
            <v>推广账户自动充值</v>
          </cell>
        </row>
        <row r="1224">
          <cell r="H1224" t="str">
            <v>文灶店</v>
          </cell>
          <cell r="I1224">
            <v>45987</v>
          </cell>
          <cell r="J1224">
            <v>200</v>
          </cell>
        </row>
        <row r="1225">
          <cell r="C1225" t="str">
            <v>推广订单扣款</v>
          </cell>
        </row>
        <row r="1225">
          <cell r="H1225" t="str">
            <v>文灶店</v>
          </cell>
          <cell r="I1225">
            <v>45987</v>
          </cell>
          <cell r="J1225">
            <v>-200.12</v>
          </cell>
        </row>
        <row r="1226">
          <cell r="C1226" t="str">
            <v>推广账户自动充值</v>
          </cell>
        </row>
        <row r="1226">
          <cell r="H1226" t="str">
            <v>文灶店</v>
          </cell>
          <cell r="I1226">
            <v>45986</v>
          </cell>
          <cell r="J1226">
            <v>200</v>
          </cell>
        </row>
        <row r="1227">
          <cell r="C1227" t="str">
            <v>推广订单扣款</v>
          </cell>
        </row>
        <row r="1227">
          <cell r="H1227" t="str">
            <v>文灶店</v>
          </cell>
          <cell r="I1227">
            <v>45986</v>
          </cell>
          <cell r="J1227">
            <v>-188.03</v>
          </cell>
        </row>
        <row r="1228">
          <cell r="C1228" t="str">
            <v>推广订单扣款</v>
          </cell>
        </row>
        <row r="1228">
          <cell r="H1228" t="str">
            <v>成华店</v>
          </cell>
          <cell r="I1228">
            <v>45988</v>
          </cell>
          <cell r="J1228">
            <v>-69.33</v>
          </cell>
        </row>
        <row r="1229">
          <cell r="C1229" t="str">
            <v>推广订单扣款</v>
          </cell>
        </row>
        <row r="1229">
          <cell r="H1229" t="str">
            <v>观桥店</v>
          </cell>
          <cell r="I1229">
            <v>45988</v>
          </cell>
          <cell r="J1229">
            <v>-194.29</v>
          </cell>
        </row>
        <row r="1230">
          <cell r="C1230" t="str">
            <v>推广订单扣款</v>
          </cell>
        </row>
        <row r="1230">
          <cell r="H1230" t="str">
            <v>黄雁村店</v>
          </cell>
          <cell r="I1230">
            <v>45988</v>
          </cell>
          <cell r="J1230">
            <v>-413.37</v>
          </cell>
        </row>
        <row r="1231">
          <cell r="C1231" t="str">
            <v>推广订单扣款</v>
          </cell>
        </row>
        <row r="1231">
          <cell r="H1231" t="str">
            <v>鼓楼店</v>
          </cell>
          <cell r="I1231">
            <v>45988</v>
          </cell>
          <cell r="J1231">
            <v>-241.71</v>
          </cell>
        </row>
        <row r="1232">
          <cell r="C1232" t="str">
            <v>推广订单扣款</v>
          </cell>
        </row>
        <row r="1232">
          <cell r="H1232" t="str">
            <v>济南店</v>
          </cell>
          <cell r="I1232">
            <v>45988</v>
          </cell>
          <cell r="J1232">
            <v>-293.1</v>
          </cell>
        </row>
        <row r="1233">
          <cell r="C1233" t="str">
            <v>推广订单扣款</v>
          </cell>
        </row>
        <row r="1233">
          <cell r="H1233" t="str">
            <v>文昌店</v>
          </cell>
          <cell r="I1233">
            <v>45988</v>
          </cell>
          <cell r="J1233">
            <v>-149.1</v>
          </cell>
        </row>
        <row r="1234">
          <cell r="C1234" t="str">
            <v>推广订单扣款</v>
          </cell>
        </row>
        <row r="1234">
          <cell r="H1234" t="str">
            <v>首山店</v>
          </cell>
          <cell r="I1234">
            <v>45988</v>
          </cell>
          <cell r="J1234">
            <v>-161.28</v>
          </cell>
        </row>
        <row r="1235">
          <cell r="C1235" t="str">
            <v>推广订单扣款</v>
          </cell>
        </row>
        <row r="1235">
          <cell r="H1235" t="str">
            <v>西湖店</v>
          </cell>
          <cell r="I1235">
            <v>45988</v>
          </cell>
          <cell r="J1235">
            <v>-200.1</v>
          </cell>
        </row>
        <row r="1236">
          <cell r="C1236" t="str">
            <v>推广订单扣款</v>
          </cell>
        </row>
        <row r="1236">
          <cell r="H1236" t="str">
            <v>大坪店</v>
          </cell>
          <cell r="I1236">
            <v>45988</v>
          </cell>
          <cell r="J1236">
            <v>-169.52</v>
          </cell>
        </row>
        <row r="1237">
          <cell r="C1237" t="str">
            <v>推广订单扣款</v>
          </cell>
        </row>
        <row r="1237">
          <cell r="H1237" t="str">
            <v>洛江店</v>
          </cell>
          <cell r="I1237">
            <v>45988</v>
          </cell>
          <cell r="J1237">
            <v>-59.33</v>
          </cell>
        </row>
        <row r="1238">
          <cell r="C1238" t="str">
            <v>推广订单扣款</v>
          </cell>
        </row>
        <row r="1238">
          <cell r="H1238" t="str">
            <v>金牛店</v>
          </cell>
          <cell r="I1238">
            <v>45988</v>
          </cell>
          <cell r="J1238">
            <v>-36.59</v>
          </cell>
        </row>
        <row r="1239">
          <cell r="C1239" t="str">
            <v>推广订单扣款</v>
          </cell>
        </row>
        <row r="1239">
          <cell r="H1239" t="str">
            <v>长沙店</v>
          </cell>
          <cell r="I1239">
            <v>45988</v>
          </cell>
          <cell r="J1239">
            <v>-119.1</v>
          </cell>
        </row>
        <row r="1240">
          <cell r="C1240" t="str">
            <v>推广订单扣款</v>
          </cell>
        </row>
        <row r="1240">
          <cell r="H1240" t="str">
            <v>五路口店</v>
          </cell>
          <cell r="I1240">
            <v>45988</v>
          </cell>
          <cell r="J1240">
            <v>-299.69</v>
          </cell>
        </row>
        <row r="1241">
          <cell r="C1241" t="str">
            <v>推广订单扣款</v>
          </cell>
        </row>
        <row r="1241">
          <cell r="H1241" t="str">
            <v>观音桥店</v>
          </cell>
          <cell r="I1241">
            <v>45988</v>
          </cell>
          <cell r="J1241">
            <v>-369.63</v>
          </cell>
        </row>
        <row r="1242">
          <cell r="C1242" t="str">
            <v>推广订单扣款</v>
          </cell>
        </row>
        <row r="1242">
          <cell r="H1242" t="str">
            <v>百丈店</v>
          </cell>
          <cell r="I1242">
            <v>45988</v>
          </cell>
          <cell r="J1242">
            <v>-139.34</v>
          </cell>
        </row>
        <row r="1243">
          <cell r="C1243" t="str">
            <v>推广订单扣款</v>
          </cell>
        </row>
        <row r="1243">
          <cell r="H1243" t="str">
            <v>五华店</v>
          </cell>
          <cell r="I1243">
            <v>45988</v>
          </cell>
          <cell r="J1243">
            <v>-193.47</v>
          </cell>
        </row>
        <row r="1244">
          <cell r="C1244" t="str">
            <v>推广订单扣款</v>
          </cell>
        </row>
        <row r="1244">
          <cell r="H1244" t="str">
            <v>南安店</v>
          </cell>
          <cell r="I1244">
            <v>45988</v>
          </cell>
          <cell r="J1244">
            <v>-50</v>
          </cell>
        </row>
        <row r="1245">
          <cell r="C1245" t="str">
            <v>推广订单扣款</v>
          </cell>
        </row>
        <row r="1245">
          <cell r="H1245" t="str">
            <v>海口店</v>
          </cell>
          <cell r="I1245">
            <v>45988</v>
          </cell>
          <cell r="J1245">
            <v>-200</v>
          </cell>
        </row>
        <row r="1246">
          <cell r="C1246" t="str">
            <v>推广订单扣款</v>
          </cell>
        </row>
        <row r="1246">
          <cell r="H1246" t="str">
            <v>西山店</v>
          </cell>
          <cell r="I1246">
            <v>45988</v>
          </cell>
          <cell r="J1246">
            <v>-175.99</v>
          </cell>
        </row>
        <row r="1247">
          <cell r="C1247" t="str">
            <v>推广订单扣款</v>
          </cell>
        </row>
        <row r="1247">
          <cell r="H1247" t="str">
            <v>余杭店</v>
          </cell>
          <cell r="I1247">
            <v>45988</v>
          </cell>
          <cell r="J1247">
            <v>-124.52</v>
          </cell>
        </row>
        <row r="1248">
          <cell r="C1248" t="str">
            <v>推广订单扣款</v>
          </cell>
        </row>
        <row r="1248">
          <cell r="H1248" t="str">
            <v>东新店</v>
          </cell>
          <cell r="I1248">
            <v>45988</v>
          </cell>
          <cell r="J1248">
            <v>-172.4</v>
          </cell>
        </row>
        <row r="1249">
          <cell r="C1249" t="str">
            <v>推广订单扣款</v>
          </cell>
        </row>
        <row r="1249">
          <cell r="H1249" t="str">
            <v>高新店</v>
          </cell>
          <cell r="I1249">
            <v>45988</v>
          </cell>
          <cell r="J1249">
            <v>-128.21</v>
          </cell>
        </row>
        <row r="1250">
          <cell r="C1250" t="str">
            <v>推广订单扣款</v>
          </cell>
        </row>
        <row r="1250">
          <cell r="H1250" t="str">
            <v>武侯店</v>
          </cell>
          <cell r="I1250">
            <v>45988</v>
          </cell>
          <cell r="J1250">
            <v>-40.35</v>
          </cell>
        </row>
        <row r="1251">
          <cell r="C1251" t="str">
            <v>推广订单扣款</v>
          </cell>
        </row>
        <row r="1251">
          <cell r="H1251" t="str">
            <v>湖里店</v>
          </cell>
          <cell r="I1251">
            <v>45988</v>
          </cell>
          <cell r="J1251">
            <v>-177.82</v>
          </cell>
        </row>
        <row r="1252">
          <cell r="C1252" t="str">
            <v>推广订单扣款</v>
          </cell>
        </row>
        <row r="1252">
          <cell r="H1252" t="str">
            <v>华信店</v>
          </cell>
          <cell r="I1252">
            <v>45988</v>
          </cell>
          <cell r="J1252">
            <v>-180</v>
          </cell>
        </row>
        <row r="1253">
          <cell r="C1253" t="str">
            <v>推广订单扣款</v>
          </cell>
        </row>
        <row r="1253">
          <cell r="H1253" t="str">
            <v>青羊店</v>
          </cell>
          <cell r="I1253">
            <v>45988</v>
          </cell>
          <cell r="J1253">
            <v>-40.17</v>
          </cell>
        </row>
        <row r="1254">
          <cell r="C1254" t="str">
            <v>推广订单扣款</v>
          </cell>
        </row>
        <row r="1254">
          <cell r="H1254" t="str">
            <v>沙坪坝店</v>
          </cell>
          <cell r="I1254">
            <v>45988</v>
          </cell>
          <cell r="J1254">
            <v>-94.55</v>
          </cell>
        </row>
        <row r="1255">
          <cell r="C1255" t="str">
            <v>推广订单扣款</v>
          </cell>
        </row>
        <row r="1255">
          <cell r="H1255" t="str">
            <v>官渡店</v>
          </cell>
          <cell r="I1255">
            <v>45988</v>
          </cell>
          <cell r="J1255">
            <v>-100</v>
          </cell>
        </row>
        <row r="1256">
          <cell r="C1256" t="str">
            <v>推广订单扣款</v>
          </cell>
        </row>
        <row r="1256">
          <cell r="H1256" t="str">
            <v>东海店</v>
          </cell>
          <cell r="I1256">
            <v>45988</v>
          </cell>
          <cell r="J1256">
            <v>-198.93</v>
          </cell>
        </row>
        <row r="1257">
          <cell r="C1257" t="str">
            <v>推广订单扣款</v>
          </cell>
        </row>
        <row r="1257">
          <cell r="H1257" t="str">
            <v>首南店</v>
          </cell>
          <cell r="I1257">
            <v>45988</v>
          </cell>
          <cell r="J1257">
            <v>-155.28</v>
          </cell>
        </row>
        <row r="1258">
          <cell r="C1258" t="str">
            <v>推广订单扣款</v>
          </cell>
        </row>
        <row r="1258">
          <cell r="H1258" t="str">
            <v>文灶店</v>
          </cell>
          <cell r="I1258">
            <v>45988</v>
          </cell>
          <cell r="J1258">
            <v>-179.64</v>
          </cell>
        </row>
        <row r="1259">
          <cell r="C1259" t="str">
            <v>推广订单扣款</v>
          </cell>
        </row>
        <row r="1259">
          <cell r="H1259" t="str">
            <v>百捷店</v>
          </cell>
          <cell r="I1259">
            <v>45988</v>
          </cell>
          <cell r="J1259">
            <v>-214.58</v>
          </cell>
        </row>
        <row r="1260">
          <cell r="C1260" t="str">
            <v>推广订单扣款</v>
          </cell>
        </row>
        <row r="1260">
          <cell r="H1260" t="str">
            <v>启点店</v>
          </cell>
          <cell r="I1260">
            <v>45988</v>
          </cell>
          <cell r="J1260">
            <v>-166.77</v>
          </cell>
        </row>
        <row r="1261">
          <cell r="C1261" t="str">
            <v>推广订单扣款</v>
          </cell>
        </row>
        <row r="1261">
          <cell r="H1261" t="str">
            <v>诚毅店</v>
          </cell>
          <cell r="I1261">
            <v>45988</v>
          </cell>
          <cell r="J1261">
            <v>-131.63</v>
          </cell>
        </row>
        <row r="1262">
          <cell r="C1262" t="str">
            <v>推广订单扣款</v>
          </cell>
        </row>
        <row r="1262">
          <cell r="H1262" t="str">
            <v>凤城二路店</v>
          </cell>
          <cell r="I1262">
            <v>45988</v>
          </cell>
          <cell r="J1262">
            <v>-353.44</v>
          </cell>
        </row>
        <row r="1263">
          <cell r="C1263" t="str">
            <v>推广账户自动充值</v>
          </cell>
        </row>
        <row r="1263">
          <cell r="H1263" t="str">
            <v>观桥店</v>
          </cell>
          <cell r="I1263">
            <v>45988</v>
          </cell>
          <cell r="J1263">
            <v>200</v>
          </cell>
        </row>
        <row r="1264">
          <cell r="C1264" t="str">
            <v>推广账户自动充值</v>
          </cell>
        </row>
        <row r="1264">
          <cell r="H1264" t="str">
            <v>东海店</v>
          </cell>
          <cell r="I1264">
            <v>45988</v>
          </cell>
          <cell r="J1264">
            <v>200</v>
          </cell>
        </row>
        <row r="1265">
          <cell r="C1265" t="str">
            <v>推广账户自动充值</v>
          </cell>
        </row>
        <row r="1265">
          <cell r="H1265" t="str">
            <v>长沙店</v>
          </cell>
          <cell r="I1265">
            <v>45988</v>
          </cell>
          <cell r="J1265">
            <v>200</v>
          </cell>
        </row>
        <row r="1266">
          <cell r="C1266" t="str">
            <v>推广账户自动充值</v>
          </cell>
        </row>
        <row r="1266">
          <cell r="H1266" t="str">
            <v>百捷店</v>
          </cell>
          <cell r="I1266">
            <v>45988</v>
          </cell>
          <cell r="J1266">
            <v>200</v>
          </cell>
        </row>
        <row r="1267">
          <cell r="C1267" t="str">
            <v>推广账户自动充值</v>
          </cell>
        </row>
        <row r="1267">
          <cell r="H1267" t="str">
            <v>湖里店</v>
          </cell>
          <cell r="I1267">
            <v>45988</v>
          </cell>
          <cell r="J1267">
            <v>200</v>
          </cell>
        </row>
        <row r="1268">
          <cell r="C1268" t="str">
            <v>推广账户自动充值</v>
          </cell>
        </row>
        <row r="1268">
          <cell r="H1268" t="str">
            <v>鼓楼店</v>
          </cell>
          <cell r="I1268">
            <v>45988</v>
          </cell>
          <cell r="J1268">
            <v>200</v>
          </cell>
        </row>
        <row r="1269">
          <cell r="C1269" t="str">
            <v>推广账户自动充值</v>
          </cell>
        </row>
        <row r="1269">
          <cell r="H1269" t="str">
            <v>黄雁村店</v>
          </cell>
          <cell r="I1269">
            <v>45988</v>
          </cell>
          <cell r="J1269">
            <v>200</v>
          </cell>
        </row>
        <row r="1270">
          <cell r="C1270" t="str">
            <v>推广账户自动充值</v>
          </cell>
        </row>
        <row r="1270">
          <cell r="H1270" t="str">
            <v>西湖店</v>
          </cell>
          <cell r="I1270">
            <v>45988</v>
          </cell>
          <cell r="J1270">
            <v>200</v>
          </cell>
        </row>
        <row r="1271">
          <cell r="C1271" t="str">
            <v>推广账户自动充值</v>
          </cell>
        </row>
        <row r="1271">
          <cell r="H1271" t="str">
            <v>凤城二路店</v>
          </cell>
          <cell r="I1271">
            <v>45988</v>
          </cell>
          <cell r="J1271">
            <v>200</v>
          </cell>
        </row>
        <row r="1272">
          <cell r="C1272" t="str">
            <v>推广账户自动充值</v>
          </cell>
        </row>
        <row r="1272">
          <cell r="H1272" t="str">
            <v>华信店</v>
          </cell>
          <cell r="I1272">
            <v>45988</v>
          </cell>
          <cell r="J1272">
            <v>200</v>
          </cell>
        </row>
        <row r="1273">
          <cell r="C1273" t="str">
            <v>推广账户自动充值</v>
          </cell>
        </row>
        <row r="1273">
          <cell r="H1273" t="str">
            <v>海口店</v>
          </cell>
          <cell r="I1273">
            <v>45988</v>
          </cell>
          <cell r="J1273">
            <v>200</v>
          </cell>
        </row>
        <row r="1274">
          <cell r="C1274" t="str">
            <v>推广账户自动充值</v>
          </cell>
        </row>
        <row r="1274">
          <cell r="H1274" t="str">
            <v>诚毅店</v>
          </cell>
          <cell r="I1274">
            <v>45988</v>
          </cell>
          <cell r="J1274">
            <v>200</v>
          </cell>
        </row>
        <row r="1275">
          <cell r="C1275" t="str">
            <v>推广账户自动充值</v>
          </cell>
        </row>
        <row r="1275">
          <cell r="H1275" t="str">
            <v>百丈店</v>
          </cell>
          <cell r="I1275">
            <v>45988</v>
          </cell>
          <cell r="J1275">
            <v>200</v>
          </cell>
        </row>
        <row r="1276">
          <cell r="C1276" t="str">
            <v>推广账户自动充值</v>
          </cell>
        </row>
        <row r="1276">
          <cell r="H1276" t="str">
            <v>沙坪坝店</v>
          </cell>
          <cell r="I1276">
            <v>45988</v>
          </cell>
          <cell r="J1276">
            <v>200</v>
          </cell>
        </row>
        <row r="1277">
          <cell r="C1277" t="str">
            <v>推广账户自动充值</v>
          </cell>
        </row>
        <row r="1277">
          <cell r="H1277" t="str">
            <v>五路口店</v>
          </cell>
          <cell r="I1277">
            <v>45988</v>
          </cell>
          <cell r="J1277">
            <v>200</v>
          </cell>
        </row>
        <row r="1278">
          <cell r="C1278" t="str">
            <v>推广账户自动充值</v>
          </cell>
        </row>
        <row r="1278">
          <cell r="H1278" t="str">
            <v>观音桥店</v>
          </cell>
          <cell r="I1278">
            <v>45988</v>
          </cell>
          <cell r="J1278">
            <v>200</v>
          </cell>
        </row>
        <row r="1279">
          <cell r="C1279" t="str">
            <v>推广账户自动充值</v>
          </cell>
        </row>
        <row r="1279">
          <cell r="H1279" t="str">
            <v>首山店</v>
          </cell>
          <cell r="I1279">
            <v>45988</v>
          </cell>
          <cell r="J1279">
            <v>200</v>
          </cell>
        </row>
        <row r="1280">
          <cell r="C1280" t="str">
            <v>推广账户自动充值</v>
          </cell>
        </row>
        <row r="1280">
          <cell r="H1280" t="str">
            <v>大坪店</v>
          </cell>
          <cell r="I1280">
            <v>45988</v>
          </cell>
          <cell r="J1280">
            <v>200</v>
          </cell>
        </row>
        <row r="1281">
          <cell r="C1281" t="str">
            <v>推广账户自动充值</v>
          </cell>
        </row>
        <row r="1281">
          <cell r="H1281" t="str">
            <v>文昌店</v>
          </cell>
          <cell r="I1281">
            <v>45988</v>
          </cell>
          <cell r="J1281">
            <v>200</v>
          </cell>
        </row>
        <row r="1282">
          <cell r="C1282" t="str">
            <v>推广账户自动充值</v>
          </cell>
        </row>
        <row r="1282">
          <cell r="H1282" t="str">
            <v>济南店</v>
          </cell>
          <cell r="I1282">
            <v>45988</v>
          </cell>
          <cell r="J1282">
            <v>200</v>
          </cell>
        </row>
        <row r="1283">
          <cell r="C1283" t="str">
            <v>推广账户自动充值</v>
          </cell>
        </row>
        <row r="1283">
          <cell r="H1283" t="str">
            <v>首南店</v>
          </cell>
          <cell r="I1283">
            <v>45988</v>
          </cell>
          <cell r="J1283">
            <v>200</v>
          </cell>
        </row>
        <row r="1284">
          <cell r="C1284" t="str">
            <v>推广账户自动充值</v>
          </cell>
        </row>
        <row r="1284">
          <cell r="H1284" t="str">
            <v>文灶店</v>
          </cell>
          <cell r="I1284">
            <v>45988</v>
          </cell>
          <cell r="J1284">
            <v>200</v>
          </cell>
        </row>
        <row r="1285">
          <cell r="C1285" t="str">
            <v>推广账户自动充值</v>
          </cell>
        </row>
        <row r="1285">
          <cell r="H1285" t="str">
            <v>启点店</v>
          </cell>
          <cell r="I1285">
            <v>45988</v>
          </cell>
          <cell r="J1285">
            <v>200</v>
          </cell>
        </row>
        <row r="1286">
          <cell r="C1286" t="str">
            <v>推广账户自动充值</v>
          </cell>
        </row>
        <row r="1286">
          <cell r="H1286" t="str">
            <v>黄雁村店</v>
          </cell>
          <cell r="I1286">
            <v>45988</v>
          </cell>
          <cell r="J1286">
            <v>200</v>
          </cell>
        </row>
        <row r="1287">
          <cell r="C1287" t="str">
            <v>推广账户自动充值</v>
          </cell>
        </row>
        <row r="1287">
          <cell r="H1287" t="str">
            <v>凤城二路店</v>
          </cell>
          <cell r="I1287">
            <v>45988</v>
          </cell>
          <cell r="J1287">
            <v>200</v>
          </cell>
        </row>
        <row r="1288">
          <cell r="C1288" t="str">
            <v>推广账户自动充值</v>
          </cell>
        </row>
        <row r="1288">
          <cell r="H1288" t="str">
            <v>南安店</v>
          </cell>
          <cell r="I1288">
            <v>45988</v>
          </cell>
          <cell r="J1288">
            <v>100</v>
          </cell>
        </row>
        <row r="1289">
          <cell r="C1289" t="str">
            <v>推广账户自动充值</v>
          </cell>
        </row>
        <row r="1289">
          <cell r="H1289" t="str">
            <v>鼓楼店</v>
          </cell>
          <cell r="I1289">
            <v>45988</v>
          </cell>
          <cell r="J1289">
            <v>200</v>
          </cell>
        </row>
        <row r="1290">
          <cell r="C1290" t="str">
            <v>推广账户自动充值</v>
          </cell>
        </row>
        <row r="1290">
          <cell r="H1290" t="str">
            <v>东新店</v>
          </cell>
          <cell r="I1290">
            <v>45988</v>
          </cell>
          <cell r="J1290">
            <v>200</v>
          </cell>
        </row>
        <row r="1291">
          <cell r="C1291" t="str">
            <v>推广账户自动充值</v>
          </cell>
        </row>
        <row r="1291">
          <cell r="H1291" t="str">
            <v>观音桥店</v>
          </cell>
          <cell r="I1291">
            <v>45988</v>
          </cell>
          <cell r="J1291">
            <v>200</v>
          </cell>
        </row>
        <row r="1292">
          <cell r="C1292" t="str">
            <v>推广账户自动充值</v>
          </cell>
        </row>
        <row r="1292">
          <cell r="H1292" t="str">
            <v>金牛店</v>
          </cell>
          <cell r="I1292">
            <v>45988</v>
          </cell>
          <cell r="J1292">
            <v>200</v>
          </cell>
        </row>
        <row r="1293">
          <cell r="C1293" t="str">
            <v>推广订单扣款</v>
          </cell>
        </row>
        <row r="1293">
          <cell r="H1293" t="str">
            <v>成华店</v>
          </cell>
          <cell r="I1293">
            <v>45989</v>
          </cell>
          <cell r="J1293">
            <v>-61.63</v>
          </cell>
        </row>
        <row r="1294">
          <cell r="C1294" t="str">
            <v>推广订单扣款</v>
          </cell>
        </row>
        <row r="1294">
          <cell r="H1294" t="str">
            <v>观桥店</v>
          </cell>
          <cell r="I1294">
            <v>45989</v>
          </cell>
          <cell r="J1294">
            <v>-166.17</v>
          </cell>
        </row>
        <row r="1295">
          <cell r="C1295" t="str">
            <v>推广订单扣款</v>
          </cell>
        </row>
        <row r="1295">
          <cell r="H1295" t="str">
            <v>黄雁村店</v>
          </cell>
          <cell r="I1295">
            <v>45989</v>
          </cell>
          <cell r="J1295">
            <v>-316.84</v>
          </cell>
        </row>
        <row r="1296">
          <cell r="C1296" t="str">
            <v>推广订单扣款</v>
          </cell>
        </row>
        <row r="1296">
          <cell r="H1296" t="str">
            <v>鼓楼店</v>
          </cell>
          <cell r="I1296">
            <v>45989</v>
          </cell>
          <cell r="J1296">
            <v>-240.29</v>
          </cell>
        </row>
        <row r="1297">
          <cell r="C1297" t="str">
            <v>推广订单扣款</v>
          </cell>
        </row>
        <row r="1297">
          <cell r="H1297" t="str">
            <v>济南店</v>
          </cell>
          <cell r="I1297">
            <v>45989</v>
          </cell>
          <cell r="J1297">
            <v>-280.59</v>
          </cell>
        </row>
        <row r="1298">
          <cell r="C1298" t="str">
            <v>推广订单扣款</v>
          </cell>
        </row>
        <row r="1298">
          <cell r="H1298" t="str">
            <v>西湖店</v>
          </cell>
          <cell r="I1298">
            <v>45989</v>
          </cell>
          <cell r="J1298">
            <v>-260.51</v>
          </cell>
        </row>
        <row r="1299">
          <cell r="C1299" t="str">
            <v>推广订单扣款</v>
          </cell>
        </row>
        <row r="1299">
          <cell r="H1299" t="str">
            <v>首山店</v>
          </cell>
          <cell r="I1299">
            <v>45989</v>
          </cell>
          <cell r="J1299">
            <v>-130.63</v>
          </cell>
        </row>
        <row r="1300">
          <cell r="C1300" t="str">
            <v>推广订单扣款</v>
          </cell>
        </row>
        <row r="1300">
          <cell r="H1300" t="str">
            <v>文昌店</v>
          </cell>
          <cell r="I1300">
            <v>45989</v>
          </cell>
          <cell r="J1300">
            <v>-161.97</v>
          </cell>
        </row>
        <row r="1301">
          <cell r="C1301" t="str">
            <v>推广订单扣款</v>
          </cell>
        </row>
        <row r="1301">
          <cell r="H1301" t="str">
            <v>大坪店</v>
          </cell>
          <cell r="I1301">
            <v>45989</v>
          </cell>
          <cell r="J1301">
            <v>-182.55</v>
          </cell>
        </row>
        <row r="1302">
          <cell r="C1302" t="str">
            <v>推广订单扣款</v>
          </cell>
        </row>
        <row r="1302">
          <cell r="H1302" t="str">
            <v>洛江店</v>
          </cell>
          <cell r="I1302">
            <v>45989</v>
          </cell>
          <cell r="J1302">
            <v>-57.67</v>
          </cell>
        </row>
        <row r="1303">
          <cell r="C1303" t="str">
            <v>推广账户自动充值</v>
          </cell>
        </row>
        <row r="1303">
          <cell r="H1303" t="str">
            <v>余杭店</v>
          </cell>
          <cell r="I1303">
            <v>45989</v>
          </cell>
          <cell r="J1303">
            <v>200</v>
          </cell>
        </row>
        <row r="1304">
          <cell r="C1304" t="str">
            <v>推广订单扣款</v>
          </cell>
        </row>
        <row r="1304">
          <cell r="H1304" t="str">
            <v>长沙店</v>
          </cell>
          <cell r="I1304">
            <v>45989</v>
          </cell>
          <cell r="J1304">
            <v>-171</v>
          </cell>
        </row>
        <row r="1305">
          <cell r="C1305" t="str">
            <v>推广订单扣款</v>
          </cell>
        </row>
        <row r="1305">
          <cell r="H1305" t="str">
            <v>金牛店</v>
          </cell>
          <cell r="I1305">
            <v>45989</v>
          </cell>
          <cell r="J1305">
            <v>-64.42</v>
          </cell>
        </row>
        <row r="1306">
          <cell r="C1306" t="str">
            <v>推广订单扣款</v>
          </cell>
        </row>
        <row r="1306">
          <cell r="H1306" t="str">
            <v>五路口店</v>
          </cell>
          <cell r="I1306">
            <v>45989</v>
          </cell>
          <cell r="J1306">
            <v>-350.3</v>
          </cell>
        </row>
        <row r="1307">
          <cell r="C1307" t="str">
            <v>推广订单扣款</v>
          </cell>
        </row>
        <row r="1307">
          <cell r="H1307" t="str">
            <v>观音桥店</v>
          </cell>
          <cell r="I1307">
            <v>45989</v>
          </cell>
          <cell r="J1307">
            <v>-399.99</v>
          </cell>
        </row>
        <row r="1308">
          <cell r="C1308" t="str">
            <v>推广订单扣款</v>
          </cell>
        </row>
        <row r="1308">
          <cell r="H1308" t="str">
            <v>五华店</v>
          </cell>
          <cell r="I1308">
            <v>45989</v>
          </cell>
          <cell r="J1308">
            <v>-143.7</v>
          </cell>
        </row>
        <row r="1309">
          <cell r="C1309" t="str">
            <v>推广订单扣款</v>
          </cell>
        </row>
        <row r="1309">
          <cell r="H1309" t="str">
            <v>百丈店</v>
          </cell>
          <cell r="I1309">
            <v>45989</v>
          </cell>
          <cell r="J1309">
            <v>-172.76</v>
          </cell>
        </row>
        <row r="1310">
          <cell r="C1310" t="str">
            <v>推广订单扣款</v>
          </cell>
        </row>
        <row r="1310">
          <cell r="H1310" t="str">
            <v>南安店</v>
          </cell>
          <cell r="I1310">
            <v>45989</v>
          </cell>
          <cell r="J1310">
            <v>-82.65</v>
          </cell>
        </row>
        <row r="1311">
          <cell r="C1311" t="str">
            <v>推广订单扣款</v>
          </cell>
        </row>
        <row r="1311">
          <cell r="H1311" t="str">
            <v>海口店</v>
          </cell>
          <cell r="I1311">
            <v>45989</v>
          </cell>
          <cell r="J1311">
            <v>-200</v>
          </cell>
        </row>
        <row r="1312">
          <cell r="C1312" t="str">
            <v>推广订单扣款</v>
          </cell>
        </row>
        <row r="1312">
          <cell r="H1312" t="str">
            <v>西山店</v>
          </cell>
          <cell r="I1312">
            <v>45989</v>
          </cell>
          <cell r="J1312">
            <v>-169.15</v>
          </cell>
        </row>
        <row r="1313">
          <cell r="C1313" t="str">
            <v>推广订单扣款</v>
          </cell>
        </row>
        <row r="1313">
          <cell r="H1313" t="str">
            <v>东新店</v>
          </cell>
          <cell r="I1313">
            <v>45989</v>
          </cell>
          <cell r="J1313">
            <v>-192.52</v>
          </cell>
        </row>
        <row r="1314">
          <cell r="C1314" t="str">
            <v>推广订单扣款</v>
          </cell>
        </row>
        <row r="1314">
          <cell r="H1314" t="str">
            <v>高新店</v>
          </cell>
          <cell r="I1314">
            <v>45989</v>
          </cell>
          <cell r="J1314">
            <v>-122.57</v>
          </cell>
        </row>
        <row r="1315">
          <cell r="C1315" t="str">
            <v>推广订单扣款</v>
          </cell>
        </row>
        <row r="1315">
          <cell r="H1315" t="str">
            <v>余杭店</v>
          </cell>
          <cell r="I1315">
            <v>45989</v>
          </cell>
          <cell r="J1315">
            <v>-154.5</v>
          </cell>
        </row>
        <row r="1316">
          <cell r="C1316" t="str">
            <v>推广订单扣款</v>
          </cell>
        </row>
        <row r="1316">
          <cell r="H1316" t="str">
            <v>湖里店</v>
          </cell>
          <cell r="I1316">
            <v>45989</v>
          </cell>
          <cell r="J1316">
            <v>-172.63</v>
          </cell>
        </row>
        <row r="1317">
          <cell r="C1317" t="str">
            <v>推广订单扣款</v>
          </cell>
        </row>
        <row r="1317">
          <cell r="H1317" t="str">
            <v>武侯店</v>
          </cell>
          <cell r="I1317">
            <v>45989</v>
          </cell>
          <cell r="J1317">
            <v>-37.24</v>
          </cell>
        </row>
        <row r="1318">
          <cell r="C1318" t="str">
            <v>推广订单扣款</v>
          </cell>
        </row>
        <row r="1318">
          <cell r="H1318" t="str">
            <v>沙坪坝店</v>
          </cell>
          <cell r="I1318">
            <v>45989</v>
          </cell>
          <cell r="J1318">
            <v>-127.19</v>
          </cell>
        </row>
        <row r="1319">
          <cell r="C1319" t="str">
            <v>推广订单扣款</v>
          </cell>
        </row>
        <row r="1319">
          <cell r="H1319" t="str">
            <v>官渡店</v>
          </cell>
          <cell r="I1319">
            <v>45989</v>
          </cell>
          <cell r="J1319">
            <v>-108.94</v>
          </cell>
        </row>
        <row r="1320">
          <cell r="C1320" t="str">
            <v>推广订单扣款</v>
          </cell>
        </row>
        <row r="1320">
          <cell r="H1320" t="str">
            <v>华信店</v>
          </cell>
          <cell r="I1320">
            <v>45989</v>
          </cell>
          <cell r="J1320">
            <v>-180</v>
          </cell>
        </row>
        <row r="1321">
          <cell r="C1321" t="str">
            <v>推广订单扣款</v>
          </cell>
        </row>
        <row r="1321">
          <cell r="H1321" t="str">
            <v>青羊店</v>
          </cell>
          <cell r="I1321">
            <v>45989</v>
          </cell>
          <cell r="J1321">
            <v>-47.49</v>
          </cell>
        </row>
        <row r="1322">
          <cell r="C1322" t="str">
            <v>推广订单扣款</v>
          </cell>
        </row>
        <row r="1322">
          <cell r="H1322" t="str">
            <v>东海店</v>
          </cell>
          <cell r="I1322">
            <v>45989</v>
          </cell>
          <cell r="J1322">
            <v>-200</v>
          </cell>
        </row>
        <row r="1323">
          <cell r="C1323" t="str">
            <v>推广订单扣款</v>
          </cell>
        </row>
        <row r="1323">
          <cell r="H1323" t="str">
            <v>首南店</v>
          </cell>
          <cell r="I1323">
            <v>45989</v>
          </cell>
          <cell r="J1323">
            <v>-166.29</v>
          </cell>
        </row>
        <row r="1324">
          <cell r="C1324" t="str">
            <v>推广订单扣款</v>
          </cell>
        </row>
        <row r="1324">
          <cell r="H1324" t="str">
            <v>文灶店</v>
          </cell>
          <cell r="I1324">
            <v>45989</v>
          </cell>
          <cell r="J1324">
            <v>-227.7</v>
          </cell>
        </row>
        <row r="1325">
          <cell r="C1325" t="str">
            <v>推广订单扣款</v>
          </cell>
        </row>
        <row r="1325">
          <cell r="H1325" t="str">
            <v>百捷店</v>
          </cell>
          <cell r="I1325">
            <v>45989</v>
          </cell>
          <cell r="J1325">
            <v>-201.18</v>
          </cell>
        </row>
        <row r="1326">
          <cell r="C1326" t="str">
            <v>推广订单扣款</v>
          </cell>
        </row>
        <row r="1326">
          <cell r="H1326" t="str">
            <v>启点店</v>
          </cell>
          <cell r="I1326">
            <v>45989</v>
          </cell>
          <cell r="J1326">
            <v>-88.7</v>
          </cell>
        </row>
        <row r="1327">
          <cell r="C1327" t="str">
            <v>推广订单扣款</v>
          </cell>
        </row>
        <row r="1327">
          <cell r="H1327" t="str">
            <v>诚毅店</v>
          </cell>
          <cell r="I1327">
            <v>45989</v>
          </cell>
          <cell r="J1327">
            <v>-183.57</v>
          </cell>
        </row>
        <row r="1328">
          <cell r="C1328" t="str">
            <v>推广订单扣款</v>
          </cell>
        </row>
        <row r="1328">
          <cell r="H1328" t="str">
            <v>凤城二路店</v>
          </cell>
          <cell r="I1328">
            <v>45989</v>
          </cell>
          <cell r="J1328">
            <v>-390.85</v>
          </cell>
        </row>
        <row r="1329">
          <cell r="C1329" t="str">
            <v>推广账户自动充值</v>
          </cell>
        </row>
        <row r="1329">
          <cell r="H1329" t="str">
            <v>东海店</v>
          </cell>
          <cell r="I1329">
            <v>45989</v>
          </cell>
          <cell r="J1329">
            <v>200</v>
          </cell>
        </row>
        <row r="1330">
          <cell r="C1330" t="str">
            <v>推广账户自动充值</v>
          </cell>
        </row>
        <row r="1330">
          <cell r="H1330" t="str">
            <v>观桥店</v>
          </cell>
          <cell r="I1330">
            <v>45989</v>
          </cell>
          <cell r="J1330">
            <v>200</v>
          </cell>
        </row>
        <row r="1331">
          <cell r="C1331" t="str">
            <v>推广账户自动充值</v>
          </cell>
        </row>
        <row r="1331">
          <cell r="H1331" t="str">
            <v>西山店</v>
          </cell>
          <cell r="I1331">
            <v>45989</v>
          </cell>
          <cell r="J1331">
            <v>200</v>
          </cell>
        </row>
        <row r="1332">
          <cell r="C1332" t="str">
            <v>推广账户自动充值</v>
          </cell>
        </row>
        <row r="1332">
          <cell r="H1332" t="str">
            <v>济南店</v>
          </cell>
          <cell r="I1332">
            <v>45989</v>
          </cell>
          <cell r="J1332">
            <v>200</v>
          </cell>
        </row>
        <row r="1333">
          <cell r="C1333" t="str">
            <v>推广账户自动充值</v>
          </cell>
        </row>
        <row r="1333">
          <cell r="H1333" t="str">
            <v>西湖店</v>
          </cell>
          <cell r="I1333">
            <v>45989</v>
          </cell>
          <cell r="J1333">
            <v>200</v>
          </cell>
        </row>
        <row r="1334">
          <cell r="C1334" t="str">
            <v>推广账户自动充值</v>
          </cell>
        </row>
        <row r="1334">
          <cell r="H1334" t="str">
            <v>百捷店</v>
          </cell>
          <cell r="I1334">
            <v>45989</v>
          </cell>
          <cell r="J1334">
            <v>200</v>
          </cell>
        </row>
        <row r="1335">
          <cell r="C1335" t="str">
            <v>推广账户自动充值</v>
          </cell>
        </row>
        <row r="1335">
          <cell r="H1335" t="str">
            <v>黄雁村店</v>
          </cell>
          <cell r="I1335">
            <v>45989</v>
          </cell>
          <cell r="J1335">
            <v>200</v>
          </cell>
        </row>
        <row r="1336">
          <cell r="C1336" t="str">
            <v>推广账户自动充值</v>
          </cell>
        </row>
        <row r="1336">
          <cell r="H1336" t="str">
            <v>高新店</v>
          </cell>
          <cell r="I1336">
            <v>45989</v>
          </cell>
          <cell r="J1336">
            <v>200</v>
          </cell>
        </row>
        <row r="1337">
          <cell r="C1337" t="str">
            <v>推广账户自动充值</v>
          </cell>
        </row>
        <row r="1337">
          <cell r="H1337" t="str">
            <v>海口店</v>
          </cell>
          <cell r="I1337">
            <v>45989</v>
          </cell>
          <cell r="J1337">
            <v>200</v>
          </cell>
        </row>
        <row r="1338">
          <cell r="C1338" t="str">
            <v>推广账户自动充值</v>
          </cell>
        </row>
        <row r="1338">
          <cell r="H1338" t="str">
            <v>五华店</v>
          </cell>
          <cell r="I1338">
            <v>45989</v>
          </cell>
          <cell r="J1338">
            <v>200</v>
          </cell>
        </row>
        <row r="1339">
          <cell r="C1339" t="str">
            <v>推广账户自动充值</v>
          </cell>
        </row>
        <row r="1339">
          <cell r="H1339" t="str">
            <v>五路口店</v>
          </cell>
          <cell r="I1339">
            <v>45989</v>
          </cell>
          <cell r="J1339">
            <v>200</v>
          </cell>
        </row>
        <row r="1340">
          <cell r="C1340" t="str">
            <v>推广账户自动充值</v>
          </cell>
        </row>
        <row r="1340">
          <cell r="H1340" t="str">
            <v>湖里店</v>
          </cell>
          <cell r="I1340">
            <v>45989</v>
          </cell>
          <cell r="J1340">
            <v>200</v>
          </cell>
        </row>
        <row r="1341">
          <cell r="C1341" t="str">
            <v>推广账户自动充值</v>
          </cell>
        </row>
        <row r="1341">
          <cell r="H1341" t="str">
            <v>凤城二路店</v>
          </cell>
          <cell r="I1341">
            <v>45989</v>
          </cell>
          <cell r="J1341">
            <v>200</v>
          </cell>
        </row>
        <row r="1342">
          <cell r="C1342" t="str">
            <v>推广账户自动充值</v>
          </cell>
        </row>
        <row r="1342">
          <cell r="H1342" t="str">
            <v>长沙店</v>
          </cell>
          <cell r="I1342">
            <v>45989</v>
          </cell>
          <cell r="J1342">
            <v>200</v>
          </cell>
        </row>
        <row r="1343">
          <cell r="C1343" t="str">
            <v>推广账户自动充值</v>
          </cell>
        </row>
        <row r="1343">
          <cell r="H1343" t="str">
            <v>官渡店</v>
          </cell>
          <cell r="I1343">
            <v>45989</v>
          </cell>
          <cell r="J1343">
            <v>200</v>
          </cell>
        </row>
        <row r="1344">
          <cell r="C1344" t="str">
            <v>推广账户自动充值</v>
          </cell>
        </row>
        <row r="1344">
          <cell r="H1344" t="str">
            <v>大坪店</v>
          </cell>
          <cell r="I1344">
            <v>45989</v>
          </cell>
          <cell r="J1344">
            <v>200</v>
          </cell>
        </row>
        <row r="1345">
          <cell r="C1345" t="str">
            <v>推广账户自动充值</v>
          </cell>
        </row>
        <row r="1345">
          <cell r="H1345" t="str">
            <v>诚毅店</v>
          </cell>
          <cell r="I1345">
            <v>45989</v>
          </cell>
          <cell r="J1345">
            <v>200</v>
          </cell>
        </row>
        <row r="1346">
          <cell r="C1346" t="str">
            <v>推广账户自动充值</v>
          </cell>
        </row>
        <row r="1346">
          <cell r="H1346" t="str">
            <v>观音桥店</v>
          </cell>
          <cell r="I1346">
            <v>45989</v>
          </cell>
          <cell r="J1346">
            <v>200</v>
          </cell>
        </row>
        <row r="1347">
          <cell r="C1347" t="str">
            <v>推广账户自动充值</v>
          </cell>
        </row>
        <row r="1347">
          <cell r="H1347" t="str">
            <v>东新店</v>
          </cell>
          <cell r="I1347">
            <v>45989</v>
          </cell>
          <cell r="J1347">
            <v>200</v>
          </cell>
        </row>
        <row r="1348">
          <cell r="C1348" t="str">
            <v>推广账户自动充值</v>
          </cell>
        </row>
        <row r="1348">
          <cell r="H1348" t="str">
            <v>鼓楼店</v>
          </cell>
          <cell r="I1348">
            <v>45989</v>
          </cell>
          <cell r="J1348">
            <v>200</v>
          </cell>
        </row>
        <row r="1349">
          <cell r="C1349" t="str">
            <v>推广账户自动充值</v>
          </cell>
        </row>
        <row r="1349">
          <cell r="H1349" t="str">
            <v>文灶店</v>
          </cell>
          <cell r="I1349">
            <v>45989</v>
          </cell>
          <cell r="J1349">
            <v>200</v>
          </cell>
        </row>
        <row r="1350">
          <cell r="C1350" t="str">
            <v>推广账户自动充值</v>
          </cell>
        </row>
        <row r="1350">
          <cell r="H1350" t="str">
            <v>首南店</v>
          </cell>
          <cell r="I1350">
            <v>45989</v>
          </cell>
          <cell r="J1350">
            <v>200</v>
          </cell>
        </row>
        <row r="1351">
          <cell r="C1351" t="str">
            <v>推广账户自动充值</v>
          </cell>
        </row>
        <row r="1351">
          <cell r="H1351" t="str">
            <v>百丈店</v>
          </cell>
          <cell r="I1351">
            <v>45989</v>
          </cell>
          <cell r="J1351">
            <v>200</v>
          </cell>
        </row>
        <row r="1352">
          <cell r="C1352" t="str">
            <v>推广账户自动充值</v>
          </cell>
        </row>
        <row r="1352">
          <cell r="H1352" t="str">
            <v>首山店</v>
          </cell>
          <cell r="I1352">
            <v>45989</v>
          </cell>
          <cell r="J1352">
            <v>200</v>
          </cell>
        </row>
        <row r="1353">
          <cell r="C1353" t="str">
            <v>推广账户自动充值</v>
          </cell>
        </row>
        <row r="1353">
          <cell r="H1353" t="str">
            <v>黄雁村店</v>
          </cell>
          <cell r="I1353">
            <v>45989</v>
          </cell>
          <cell r="J1353">
            <v>200</v>
          </cell>
        </row>
        <row r="1354">
          <cell r="C1354" t="str">
            <v>推广账户自动充值</v>
          </cell>
        </row>
        <row r="1354">
          <cell r="H1354" t="str">
            <v>文昌店</v>
          </cell>
          <cell r="I1354">
            <v>45989</v>
          </cell>
          <cell r="J1354">
            <v>200</v>
          </cell>
        </row>
        <row r="1355">
          <cell r="C1355" t="str">
            <v>推广账户自动充值</v>
          </cell>
        </row>
        <row r="1355">
          <cell r="H1355" t="str">
            <v>凤城二路店</v>
          </cell>
          <cell r="I1355">
            <v>45989</v>
          </cell>
          <cell r="J1355">
            <v>200</v>
          </cell>
        </row>
        <row r="1356">
          <cell r="C1356" t="str">
            <v>推广订单扣款</v>
          </cell>
        </row>
        <row r="1356">
          <cell r="H1356" t="str">
            <v>鼓楼店</v>
          </cell>
          <cell r="I1356">
            <v>45990</v>
          </cell>
          <cell r="J1356">
            <v>-304.53</v>
          </cell>
        </row>
        <row r="1357">
          <cell r="C1357" t="str">
            <v>推广订单扣款</v>
          </cell>
        </row>
        <row r="1357">
          <cell r="H1357" t="str">
            <v>首山店</v>
          </cell>
          <cell r="I1357">
            <v>45990</v>
          </cell>
          <cell r="J1357">
            <v>-156.73</v>
          </cell>
        </row>
        <row r="1358">
          <cell r="C1358" t="str">
            <v>推广订单扣款</v>
          </cell>
        </row>
        <row r="1358">
          <cell r="H1358" t="str">
            <v>西湖店</v>
          </cell>
          <cell r="I1358">
            <v>45990</v>
          </cell>
          <cell r="J1358">
            <v>-237.64</v>
          </cell>
        </row>
        <row r="1359">
          <cell r="C1359" t="str">
            <v>推广订单扣款</v>
          </cell>
        </row>
        <row r="1359">
          <cell r="H1359" t="str">
            <v>长沙店</v>
          </cell>
          <cell r="I1359">
            <v>45990</v>
          </cell>
          <cell r="J1359">
            <v>-144.92</v>
          </cell>
        </row>
        <row r="1360">
          <cell r="C1360" t="str">
            <v>推广订单扣款</v>
          </cell>
        </row>
        <row r="1360">
          <cell r="H1360" t="str">
            <v>五路口店</v>
          </cell>
          <cell r="I1360">
            <v>45990</v>
          </cell>
          <cell r="J1360">
            <v>-200</v>
          </cell>
        </row>
        <row r="1361">
          <cell r="C1361" t="str">
            <v>推广账户自动充值</v>
          </cell>
        </row>
        <row r="1361">
          <cell r="H1361" t="str">
            <v>西湖店</v>
          </cell>
          <cell r="I1361">
            <v>45990</v>
          </cell>
          <cell r="J1361">
            <v>200</v>
          </cell>
        </row>
        <row r="1362">
          <cell r="C1362" t="str">
            <v>推广订单扣款</v>
          </cell>
        </row>
        <row r="1362">
          <cell r="H1362" t="str">
            <v>海口店</v>
          </cell>
          <cell r="I1362">
            <v>45990</v>
          </cell>
          <cell r="J1362">
            <v>-200</v>
          </cell>
        </row>
        <row r="1363">
          <cell r="C1363" t="str">
            <v>推广订单扣款</v>
          </cell>
        </row>
        <row r="1363">
          <cell r="H1363" t="str">
            <v>百丈店</v>
          </cell>
          <cell r="I1363">
            <v>45990</v>
          </cell>
          <cell r="J1363">
            <v>-132.43</v>
          </cell>
        </row>
        <row r="1364">
          <cell r="C1364" t="str">
            <v>推广订单扣款</v>
          </cell>
        </row>
        <row r="1364">
          <cell r="H1364" t="str">
            <v>五华店</v>
          </cell>
          <cell r="I1364">
            <v>45990</v>
          </cell>
          <cell r="J1364">
            <v>-152.83</v>
          </cell>
        </row>
        <row r="1365">
          <cell r="C1365" t="str">
            <v>推广订单扣款</v>
          </cell>
        </row>
        <row r="1365">
          <cell r="H1365" t="str">
            <v>东新店</v>
          </cell>
          <cell r="I1365">
            <v>45990</v>
          </cell>
          <cell r="J1365">
            <v>-306.81</v>
          </cell>
        </row>
        <row r="1366">
          <cell r="C1366" t="str">
            <v>推广订单扣款</v>
          </cell>
        </row>
        <row r="1366">
          <cell r="H1366" t="str">
            <v>官渡店</v>
          </cell>
          <cell r="I1366">
            <v>45990</v>
          </cell>
          <cell r="J1366">
            <v>-125.64</v>
          </cell>
        </row>
        <row r="1367">
          <cell r="C1367" t="str">
            <v>推广订单扣款</v>
          </cell>
        </row>
        <row r="1367">
          <cell r="H1367" t="str">
            <v>沙坪坝店</v>
          </cell>
          <cell r="I1367">
            <v>45990</v>
          </cell>
          <cell r="J1367">
            <v>-95.66</v>
          </cell>
        </row>
        <row r="1368">
          <cell r="C1368" t="str">
            <v>推广订单扣款</v>
          </cell>
        </row>
        <row r="1368">
          <cell r="H1368" t="str">
            <v>东海店</v>
          </cell>
          <cell r="I1368">
            <v>45990</v>
          </cell>
          <cell r="J1368">
            <v>-198.98</v>
          </cell>
        </row>
        <row r="1369">
          <cell r="C1369" t="str">
            <v>推广订单扣款</v>
          </cell>
        </row>
        <row r="1369">
          <cell r="H1369" t="str">
            <v>文灶店</v>
          </cell>
          <cell r="I1369">
            <v>45990</v>
          </cell>
          <cell r="J1369">
            <v>-223.57</v>
          </cell>
        </row>
        <row r="1370">
          <cell r="C1370" t="str">
            <v>推广订单扣款</v>
          </cell>
        </row>
        <row r="1370">
          <cell r="H1370" t="str">
            <v>启点店</v>
          </cell>
          <cell r="I1370">
            <v>45990</v>
          </cell>
          <cell r="J1370">
            <v>-138.16</v>
          </cell>
        </row>
        <row r="1371">
          <cell r="C1371" t="str">
            <v>推广订单扣款</v>
          </cell>
        </row>
        <row r="1371">
          <cell r="H1371" t="str">
            <v>诚毅店</v>
          </cell>
          <cell r="I1371">
            <v>45990</v>
          </cell>
          <cell r="J1371">
            <v>-141.14</v>
          </cell>
        </row>
        <row r="1372">
          <cell r="C1372" t="str">
            <v>推广订单扣款</v>
          </cell>
        </row>
        <row r="1372">
          <cell r="H1372" t="str">
            <v>百捷店</v>
          </cell>
          <cell r="I1372">
            <v>45990</v>
          </cell>
          <cell r="J1372">
            <v>-118.89</v>
          </cell>
        </row>
        <row r="1373">
          <cell r="C1373" t="str">
            <v>推广订单扣款</v>
          </cell>
        </row>
        <row r="1373">
          <cell r="H1373" t="str">
            <v>成华店</v>
          </cell>
          <cell r="I1373">
            <v>45990</v>
          </cell>
          <cell r="J1373">
            <v>-99.67</v>
          </cell>
        </row>
        <row r="1374">
          <cell r="C1374" t="str">
            <v>推广订单扣款</v>
          </cell>
        </row>
        <row r="1374">
          <cell r="H1374" t="str">
            <v>观桥店</v>
          </cell>
          <cell r="I1374">
            <v>45990</v>
          </cell>
          <cell r="J1374">
            <v>-152.34</v>
          </cell>
        </row>
        <row r="1375">
          <cell r="C1375" t="str">
            <v>推广订单扣款</v>
          </cell>
        </row>
        <row r="1375">
          <cell r="H1375" t="str">
            <v>黄雁村店</v>
          </cell>
          <cell r="I1375">
            <v>45990</v>
          </cell>
          <cell r="J1375">
            <v>-401.64</v>
          </cell>
        </row>
        <row r="1376">
          <cell r="C1376" t="str">
            <v>推广订单扣款</v>
          </cell>
        </row>
        <row r="1376">
          <cell r="H1376" t="str">
            <v>济南店</v>
          </cell>
          <cell r="I1376">
            <v>45990</v>
          </cell>
          <cell r="J1376">
            <v>-228.38</v>
          </cell>
        </row>
        <row r="1377">
          <cell r="C1377" t="str">
            <v>推广账户自动充值</v>
          </cell>
        </row>
        <row r="1377">
          <cell r="H1377" t="str">
            <v>余杭店</v>
          </cell>
          <cell r="I1377">
            <v>45990</v>
          </cell>
          <cell r="J1377">
            <v>200</v>
          </cell>
        </row>
        <row r="1378">
          <cell r="C1378" t="str">
            <v>推广订单扣款</v>
          </cell>
        </row>
        <row r="1378">
          <cell r="H1378" t="str">
            <v>大坪店</v>
          </cell>
          <cell r="I1378">
            <v>45990</v>
          </cell>
          <cell r="J1378">
            <v>-226.76</v>
          </cell>
        </row>
        <row r="1379">
          <cell r="C1379" t="str">
            <v>推广订单扣款</v>
          </cell>
        </row>
        <row r="1379">
          <cell r="H1379" t="str">
            <v>文昌店</v>
          </cell>
          <cell r="I1379">
            <v>45990</v>
          </cell>
          <cell r="J1379">
            <v>-141.77</v>
          </cell>
        </row>
        <row r="1380">
          <cell r="C1380" t="str">
            <v>推广订单扣款</v>
          </cell>
        </row>
        <row r="1380">
          <cell r="H1380" t="str">
            <v>金牛店</v>
          </cell>
          <cell r="I1380">
            <v>45990</v>
          </cell>
          <cell r="J1380">
            <v>-98.65</v>
          </cell>
        </row>
        <row r="1381">
          <cell r="C1381" t="str">
            <v>推广订单扣款</v>
          </cell>
        </row>
        <row r="1381">
          <cell r="H1381" t="str">
            <v>观音桥店</v>
          </cell>
          <cell r="I1381">
            <v>45990</v>
          </cell>
          <cell r="J1381">
            <v>-354.42</v>
          </cell>
        </row>
        <row r="1382">
          <cell r="C1382" t="str">
            <v>推广订单扣款</v>
          </cell>
        </row>
        <row r="1382">
          <cell r="H1382" t="str">
            <v>高新店</v>
          </cell>
          <cell r="I1382">
            <v>45990</v>
          </cell>
          <cell r="J1382">
            <v>-103.04</v>
          </cell>
        </row>
        <row r="1383">
          <cell r="C1383" t="str">
            <v>推广订单扣款</v>
          </cell>
        </row>
        <row r="1383">
          <cell r="H1383" t="str">
            <v>南安店</v>
          </cell>
          <cell r="I1383">
            <v>45990</v>
          </cell>
          <cell r="J1383">
            <v>-73.63</v>
          </cell>
        </row>
        <row r="1384">
          <cell r="C1384" t="str">
            <v>推广订单扣款</v>
          </cell>
        </row>
        <row r="1384">
          <cell r="H1384" t="str">
            <v>西山店</v>
          </cell>
          <cell r="I1384">
            <v>45990</v>
          </cell>
          <cell r="J1384">
            <v>-180.46</v>
          </cell>
        </row>
        <row r="1385">
          <cell r="C1385" t="str">
            <v>推广订单扣款</v>
          </cell>
        </row>
        <row r="1385">
          <cell r="H1385" t="str">
            <v>湖里店</v>
          </cell>
          <cell r="I1385">
            <v>45990</v>
          </cell>
          <cell r="J1385">
            <v>-155.69</v>
          </cell>
        </row>
        <row r="1386">
          <cell r="C1386" t="str">
            <v>推广订单扣款</v>
          </cell>
        </row>
        <row r="1386">
          <cell r="H1386" t="str">
            <v>余杭店</v>
          </cell>
          <cell r="I1386">
            <v>45990</v>
          </cell>
          <cell r="J1386">
            <v>-188.63</v>
          </cell>
        </row>
        <row r="1387">
          <cell r="C1387" t="str">
            <v>推广订单扣款</v>
          </cell>
        </row>
        <row r="1387">
          <cell r="H1387" t="str">
            <v>武侯店</v>
          </cell>
          <cell r="I1387">
            <v>45990</v>
          </cell>
          <cell r="J1387">
            <v>-33.01</v>
          </cell>
        </row>
        <row r="1388">
          <cell r="C1388" t="str">
            <v>推广订单扣款</v>
          </cell>
        </row>
        <row r="1388">
          <cell r="H1388" t="str">
            <v>华信店</v>
          </cell>
          <cell r="I1388">
            <v>45990</v>
          </cell>
          <cell r="J1388">
            <v>-180</v>
          </cell>
        </row>
        <row r="1389">
          <cell r="C1389" t="str">
            <v>推广订单扣款</v>
          </cell>
        </row>
        <row r="1389">
          <cell r="H1389" t="str">
            <v>青羊店</v>
          </cell>
          <cell r="I1389">
            <v>45990</v>
          </cell>
          <cell r="J1389">
            <v>-90.23</v>
          </cell>
        </row>
        <row r="1390">
          <cell r="C1390" t="str">
            <v>推广订单扣款</v>
          </cell>
        </row>
        <row r="1390">
          <cell r="H1390" t="str">
            <v>首南店</v>
          </cell>
          <cell r="I1390">
            <v>45990</v>
          </cell>
          <cell r="J1390">
            <v>-182.79</v>
          </cell>
        </row>
        <row r="1391">
          <cell r="C1391" t="str">
            <v>推广订单扣款</v>
          </cell>
        </row>
        <row r="1391">
          <cell r="H1391" t="str">
            <v>凤城二路店</v>
          </cell>
          <cell r="I1391">
            <v>45990</v>
          </cell>
          <cell r="J1391">
            <v>-356.26</v>
          </cell>
        </row>
        <row r="1392">
          <cell r="C1392" t="str">
            <v>推广账户自动充值</v>
          </cell>
        </row>
        <row r="1392">
          <cell r="H1392" t="str">
            <v>华信店</v>
          </cell>
          <cell r="I1392">
            <v>45990</v>
          </cell>
          <cell r="J1392">
            <v>200</v>
          </cell>
        </row>
        <row r="1393">
          <cell r="C1393" t="str">
            <v>推广账户自动充值</v>
          </cell>
        </row>
        <row r="1393">
          <cell r="H1393" t="str">
            <v>东海店</v>
          </cell>
          <cell r="I1393">
            <v>45990</v>
          </cell>
          <cell r="J1393">
            <v>200</v>
          </cell>
        </row>
        <row r="1394">
          <cell r="C1394" t="str">
            <v>推广账户自动充值</v>
          </cell>
        </row>
        <row r="1394">
          <cell r="H1394" t="str">
            <v>济南店</v>
          </cell>
          <cell r="I1394">
            <v>45990</v>
          </cell>
          <cell r="J1394">
            <v>200</v>
          </cell>
        </row>
        <row r="1395">
          <cell r="C1395" t="str">
            <v>推广账户自动充值</v>
          </cell>
        </row>
        <row r="1395">
          <cell r="H1395" t="str">
            <v>青羊店</v>
          </cell>
          <cell r="I1395">
            <v>45990</v>
          </cell>
          <cell r="J1395">
            <v>200</v>
          </cell>
        </row>
        <row r="1396">
          <cell r="C1396" t="str">
            <v>推广账户自动充值</v>
          </cell>
        </row>
        <row r="1396">
          <cell r="H1396" t="str">
            <v>启点店</v>
          </cell>
          <cell r="I1396">
            <v>45990</v>
          </cell>
          <cell r="J1396">
            <v>200</v>
          </cell>
        </row>
        <row r="1397">
          <cell r="C1397" t="str">
            <v>推广账户自动充值</v>
          </cell>
        </row>
        <row r="1397">
          <cell r="H1397" t="str">
            <v>观音桥店</v>
          </cell>
          <cell r="I1397">
            <v>45990</v>
          </cell>
          <cell r="J1397">
            <v>200</v>
          </cell>
        </row>
        <row r="1398">
          <cell r="C1398" t="str">
            <v>推广账户自动充值</v>
          </cell>
        </row>
        <row r="1398">
          <cell r="H1398" t="str">
            <v>南安店</v>
          </cell>
          <cell r="I1398">
            <v>45990</v>
          </cell>
          <cell r="J1398">
            <v>100</v>
          </cell>
        </row>
        <row r="1399">
          <cell r="C1399" t="str">
            <v>推广账户自动充值</v>
          </cell>
        </row>
        <row r="1399">
          <cell r="H1399" t="str">
            <v>五路口店</v>
          </cell>
          <cell r="I1399">
            <v>45990</v>
          </cell>
          <cell r="J1399">
            <v>200</v>
          </cell>
        </row>
        <row r="1400">
          <cell r="C1400" t="str">
            <v>推广账户自动充值</v>
          </cell>
        </row>
        <row r="1400">
          <cell r="H1400" t="str">
            <v>海口店</v>
          </cell>
          <cell r="I1400">
            <v>45990</v>
          </cell>
          <cell r="J1400">
            <v>200</v>
          </cell>
        </row>
        <row r="1401">
          <cell r="C1401" t="str">
            <v>推广账户自动充值</v>
          </cell>
        </row>
        <row r="1401">
          <cell r="H1401" t="str">
            <v>鼓楼店</v>
          </cell>
          <cell r="I1401">
            <v>45990</v>
          </cell>
          <cell r="J1401">
            <v>200</v>
          </cell>
        </row>
        <row r="1402">
          <cell r="C1402" t="str">
            <v>推广账户自动充值</v>
          </cell>
        </row>
        <row r="1402">
          <cell r="H1402" t="str">
            <v>东新店</v>
          </cell>
          <cell r="I1402">
            <v>45990</v>
          </cell>
          <cell r="J1402">
            <v>200</v>
          </cell>
        </row>
        <row r="1403">
          <cell r="C1403" t="str">
            <v>推广账户自动充值</v>
          </cell>
        </row>
        <row r="1403">
          <cell r="H1403" t="str">
            <v>观桥店</v>
          </cell>
          <cell r="I1403">
            <v>45990</v>
          </cell>
          <cell r="J1403">
            <v>200</v>
          </cell>
        </row>
        <row r="1404">
          <cell r="C1404" t="str">
            <v>推广账户自动充值</v>
          </cell>
        </row>
        <row r="1404">
          <cell r="H1404" t="str">
            <v>西山店</v>
          </cell>
          <cell r="I1404">
            <v>45990</v>
          </cell>
          <cell r="J1404">
            <v>200</v>
          </cell>
        </row>
        <row r="1405">
          <cell r="C1405" t="str">
            <v>推广账户自动充值</v>
          </cell>
        </row>
        <row r="1405">
          <cell r="H1405" t="str">
            <v>五华店</v>
          </cell>
          <cell r="I1405">
            <v>45990</v>
          </cell>
          <cell r="J1405">
            <v>200</v>
          </cell>
        </row>
        <row r="1406">
          <cell r="C1406" t="str">
            <v>推广账户自动充值</v>
          </cell>
        </row>
        <row r="1406">
          <cell r="H1406" t="str">
            <v>武侯店</v>
          </cell>
          <cell r="I1406">
            <v>45990</v>
          </cell>
          <cell r="J1406">
            <v>200</v>
          </cell>
        </row>
        <row r="1407">
          <cell r="C1407" t="str">
            <v>推广账户自动充值</v>
          </cell>
        </row>
        <row r="1407">
          <cell r="H1407" t="str">
            <v>大坪店</v>
          </cell>
          <cell r="I1407">
            <v>45990</v>
          </cell>
          <cell r="J1407">
            <v>200</v>
          </cell>
        </row>
        <row r="1408">
          <cell r="C1408" t="str">
            <v>推广账户自动充值</v>
          </cell>
        </row>
        <row r="1408">
          <cell r="H1408" t="str">
            <v>观音桥店</v>
          </cell>
          <cell r="I1408">
            <v>45990</v>
          </cell>
          <cell r="J1408">
            <v>200</v>
          </cell>
        </row>
        <row r="1409">
          <cell r="C1409" t="str">
            <v>推广账户自动充值</v>
          </cell>
        </row>
        <row r="1409">
          <cell r="H1409" t="str">
            <v>凤城二路店</v>
          </cell>
          <cell r="I1409">
            <v>45990</v>
          </cell>
          <cell r="J1409">
            <v>200</v>
          </cell>
        </row>
        <row r="1410">
          <cell r="C1410" t="str">
            <v>推广账户自动充值</v>
          </cell>
        </row>
        <row r="1410">
          <cell r="H1410" t="str">
            <v>成华店</v>
          </cell>
          <cell r="I1410">
            <v>45990</v>
          </cell>
          <cell r="J1410">
            <v>200</v>
          </cell>
        </row>
        <row r="1411">
          <cell r="C1411" t="str">
            <v>推广账户自动充值</v>
          </cell>
        </row>
        <row r="1411">
          <cell r="H1411" t="str">
            <v>湖里店</v>
          </cell>
          <cell r="I1411">
            <v>45990</v>
          </cell>
          <cell r="J1411">
            <v>200</v>
          </cell>
        </row>
        <row r="1412">
          <cell r="C1412" t="str">
            <v>推广账户自动充值</v>
          </cell>
        </row>
        <row r="1412">
          <cell r="H1412" t="str">
            <v>黄雁村店</v>
          </cell>
          <cell r="I1412">
            <v>45990</v>
          </cell>
          <cell r="J1412">
            <v>200</v>
          </cell>
        </row>
        <row r="1413">
          <cell r="C1413" t="str">
            <v>推广账户自动充值</v>
          </cell>
        </row>
        <row r="1413">
          <cell r="H1413" t="str">
            <v>文灶店</v>
          </cell>
          <cell r="I1413">
            <v>45990</v>
          </cell>
          <cell r="J1413">
            <v>200</v>
          </cell>
        </row>
        <row r="1414">
          <cell r="C1414" t="str">
            <v>推广账户自动充值</v>
          </cell>
        </row>
        <row r="1414">
          <cell r="H1414" t="str">
            <v>五路口店</v>
          </cell>
          <cell r="I1414">
            <v>45990</v>
          </cell>
          <cell r="J1414">
            <v>200</v>
          </cell>
        </row>
        <row r="1415">
          <cell r="C1415" t="str">
            <v>推广账户自动充值</v>
          </cell>
        </row>
        <row r="1415">
          <cell r="H1415" t="str">
            <v>长沙店</v>
          </cell>
          <cell r="I1415">
            <v>45990</v>
          </cell>
          <cell r="J1415">
            <v>200</v>
          </cell>
        </row>
        <row r="1416">
          <cell r="C1416" t="str">
            <v>推广账户自动充值</v>
          </cell>
        </row>
        <row r="1416">
          <cell r="H1416" t="str">
            <v>沙坪坝店</v>
          </cell>
          <cell r="I1416">
            <v>45990</v>
          </cell>
          <cell r="J1416">
            <v>200</v>
          </cell>
        </row>
        <row r="1417">
          <cell r="C1417" t="str">
            <v>推广账户自动充值</v>
          </cell>
        </row>
        <row r="1417">
          <cell r="H1417" t="str">
            <v>诚毅店</v>
          </cell>
          <cell r="I1417">
            <v>45990</v>
          </cell>
          <cell r="J1417">
            <v>200</v>
          </cell>
        </row>
        <row r="1418">
          <cell r="C1418" t="str">
            <v>推广账户自动充值</v>
          </cell>
        </row>
        <row r="1418">
          <cell r="H1418" t="str">
            <v>首山店</v>
          </cell>
          <cell r="I1418">
            <v>45990</v>
          </cell>
          <cell r="J1418">
            <v>200</v>
          </cell>
        </row>
        <row r="1419">
          <cell r="C1419" t="str">
            <v>推广账户自动充值</v>
          </cell>
        </row>
        <row r="1419">
          <cell r="H1419" t="str">
            <v>金牛店</v>
          </cell>
          <cell r="I1419">
            <v>45990</v>
          </cell>
          <cell r="J1419">
            <v>200</v>
          </cell>
        </row>
        <row r="1420">
          <cell r="C1420" t="str">
            <v>推广账户自动充值</v>
          </cell>
        </row>
        <row r="1420">
          <cell r="H1420" t="str">
            <v>济南店</v>
          </cell>
          <cell r="I1420">
            <v>45990</v>
          </cell>
          <cell r="J1420">
            <v>200</v>
          </cell>
        </row>
        <row r="1421">
          <cell r="C1421" t="str">
            <v>推广账户自动充值</v>
          </cell>
        </row>
        <row r="1421">
          <cell r="H1421" t="str">
            <v>首南店</v>
          </cell>
          <cell r="I1421">
            <v>45990</v>
          </cell>
          <cell r="J1421">
            <v>200</v>
          </cell>
        </row>
        <row r="1422">
          <cell r="C1422" t="str">
            <v>推广账户自动充值</v>
          </cell>
        </row>
        <row r="1422">
          <cell r="H1422" t="str">
            <v>百丈店</v>
          </cell>
          <cell r="I1422">
            <v>45990</v>
          </cell>
          <cell r="J1422">
            <v>200</v>
          </cell>
        </row>
        <row r="1423">
          <cell r="C1423" t="str">
            <v>推广账户自动充值</v>
          </cell>
        </row>
        <row r="1423">
          <cell r="H1423" t="str">
            <v>高新店</v>
          </cell>
          <cell r="I1423">
            <v>45990</v>
          </cell>
          <cell r="J1423">
            <v>200</v>
          </cell>
        </row>
        <row r="1424">
          <cell r="C1424" t="str">
            <v>推广账户自动充值</v>
          </cell>
        </row>
        <row r="1424">
          <cell r="H1424" t="str">
            <v>西湖店</v>
          </cell>
          <cell r="I1424">
            <v>45990</v>
          </cell>
          <cell r="J1424">
            <v>200</v>
          </cell>
        </row>
        <row r="1425">
          <cell r="C1425" t="str">
            <v>推广账户自动充值</v>
          </cell>
        </row>
        <row r="1425">
          <cell r="H1425" t="str">
            <v>启点店</v>
          </cell>
          <cell r="I1425">
            <v>45990</v>
          </cell>
          <cell r="J1425">
            <v>200</v>
          </cell>
        </row>
        <row r="1426">
          <cell r="C1426" t="str">
            <v>推广账户自动充值</v>
          </cell>
        </row>
        <row r="1426">
          <cell r="H1426" t="str">
            <v>华信店</v>
          </cell>
          <cell r="I1426">
            <v>45991</v>
          </cell>
          <cell r="J1426">
            <v>200</v>
          </cell>
        </row>
        <row r="1427">
          <cell r="C1427" t="str">
            <v>推广订单扣款</v>
          </cell>
        </row>
        <row r="1427">
          <cell r="H1427" t="str">
            <v>华信店</v>
          </cell>
          <cell r="I1427">
            <v>45991</v>
          </cell>
          <cell r="J1427">
            <v>-180</v>
          </cell>
        </row>
        <row r="1428">
          <cell r="C1428" t="str">
            <v>推广账户自动充值</v>
          </cell>
        </row>
        <row r="1428">
          <cell r="H1428" t="str">
            <v>湖里店</v>
          </cell>
          <cell r="I1428">
            <v>45991</v>
          </cell>
          <cell r="J1428">
            <v>200</v>
          </cell>
        </row>
        <row r="1429">
          <cell r="C1429" t="str">
            <v>推广订单扣款</v>
          </cell>
        </row>
        <row r="1429">
          <cell r="H1429" t="str">
            <v>湖里店</v>
          </cell>
          <cell r="I1429">
            <v>45991</v>
          </cell>
          <cell r="J1429">
            <v>-212.78</v>
          </cell>
        </row>
        <row r="1430">
          <cell r="C1430" t="str">
            <v>推广账户自动充值</v>
          </cell>
        </row>
        <row r="1430">
          <cell r="H1430" t="str">
            <v>东新店</v>
          </cell>
          <cell r="I1430">
            <v>45991</v>
          </cell>
          <cell r="J1430">
            <v>200</v>
          </cell>
        </row>
        <row r="1431">
          <cell r="C1431" t="str">
            <v>推广账户自动充值</v>
          </cell>
        </row>
        <row r="1431">
          <cell r="H1431" t="str">
            <v>东新店</v>
          </cell>
          <cell r="I1431">
            <v>45991</v>
          </cell>
          <cell r="J1431">
            <v>200</v>
          </cell>
        </row>
        <row r="1432">
          <cell r="C1432" t="str">
            <v>推广订单扣款</v>
          </cell>
        </row>
        <row r="1432">
          <cell r="H1432" t="str">
            <v>东新店</v>
          </cell>
          <cell r="I1432">
            <v>45991</v>
          </cell>
          <cell r="J1432">
            <v>-240.72</v>
          </cell>
        </row>
        <row r="1433">
          <cell r="C1433" t="str">
            <v>推广账户自动充值</v>
          </cell>
        </row>
        <row r="1433">
          <cell r="H1433" t="str">
            <v>启点店</v>
          </cell>
          <cell r="I1433">
            <v>45991</v>
          </cell>
          <cell r="J1433">
            <v>200</v>
          </cell>
        </row>
        <row r="1434">
          <cell r="C1434" t="str">
            <v>推广订单扣款</v>
          </cell>
        </row>
        <row r="1434">
          <cell r="H1434" t="str">
            <v>启点店</v>
          </cell>
          <cell r="I1434">
            <v>45991</v>
          </cell>
          <cell r="J1434">
            <v>-225.5</v>
          </cell>
        </row>
        <row r="1435">
          <cell r="C1435" t="str">
            <v>推广订单扣款</v>
          </cell>
        </row>
        <row r="1435">
          <cell r="H1435" t="str">
            <v>高新店</v>
          </cell>
          <cell r="I1435">
            <v>45991</v>
          </cell>
          <cell r="J1435">
            <v>-155.46</v>
          </cell>
        </row>
        <row r="1436">
          <cell r="C1436" t="str">
            <v>推广订单扣款</v>
          </cell>
        </row>
        <row r="1436">
          <cell r="H1436" t="str">
            <v>成华店</v>
          </cell>
          <cell r="I1436">
            <v>45991</v>
          </cell>
          <cell r="J1436">
            <v>-96.28</v>
          </cell>
        </row>
        <row r="1437">
          <cell r="C1437" t="str">
            <v>推广订单扣款</v>
          </cell>
        </row>
        <row r="1437">
          <cell r="H1437" t="str">
            <v>金牛店</v>
          </cell>
          <cell r="I1437">
            <v>45991</v>
          </cell>
          <cell r="J1437">
            <v>-133.55</v>
          </cell>
        </row>
        <row r="1438">
          <cell r="C1438" t="str">
            <v>推广账户自动充值</v>
          </cell>
        </row>
        <row r="1438">
          <cell r="H1438" t="str">
            <v>西山店</v>
          </cell>
          <cell r="I1438">
            <v>45991</v>
          </cell>
          <cell r="J1438">
            <v>200</v>
          </cell>
        </row>
        <row r="1439">
          <cell r="C1439" t="str">
            <v>推广订单扣款</v>
          </cell>
        </row>
        <row r="1439">
          <cell r="H1439" t="str">
            <v>西山店</v>
          </cell>
          <cell r="I1439">
            <v>45991</v>
          </cell>
          <cell r="J1439">
            <v>-100.56</v>
          </cell>
        </row>
        <row r="1440">
          <cell r="C1440" t="str">
            <v>推广订单扣款</v>
          </cell>
        </row>
        <row r="1440">
          <cell r="H1440" t="str">
            <v>沙坪坝店</v>
          </cell>
          <cell r="I1440">
            <v>45991</v>
          </cell>
          <cell r="J1440">
            <v>-36.95</v>
          </cell>
        </row>
        <row r="1441">
          <cell r="C1441" t="str">
            <v>推广账户自动充值</v>
          </cell>
        </row>
        <row r="1441">
          <cell r="H1441" t="str">
            <v>凤城二路店</v>
          </cell>
          <cell r="I1441">
            <v>45991</v>
          </cell>
          <cell r="J1441">
            <v>200</v>
          </cell>
        </row>
        <row r="1442">
          <cell r="C1442" t="str">
            <v>推广账户自动充值</v>
          </cell>
        </row>
        <row r="1442">
          <cell r="H1442" t="str">
            <v>凤城二路店</v>
          </cell>
          <cell r="I1442">
            <v>45991</v>
          </cell>
          <cell r="J1442">
            <v>200</v>
          </cell>
        </row>
        <row r="1443">
          <cell r="C1443" t="str">
            <v>推广账户自动充值</v>
          </cell>
        </row>
        <row r="1443">
          <cell r="H1443" t="str">
            <v>凤城二路店</v>
          </cell>
          <cell r="I1443">
            <v>45991</v>
          </cell>
          <cell r="J1443">
            <v>200</v>
          </cell>
        </row>
        <row r="1444">
          <cell r="C1444" t="str">
            <v>推广订单扣款</v>
          </cell>
        </row>
        <row r="1444">
          <cell r="H1444" t="str">
            <v>凤城二路店</v>
          </cell>
          <cell r="I1444">
            <v>45991</v>
          </cell>
          <cell r="J1444">
            <v>-379.46</v>
          </cell>
        </row>
        <row r="1445">
          <cell r="C1445" t="str">
            <v>推广账户自动充值</v>
          </cell>
        </row>
        <row r="1445">
          <cell r="H1445" t="str">
            <v>大坪店</v>
          </cell>
          <cell r="I1445">
            <v>45991</v>
          </cell>
          <cell r="J1445">
            <v>200</v>
          </cell>
        </row>
        <row r="1446">
          <cell r="C1446" t="str">
            <v>推广订单扣款</v>
          </cell>
        </row>
        <row r="1446">
          <cell r="H1446" t="str">
            <v>大坪店</v>
          </cell>
          <cell r="I1446">
            <v>45991</v>
          </cell>
          <cell r="J1446">
            <v>-181.58</v>
          </cell>
        </row>
        <row r="1447">
          <cell r="C1447" t="str">
            <v>推广订单扣款</v>
          </cell>
        </row>
        <row r="1447">
          <cell r="H1447" t="str">
            <v>五华店</v>
          </cell>
          <cell r="I1447">
            <v>45991</v>
          </cell>
          <cell r="J1447">
            <v>-142.61</v>
          </cell>
        </row>
        <row r="1448">
          <cell r="C1448" t="str">
            <v>推广账户自动充值</v>
          </cell>
        </row>
        <row r="1448">
          <cell r="H1448" t="str">
            <v>官渡店</v>
          </cell>
          <cell r="I1448">
            <v>45991</v>
          </cell>
          <cell r="J1448">
            <v>200</v>
          </cell>
        </row>
        <row r="1449">
          <cell r="C1449" t="str">
            <v>推广订单扣款</v>
          </cell>
        </row>
        <row r="1449">
          <cell r="H1449" t="str">
            <v>官渡店</v>
          </cell>
          <cell r="I1449">
            <v>45991</v>
          </cell>
          <cell r="J1449">
            <v>-84.51</v>
          </cell>
        </row>
        <row r="1450">
          <cell r="C1450" t="str">
            <v>推广账户自动充值</v>
          </cell>
        </row>
        <row r="1450">
          <cell r="H1450" t="str">
            <v>百捷店</v>
          </cell>
          <cell r="I1450">
            <v>45991</v>
          </cell>
          <cell r="J1450">
            <v>200</v>
          </cell>
        </row>
        <row r="1451">
          <cell r="C1451" t="str">
            <v>推广订单扣款</v>
          </cell>
        </row>
        <row r="1451">
          <cell r="H1451" t="str">
            <v>百捷店</v>
          </cell>
          <cell r="I1451">
            <v>45991</v>
          </cell>
          <cell r="J1451">
            <v>-89.71</v>
          </cell>
        </row>
        <row r="1452">
          <cell r="C1452" t="str">
            <v>推广账户自动充值</v>
          </cell>
        </row>
        <row r="1452">
          <cell r="H1452" t="str">
            <v>济南店</v>
          </cell>
          <cell r="I1452">
            <v>45991</v>
          </cell>
          <cell r="J1452">
            <v>200</v>
          </cell>
        </row>
        <row r="1453">
          <cell r="C1453" t="str">
            <v>推广订单扣款</v>
          </cell>
        </row>
        <row r="1453">
          <cell r="H1453" t="str">
            <v>济南店</v>
          </cell>
          <cell r="I1453">
            <v>45991</v>
          </cell>
          <cell r="J1453">
            <v>-306.42</v>
          </cell>
        </row>
        <row r="1454">
          <cell r="C1454" t="str">
            <v>推广账户自动充值</v>
          </cell>
        </row>
        <row r="1454">
          <cell r="H1454" t="str">
            <v>观音桥店</v>
          </cell>
          <cell r="I1454">
            <v>45991</v>
          </cell>
          <cell r="J1454">
            <v>200</v>
          </cell>
        </row>
        <row r="1455">
          <cell r="C1455" t="str">
            <v>推广账户自动充值</v>
          </cell>
        </row>
        <row r="1455">
          <cell r="H1455" t="str">
            <v>观音桥店</v>
          </cell>
          <cell r="I1455">
            <v>45991</v>
          </cell>
          <cell r="J1455">
            <v>200</v>
          </cell>
        </row>
        <row r="1456">
          <cell r="C1456" t="str">
            <v>推广订单扣款</v>
          </cell>
        </row>
        <row r="1456">
          <cell r="H1456" t="str">
            <v>观音桥店</v>
          </cell>
          <cell r="I1456">
            <v>45991</v>
          </cell>
          <cell r="J1456">
            <v>-341.95</v>
          </cell>
        </row>
        <row r="1457">
          <cell r="C1457" t="str">
            <v>推广账户自动充值</v>
          </cell>
        </row>
        <row r="1457">
          <cell r="H1457" t="str">
            <v>长沙店</v>
          </cell>
          <cell r="I1457">
            <v>45991</v>
          </cell>
          <cell r="J1457">
            <v>200</v>
          </cell>
        </row>
        <row r="1458">
          <cell r="C1458" t="str">
            <v>推广订单扣款</v>
          </cell>
        </row>
        <row r="1458">
          <cell r="H1458" t="str">
            <v>长沙店</v>
          </cell>
          <cell r="I1458">
            <v>45991</v>
          </cell>
          <cell r="J1458">
            <v>-126.69</v>
          </cell>
        </row>
        <row r="1459">
          <cell r="C1459" t="str">
            <v>推广账户自动充值</v>
          </cell>
        </row>
        <row r="1459">
          <cell r="H1459" t="str">
            <v>洛江店</v>
          </cell>
          <cell r="I1459">
            <v>45991</v>
          </cell>
          <cell r="J1459">
            <v>200</v>
          </cell>
        </row>
        <row r="1460">
          <cell r="C1460" t="str">
            <v>推广订单扣款</v>
          </cell>
        </row>
        <row r="1460">
          <cell r="H1460" t="str">
            <v>洛江店</v>
          </cell>
          <cell r="I1460">
            <v>45991</v>
          </cell>
          <cell r="J1460">
            <v>-96.52</v>
          </cell>
        </row>
        <row r="1461">
          <cell r="C1461" t="str">
            <v>推广账户自动充值</v>
          </cell>
        </row>
        <row r="1461">
          <cell r="H1461" t="str">
            <v>五路口店</v>
          </cell>
          <cell r="I1461">
            <v>45991</v>
          </cell>
          <cell r="J1461">
            <v>200</v>
          </cell>
        </row>
        <row r="1462">
          <cell r="C1462" t="str">
            <v>推广账户自动充值</v>
          </cell>
        </row>
        <row r="1462">
          <cell r="H1462" t="str">
            <v>五路口店</v>
          </cell>
          <cell r="I1462">
            <v>45991</v>
          </cell>
          <cell r="J1462">
            <v>200</v>
          </cell>
        </row>
        <row r="1463">
          <cell r="C1463" t="str">
            <v>推广订单扣款</v>
          </cell>
        </row>
        <row r="1463">
          <cell r="H1463" t="str">
            <v>五路口店</v>
          </cell>
          <cell r="I1463">
            <v>45991</v>
          </cell>
          <cell r="J1463">
            <v>-316.97</v>
          </cell>
        </row>
        <row r="1464">
          <cell r="C1464" t="str">
            <v>推广账户自动充值</v>
          </cell>
        </row>
        <row r="1464">
          <cell r="H1464" t="str">
            <v>青羊店</v>
          </cell>
          <cell r="I1464">
            <v>45991</v>
          </cell>
          <cell r="J1464">
            <v>200</v>
          </cell>
        </row>
        <row r="1465">
          <cell r="C1465" t="str">
            <v>推广订单扣款</v>
          </cell>
        </row>
        <row r="1465">
          <cell r="H1465" t="str">
            <v>青羊店</v>
          </cell>
          <cell r="I1465">
            <v>45991</v>
          </cell>
          <cell r="J1465">
            <v>-112.69</v>
          </cell>
        </row>
        <row r="1466">
          <cell r="C1466" t="str">
            <v>推广订单扣款</v>
          </cell>
        </row>
        <row r="1466">
          <cell r="H1466" t="str">
            <v>武侯店</v>
          </cell>
          <cell r="I1466">
            <v>45991</v>
          </cell>
          <cell r="J1466">
            <v>-56.42</v>
          </cell>
        </row>
        <row r="1467">
          <cell r="C1467" t="str">
            <v>推广账户自动充值</v>
          </cell>
        </row>
        <row r="1467">
          <cell r="H1467" t="str">
            <v>鼓楼店</v>
          </cell>
          <cell r="I1467">
            <v>45991</v>
          </cell>
          <cell r="J1467">
            <v>200</v>
          </cell>
        </row>
        <row r="1468">
          <cell r="C1468" t="str">
            <v>推广账户自动充值</v>
          </cell>
        </row>
        <row r="1468">
          <cell r="H1468" t="str">
            <v>鼓楼店</v>
          </cell>
          <cell r="I1468">
            <v>45991</v>
          </cell>
          <cell r="J1468">
            <v>200</v>
          </cell>
        </row>
        <row r="1469">
          <cell r="C1469" t="str">
            <v>推广订单扣款</v>
          </cell>
        </row>
        <row r="1469">
          <cell r="H1469" t="str">
            <v>鼓楼店</v>
          </cell>
          <cell r="I1469">
            <v>45991</v>
          </cell>
          <cell r="J1469">
            <v>-258.79</v>
          </cell>
        </row>
        <row r="1470">
          <cell r="C1470" t="str">
            <v>推广账户自动充值</v>
          </cell>
        </row>
        <row r="1470">
          <cell r="H1470" t="str">
            <v>黄雁村店</v>
          </cell>
          <cell r="I1470">
            <v>45991</v>
          </cell>
          <cell r="J1470">
            <v>200</v>
          </cell>
        </row>
        <row r="1471">
          <cell r="C1471" t="str">
            <v>推广账户自动充值</v>
          </cell>
        </row>
        <row r="1471">
          <cell r="H1471" t="str">
            <v>黄雁村店</v>
          </cell>
          <cell r="I1471">
            <v>45991</v>
          </cell>
          <cell r="J1471">
            <v>200</v>
          </cell>
        </row>
        <row r="1472">
          <cell r="C1472" t="str">
            <v>推广订单扣款</v>
          </cell>
        </row>
        <row r="1472">
          <cell r="H1472" t="str">
            <v>黄雁村店</v>
          </cell>
          <cell r="I1472">
            <v>45991</v>
          </cell>
          <cell r="J1472">
            <v>-282.36</v>
          </cell>
        </row>
        <row r="1473">
          <cell r="C1473" t="str">
            <v>推广账户自动充值</v>
          </cell>
        </row>
        <row r="1473">
          <cell r="H1473" t="str">
            <v>西湖店</v>
          </cell>
          <cell r="I1473">
            <v>45991</v>
          </cell>
          <cell r="J1473">
            <v>200</v>
          </cell>
        </row>
        <row r="1474">
          <cell r="C1474" t="str">
            <v>推广订单扣款</v>
          </cell>
        </row>
        <row r="1474">
          <cell r="H1474" t="str">
            <v>西湖店</v>
          </cell>
          <cell r="I1474">
            <v>45991</v>
          </cell>
          <cell r="J1474">
            <v>-219.82</v>
          </cell>
        </row>
        <row r="1475">
          <cell r="C1475" t="str">
            <v>推广账户自动充值</v>
          </cell>
        </row>
        <row r="1475">
          <cell r="H1475" t="str">
            <v>百丈店</v>
          </cell>
          <cell r="I1475">
            <v>45991</v>
          </cell>
          <cell r="J1475">
            <v>200</v>
          </cell>
        </row>
        <row r="1476">
          <cell r="C1476" t="str">
            <v>推广订单扣款</v>
          </cell>
        </row>
        <row r="1476">
          <cell r="H1476" t="str">
            <v>百丈店</v>
          </cell>
          <cell r="I1476">
            <v>45991</v>
          </cell>
          <cell r="J1476">
            <v>-169.06</v>
          </cell>
        </row>
        <row r="1477">
          <cell r="C1477" t="str">
            <v>推广账户自动充值</v>
          </cell>
        </row>
        <row r="1477">
          <cell r="H1477" t="str">
            <v>文昌店</v>
          </cell>
          <cell r="I1477">
            <v>45991</v>
          </cell>
          <cell r="J1477">
            <v>200</v>
          </cell>
        </row>
        <row r="1478">
          <cell r="C1478" t="str">
            <v>推广订单扣款</v>
          </cell>
        </row>
        <row r="1478">
          <cell r="H1478" t="str">
            <v>文昌店</v>
          </cell>
          <cell r="I1478">
            <v>45991</v>
          </cell>
          <cell r="J1478">
            <v>-175.96</v>
          </cell>
        </row>
        <row r="1479">
          <cell r="C1479" t="str">
            <v>推广账户自动充值</v>
          </cell>
        </row>
        <row r="1479">
          <cell r="H1479" t="str">
            <v>观桥店</v>
          </cell>
          <cell r="I1479">
            <v>45991</v>
          </cell>
          <cell r="J1479">
            <v>200</v>
          </cell>
        </row>
        <row r="1480">
          <cell r="C1480" t="str">
            <v>推广订单扣款</v>
          </cell>
        </row>
        <row r="1480">
          <cell r="H1480" t="str">
            <v>观桥店</v>
          </cell>
          <cell r="I1480">
            <v>45991</v>
          </cell>
          <cell r="J1480">
            <v>-220.34</v>
          </cell>
        </row>
        <row r="1481">
          <cell r="C1481" t="str">
            <v>推广账户自动充值</v>
          </cell>
        </row>
        <row r="1481">
          <cell r="H1481" t="str">
            <v>海口店</v>
          </cell>
          <cell r="I1481">
            <v>45991</v>
          </cell>
          <cell r="J1481">
            <v>200</v>
          </cell>
        </row>
        <row r="1482">
          <cell r="C1482" t="str">
            <v>推广订单扣款</v>
          </cell>
        </row>
        <row r="1482">
          <cell r="H1482" t="str">
            <v>海口店</v>
          </cell>
          <cell r="I1482">
            <v>45991</v>
          </cell>
          <cell r="J1482">
            <v>-200</v>
          </cell>
        </row>
        <row r="1483">
          <cell r="C1483" t="str">
            <v>推广账户自动充值</v>
          </cell>
        </row>
        <row r="1483">
          <cell r="H1483" t="str">
            <v>南安店</v>
          </cell>
          <cell r="I1483">
            <v>45991</v>
          </cell>
          <cell r="J1483">
            <v>100</v>
          </cell>
        </row>
        <row r="1484">
          <cell r="C1484" t="str">
            <v>推广订单扣款</v>
          </cell>
        </row>
        <row r="1484">
          <cell r="H1484" t="str">
            <v>南安店</v>
          </cell>
          <cell r="I1484">
            <v>45991</v>
          </cell>
          <cell r="J1484">
            <v>-83.51</v>
          </cell>
        </row>
        <row r="1485">
          <cell r="C1485" t="str">
            <v>推广账户自动充值</v>
          </cell>
        </row>
        <row r="1485">
          <cell r="H1485" t="str">
            <v>诚毅店</v>
          </cell>
          <cell r="I1485">
            <v>45991</v>
          </cell>
          <cell r="J1485">
            <v>200</v>
          </cell>
        </row>
        <row r="1486">
          <cell r="C1486" t="str">
            <v>推广订单扣款</v>
          </cell>
        </row>
        <row r="1486">
          <cell r="H1486" t="str">
            <v>诚毅店</v>
          </cell>
          <cell r="I1486">
            <v>45991</v>
          </cell>
          <cell r="J1486">
            <v>-189.02</v>
          </cell>
        </row>
        <row r="1487">
          <cell r="C1487" t="str">
            <v>推广账户自动充值</v>
          </cell>
        </row>
        <row r="1487">
          <cell r="H1487" t="str">
            <v>首山店</v>
          </cell>
          <cell r="I1487">
            <v>45991</v>
          </cell>
          <cell r="J1487">
            <v>200</v>
          </cell>
        </row>
        <row r="1488">
          <cell r="C1488" t="str">
            <v>推广订单扣款</v>
          </cell>
        </row>
        <row r="1488">
          <cell r="H1488" t="str">
            <v>首山店</v>
          </cell>
          <cell r="I1488">
            <v>45991</v>
          </cell>
          <cell r="J1488">
            <v>-218.94</v>
          </cell>
        </row>
        <row r="1489">
          <cell r="C1489" t="str">
            <v>推广账户自动充值</v>
          </cell>
        </row>
        <row r="1489">
          <cell r="H1489" t="str">
            <v>首南店</v>
          </cell>
          <cell r="I1489">
            <v>45991</v>
          </cell>
          <cell r="J1489">
            <v>200</v>
          </cell>
        </row>
        <row r="1490">
          <cell r="C1490" t="str">
            <v>推广订单扣款</v>
          </cell>
        </row>
        <row r="1490">
          <cell r="H1490" t="str">
            <v>首南店</v>
          </cell>
          <cell r="I1490">
            <v>45991</v>
          </cell>
          <cell r="J1490">
            <v>-173.48</v>
          </cell>
        </row>
        <row r="1491">
          <cell r="C1491" t="str">
            <v>推广账户自动充值</v>
          </cell>
        </row>
        <row r="1491">
          <cell r="H1491" t="str">
            <v>余杭店</v>
          </cell>
          <cell r="I1491">
            <v>45991</v>
          </cell>
          <cell r="J1491">
            <v>200</v>
          </cell>
        </row>
        <row r="1492">
          <cell r="C1492" t="str">
            <v>推广订单扣款</v>
          </cell>
        </row>
        <row r="1492">
          <cell r="H1492" t="str">
            <v>余杭店</v>
          </cell>
          <cell r="I1492">
            <v>45991</v>
          </cell>
          <cell r="J1492">
            <v>-158.35</v>
          </cell>
        </row>
        <row r="1493">
          <cell r="C1493" t="str">
            <v>推广账户自动充值</v>
          </cell>
        </row>
        <row r="1493">
          <cell r="H1493" t="str">
            <v>东海店</v>
          </cell>
          <cell r="I1493">
            <v>45991</v>
          </cell>
          <cell r="J1493">
            <v>200</v>
          </cell>
        </row>
        <row r="1494">
          <cell r="C1494" t="str">
            <v>推广订单扣款</v>
          </cell>
        </row>
        <row r="1494">
          <cell r="H1494" t="str">
            <v>东海店</v>
          </cell>
          <cell r="I1494">
            <v>45991</v>
          </cell>
          <cell r="J1494">
            <v>-200</v>
          </cell>
        </row>
        <row r="1495">
          <cell r="C1495" t="str">
            <v>推广账户充值</v>
          </cell>
        </row>
        <row r="1495">
          <cell r="H1495" t="str">
            <v>文灶店</v>
          </cell>
          <cell r="I1495">
            <v>45991</v>
          </cell>
          <cell r="J1495">
            <v>100</v>
          </cell>
        </row>
        <row r="1496">
          <cell r="C1496" t="str">
            <v>推广订单扣款</v>
          </cell>
        </row>
        <row r="1496">
          <cell r="H1496" t="str">
            <v>文灶店</v>
          </cell>
          <cell r="I1496">
            <v>45991</v>
          </cell>
          <cell r="J1496">
            <v>-199.15</v>
          </cell>
        </row>
        <row r="1497">
          <cell r="C1497" t="str">
            <v>推广账户自动充值</v>
          </cell>
        </row>
        <row r="1497">
          <cell r="H1497" t="str">
            <v>华信店</v>
          </cell>
          <cell r="I1497">
            <v>45992</v>
          </cell>
          <cell r="J1497">
            <v>200</v>
          </cell>
        </row>
        <row r="1498">
          <cell r="C1498" t="str">
            <v>推广订单扣款</v>
          </cell>
        </row>
        <row r="1498">
          <cell r="H1498" t="str">
            <v>华信店</v>
          </cell>
          <cell r="I1498">
            <v>45992</v>
          </cell>
          <cell r="J1498">
            <v>-180</v>
          </cell>
        </row>
        <row r="1499">
          <cell r="C1499" t="str">
            <v>推广订单扣款</v>
          </cell>
        </row>
        <row r="1499">
          <cell r="H1499" t="str">
            <v>湖里店</v>
          </cell>
          <cell r="I1499">
            <v>45992</v>
          </cell>
          <cell r="J1499">
            <v>-167.47</v>
          </cell>
        </row>
        <row r="1500">
          <cell r="C1500" t="str">
            <v>推广账户自动充值</v>
          </cell>
        </row>
        <row r="1500">
          <cell r="H1500" t="str">
            <v>东新店</v>
          </cell>
          <cell r="I1500">
            <v>45992</v>
          </cell>
          <cell r="J1500">
            <v>200</v>
          </cell>
        </row>
        <row r="1501">
          <cell r="C1501" t="str">
            <v>推广订单扣款</v>
          </cell>
        </row>
        <row r="1501">
          <cell r="H1501" t="str">
            <v>东新店</v>
          </cell>
          <cell r="I1501">
            <v>45992</v>
          </cell>
          <cell r="J1501">
            <v>-272.55</v>
          </cell>
        </row>
        <row r="1502">
          <cell r="C1502" t="str">
            <v>推广账户自动充值</v>
          </cell>
        </row>
        <row r="1502">
          <cell r="H1502" t="str">
            <v>启点店</v>
          </cell>
          <cell r="I1502">
            <v>45992</v>
          </cell>
          <cell r="J1502">
            <v>200</v>
          </cell>
        </row>
        <row r="1503">
          <cell r="C1503" t="str">
            <v>推广订单扣款</v>
          </cell>
        </row>
        <row r="1503">
          <cell r="H1503" t="str">
            <v>启点店</v>
          </cell>
          <cell r="I1503">
            <v>45992</v>
          </cell>
          <cell r="J1503">
            <v>-282.33</v>
          </cell>
        </row>
        <row r="1504">
          <cell r="C1504" t="str">
            <v>推广账户自动充值</v>
          </cell>
        </row>
        <row r="1504">
          <cell r="H1504" t="str">
            <v>高新店</v>
          </cell>
          <cell r="I1504">
            <v>45992</v>
          </cell>
          <cell r="J1504">
            <v>200</v>
          </cell>
        </row>
        <row r="1505">
          <cell r="C1505" t="str">
            <v>推广订单扣款</v>
          </cell>
        </row>
        <row r="1505">
          <cell r="H1505" t="str">
            <v>高新店</v>
          </cell>
          <cell r="I1505">
            <v>45992</v>
          </cell>
          <cell r="J1505">
            <v>-156.02</v>
          </cell>
        </row>
        <row r="1506">
          <cell r="C1506" t="str">
            <v>推广账户自动充值</v>
          </cell>
        </row>
        <row r="1506">
          <cell r="H1506" t="str">
            <v>成华店</v>
          </cell>
          <cell r="I1506">
            <v>45992</v>
          </cell>
          <cell r="J1506">
            <v>200</v>
          </cell>
        </row>
        <row r="1507">
          <cell r="C1507" t="str">
            <v>推广订单扣款</v>
          </cell>
        </row>
        <row r="1507">
          <cell r="H1507" t="str">
            <v>成华店</v>
          </cell>
          <cell r="I1507">
            <v>45992</v>
          </cell>
          <cell r="J1507">
            <v>-115.44</v>
          </cell>
        </row>
        <row r="1508">
          <cell r="C1508" t="str">
            <v>推广账户自动充值</v>
          </cell>
        </row>
        <row r="1508">
          <cell r="H1508" t="str">
            <v>金牛店</v>
          </cell>
          <cell r="I1508">
            <v>45992</v>
          </cell>
          <cell r="J1508">
            <v>200</v>
          </cell>
        </row>
        <row r="1509">
          <cell r="C1509" t="str">
            <v>推广订单扣款</v>
          </cell>
        </row>
        <row r="1509">
          <cell r="H1509" t="str">
            <v>金牛店</v>
          </cell>
          <cell r="I1509">
            <v>45992</v>
          </cell>
          <cell r="J1509">
            <v>-118.59</v>
          </cell>
        </row>
        <row r="1510">
          <cell r="C1510" t="str">
            <v>推广账户自动充值</v>
          </cell>
        </row>
        <row r="1510">
          <cell r="H1510" t="str">
            <v>西山店</v>
          </cell>
          <cell r="I1510">
            <v>45992</v>
          </cell>
          <cell r="J1510">
            <v>200</v>
          </cell>
        </row>
        <row r="1511">
          <cell r="C1511" t="str">
            <v>推广订单扣款</v>
          </cell>
        </row>
        <row r="1511">
          <cell r="H1511" t="str">
            <v>西山店</v>
          </cell>
          <cell r="I1511">
            <v>45992</v>
          </cell>
          <cell r="J1511">
            <v>-207.86</v>
          </cell>
        </row>
        <row r="1512">
          <cell r="C1512" t="str">
            <v>推广账户自动充值</v>
          </cell>
        </row>
        <row r="1512">
          <cell r="H1512" t="str">
            <v>沙坪坝店</v>
          </cell>
          <cell r="I1512">
            <v>45992</v>
          </cell>
          <cell r="J1512">
            <v>200</v>
          </cell>
        </row>
        <row r="1513">
          <cell r="C1513" t="str">
            <v>推广订单扣款</v>
          </cell>
        </row>
        <row r="1513">
          <cell r="H1513" t="str">
            <v>沙坪坝店</v>
          </cell>
          <cell r="I1513">
            <v>45992</v>
          </cell>
          <cell r="J1513">
            <v>-105.91</v>
          </cell>
        </row>
        <row r="1514">
          <cell r="C1514" t="str">
            <v>推广账户自动充值</v>
          </cell>
        </row>
        <row r="1514">
          <cell r="H1514" t="str">
            <v>凤城二路店</v>
          </cell>
          <cell r="I1514">
            <v>45992</v>
          </cell>
          <cell r="J1514">
            <v>200</v>
          </cell>
        </row>
        <row r="1515">
          <cell r="C1515" t="str">
            <v>推广账户自动充值</v>
          </cell>
        </row>
        <row r="1515">
          <cell r="H1515" t="str">
            <v>凤城二路店</v>
          </cell>
          <cell r="I1515">
            <v>45992</v>
          </cell>
          <cell r="J1515">
            <v>200</v>
          </cell>
        </row>
        <row r="1516">
          <cell r="C1516" t="str">
            <v>推广订单扣款</v>
          </cell>
        </row>
        <row r="1516">
          <cell r="H1516" t="str">
            <v>凤城二路店</v>
          </cell>
          <cell r="I1516">
            <v>45992</v>
          </cell>
          <cell r="J1516">
            <v>-441.02</v>
          </cell>
        </row>
        <row r="1517">
          <cell r="C1517" t="str">
            <v>推广账户自动充值</v>
          </cell>
        </row>
        <row r="1517">
          <cell r="H1517" t="str">
            <v>大坪店</v>
          </cell>
          <cell r="I1517">
            <v>45992</v>
          </cell>
          <cell r="J1517">
            <v>200</v>
          </cell>
        </row>
        <row r="1518">
          <cell r="C1518" t="str">
            <v>推广账户自动充值</v>
          </cell>
        </row>
        <row r="1518">
          <cell r="H1518" t="str">
            <v>大坪店</v>
          </cell>
          <cell r="I1518">
            <v>45992</v>
          </cell>
          <cell r="J1518">
            <v>200</v>
          </cell>
        </row>
        <row r="1519">
          <cell r="C1519" t="str">
            <v>推广订单扣款</v>
          </cell>
        </row>
        <row r="1519">
          <cell r="H1519" t="str">
            <v>大坪店</v>
          </cell>
          <cell r="I1519">
            <v>45992</v>
          </cell>
          <cell r="J1519">
            <v>-196.27</v>
          </cell>
        </row>
        <row r="1520">
          <cell r="C1520" t="str">
            <v>推广账户自动充值</v>
          </cell>
        </row>
        <row r="1520">
          <cell r="H1520" t="str">
            <v>五华店</v>
          </cell>
          <cell r="I1520">
            <v>45992</v>
          </cell>
          <cell r="J1520">
            <v>200</v>
          </cell>
        </row>
        <row r="1521">
          <cell r="C1521" t="str">
            <v>推广订单扣款</v>
          </cell>
        </row>
        <row r="1521">
          <cell r="H1521" t="str">
            <v>五华店</v>
          </cell>
          <cell r="I1521">
            <v>45992</v>
          </cell>
          <cell r="J1521">
            <v>-128.98</v>
          </cell>
        </row>
        <row r="1522">
          <cell r="C1522" t="str">
            <v>推广订单扣款</v>
          </cell>
        </row>
        <row r="1522">
          <cell r="H1522" t="str">
            <v>官渡店</v>
          </cell>
          <cell r="I1522">
            <v>45992</v>
          </cell>
          <cell r="J1522">
            <v>-79.74</v>
          </cell>
        </row>
        <row r="1523">
          <cell r="C1523" t="str">
            <v>推广账户自动充值</v>
          </cell>
        </row>
        <row r="1523">
          <cell r="H1523" t="str">
            <v>百捷店</v>
          </cell>
          <cell r="I1523">
            <v>45992</v>
          </cell>
          <cell r="J1523">
            <v>200</v>
          </cell>
        </row>
        <row r="1524">
          <cell r="C1524" t="str">
            <v>推广订单扣款</v>
          </cell>
        </row>
        <row r="1524">
          <cell r="H1524" t="str">
            <v>百捷店</v>
          </cell>
          <cell r="I1524">
            <v>45992</v>
          </cell>
          <cell r="J1524">
            <v>-187.6</v>
          </cell>
        </row>
        <row r="1525">
          <cell r="C1525" t="str">
            <v>推广订单扣款</v>
          </cell>
        </row>
        <row r="1525">
          <cell r="H1525" t="str">
            <v>济南店</v>
          </cell>
          <cell r="I1525">
            <v>45992</v>
          </cell>
          <cell r="J1525">
            <v>-208.43</v>
          </cell>
        </row>
        <row r="1526">
          <cell r="C1526" t="str">
            <v>推广账户自动充值</v>
          </cell>
        </row>
        <row r="1526">
          <cell r="H1526" t="str">
            <v>观音桥店</v>
          </cell>
          <cell r="I1526">
            <v>45992</v>
          </cell>
          <cell r="J1526">
            <v>200</v>
          </cell>
        </row>
        <row r="1527">
          <cell r="C1527" t="str">
            <v>推广账户自动充值</v>
          </cell>
        </row>
        <row r="1527">
          <cell r="H1527" t="str">
            <v>观音桥店</v>
          </cell>
          <cell r="I1527">
            <v>45992</v>
          </cell>
          <cell r="J1527">
            <v>200</v>
          </cell>
        </row>
        <row r="1528">
          <cell r="C1528" t="str">
            <v>推广订单扣款</v>
          </cell>
        </row>
        <row r="1528">
          <cell r="H1528" t="str">
            <v>观音桥店</v>
          </cell>
          <cell r="I1528">
            <v>45992</v>
          </cell>
          <cell r="J1528">
            <v>-297.77</v>
          </cell>
        </row>
        <row r="1529">
          <cell r="C1529" t="str">
            <v>推广账户自动充值</v>
          </cell>
        </row>
        <row r="1529">
          <cell r="H1529" t="str">
            <v>长沙店</v>
          </cell>
          <cell r="I1529">
            <v>45992</v>
          </cell>
          <cell r="J1529">
            <v>200</v>
          </cell>
        </row>
        <row r="1530">
          <cell r="C1530" t="str">
            <v>推广订单扣款</v>
          </cell>
        </row>
        <row r="1530">
          <cell r="H1530" t="str">
            <v>长沙店</v>
          </cell>
          <cell r="I1530">
            <v>45992</v>
          </cell>
          <cell r="J1530">
            <v>-206.01</v>
          </cell>
        </row>
        <row r="1531">
          <cell r="C1531" t="str">
            <v>推广订单扣款</v>
          </cell>
        </row>
        <row r="1531">
          <cell r="H1531" t="str">
            <v>洛江店</v>
          </cell>
          <cell r="I1531">
            <v>45992</v>
          </cell>
          <cell r="J1531">
            <v>-85.53</v>
          </cell>
        </row>
        <row r="1532">
          <cell r="C1532" t="str">
            <v>推广账户自动充值</v>
          </cell>
        </row>
        <row r="1532">
          <cell r="H1532" t="str">
            <v>五路口店</v>
          </cell>
          <cell r="I1532">
            <v>45992</v>
          </cell>
          <cell r="J1532">
            <v>200</v>
          </cell>
        </row>
        <row r="1533">
          <cell r="C1533" t="str">
            <v>推广账户自动充值</v>
          </cell>
        </row>
        <row r="1533">
          <cell r="H1533" t="str">
            <v>五路口店</v>
          </cell>
          <cell r="I1533">
            <v>45992</v>
          </cell>
          <cell r="J1533">
            <v>200</v>
          </cell>
        </row>
        <row r="1534">
          <cell r="C1534" t="str">
            <v>推广订单扣款</v>
          </cell>
        </row>
        <row r="1534">
          <cell r="H1534" t="str">
            <v>五路口店</v>
          </cell>
          <cell r="I1534">
            <v>45992</v>
          </cell>
          <cell r="J1534">
            <v>-288.23</v>
          </cell>
        </row>
        <row r="1535">
          <cell r="C1535" t="str">
            <v>推广订单扣款</v>
          </cell>
        </row>
        <row r="1535">
          <cell r="H1535" t="str">
            <v>青羊店</v>
          </cell>
          <cell r="I1535">
            <v>45992</v>
          </cell>
          <cell r="J1535">
            <v>-112.84</v>
          </cell>
        </row>
        <row r="1536">
          <cell r="C1536" t="str">
            <v>推广账户自动充值</v>
          </cell>
        </row>
        <row r="1536">
          <cell r="H1536" t="str">
            <v>武侯店</v>
          </cell>
          <cell r="I1536">
            <v>45992</v>
          </cell>
          <cell r="J1536">
            <v>200</v>
          </cell>
        </row>
        <row r="1537">
          <cell r="C1537" t="str">
            <v>推广订单扣款</v>
          </cell>
        </row>
        <row r="1537">
          <cell r="H1537" t="str">
            <v>武侯店</v>
          </cell>
          <cell r="I1537">
            <v>45992</v>
          </cell>
          <cell r="J1537">
            <v>-74.05</v>
          </cell>
        </row>
        <row r="1538">
          <cell r="C1538" t="str">
            <v>推广账户自动充值</v>
          </cell>
        </row>
        <row r="1538">
          <cell r="H1538" t="str">
            <v>鼓楼店</v>
          </cell>
          <cell r="I1538">
            <v>45992</v>
          </cell>
          <cell r="J1538">
            <v>200</v>
          </cell>
        </row>
        <row r="1539">
          <cell r="C1539" t="str">
            <v>推广账户自动充值</v>
          </cell>
        </row>
        <row r="1539">
          <cell r="H1539" t="str">
            <v>鼓楼店</v>
          </cell>
          <cell r="I1539">
            <v>45992</v>
          </cell>
          <cell r="J1539">
            <v>200</v>
          </cell>
        </row>
        <row r="1540">
          <cell r="C1540" t="str">
            <v>推广订单扣款</v>
          </cell>
        </row>
        <row r="1540">
          <cell r="H1540" t="str">
            <v>鼓楼店</v>
          </cell>
          <cell r="I1540">
            <v>45992</v>
          </cell>
          <cell r="J1540">
            <v>-330.63</v>
          </cell>
        </row>
        <row r="1541">
          <cell r="C1541" t="str">
            <v>推广账户自动充值</v>
          </cell>
        </row>
        <row r="1541">
          <cell r="H1541" t="str">
            <v>黄雁村店</v>
          </cell>
          <cell r="I1541">
            <v>45992</v>
          </cell>
          <cell r="J1541">
            <v>200</v>
          </cell>
        </row>
        <row r="1542">
          <cell r="C1542" t="str">
            <v>推广账户自动充值</v>
          </cell>
        </row>
        <row r="1542">
          <cell r="H1542" t="str">
            <v>黄雁村店</v>
          </cell>
          <cell r="I1542">
            <v>45992</v>
          </cell>
          <cell r="J1542">
            <v>200</v>
          </cell>
        </row>
        <row r="1543">
          <cell r="C1543" t="str">
            <v>推广订单扣款</v>
          </cell>
        </row>
        <row r="1543">
          <cell r="H1543" t="str">
            <v>黄雁村店</v>
          </cell>
          <cell r="I1543">
            <v>45992</v>
          </cell>
          <cell r="J1543">
            <v>-340.69</v>
          </cell>
        </row>
        <row r="1544">
          <cell r="C1544" t="str">
            <v>推广账户自动充值</v>
          </cell>
        </row>
        <row r="1544">
          <cell r="H1544" t="str">
            <v>西湖店</v>
          </cell>
          <cell r="I1544">
            <v>45992</v>
          </cell>
          <cell r="J1544">
            <v>200</v>
          </cell>
        </row>
        <row r="1545">
          <cell r="C1545" t="str">
            <v>推广订单扣款</v>
          </cell>
        </row>
        <row r="1545">
          <cell r="H1545" t="str">
            <v>西湖店</v>
          </cell>
          <cell r="I1545">
            <v>45992</v>
          </cell>
          <cell r="J1545">
            <v>-298.38</v>
          </cell>
        </row>
        <row r="1546">
          <cell r="C1546" t="str">
            <v>推广账户自动充值</v>
          </cell>
        </row>
        <row r="1546">
          <cell r="H1546" t="str">
            <v>百丈店</v>
          </cell>
          <cell r="I1546">
            <v>45992</v>
          </cell>
          <cell r="J1546">
            <v>200</v>
          </cell>
        </row>
        <row r="1547">
          <cell r="C1547" t="str">
            <v>推广订单扣款</v>
          </cell>
        </row>
        <row r="1547">
          <cell r="H1547" t="str">
            <v>百丈店</v>
          </cell>
          <cell r="I1547">
            <v>45992</v>
          </cell>
          <cell r="J1547">
            <v>-226.5</v>
          </cell>
        </row>
        <row r="1548">
          <cell r="C1548" t="str">
            <v>推广账户自动充值</v>
          </cell>
        </row>
        <row r="1548">
          <cell r="H1548" t="str">
            <v>文昌店</v>
          </cell>
          <cell r="I1548">
            <v>45992</v>
          </cell>
          <cell r="J1548">
            <v>200</v>
          </cell>
        </row>
        <row r="1549">
          <cell r="C1549" t="str">
            <v>推广订单扣款</v>
          </cell>
        </row>
        <row r="1549">
          <cell r="H1549" t="str">
            <v>文昌店</v>
          </cell>
          <cell r="I1549">
            <v>45992</v>
          </cell>
          <cell r="J1549">
            <v>-137.5</v>
          </cell>
        </row>
        <row r="1550">
          <cell r="C1550" t="str">
            <v>推广账户自动充值</v>
          </cell>
        </row>
        <row r="1550">
          <cell r="H1550" t="str">
            <v>观桥店</v>
          </cell>
          <cell r="I1550">
            <v>45992</v>
          </cell>
          <cell r="J1550">
            <v>200</v>
          </cell>
        </row>
        <row r="1551">
          <cell r="C1551" t="str">
            <v>推广订单扣款</v>
          </cell>
        </row>
        <row r="1551">
          <cell r="H1551" t="str">
            <v>观桥店</v>
          </cell>
          <cell r="I1551">
            <v>45992</v>
          </cell>
          <cell r="J1551">
            <v>-191.97</v>
          </cell>
        </row>
        <row r="1552">
          <cell r="C1552" t="str">
            <v>推广账户自动充值</v>
          </cell>
        </row>
        <row r="1552">
          <cell r="H1552" t="str">
            <v>海口店</v>
          </cell>
          <cell r="I1552">
            <v>45992</v>
          </cell>
          <cell r="J1552">
            <v>200</v>
          </cell>
        </row>
        <row r="1553">
          <cell r="C1553" t="str">
            <v>推广订单扣款</v>
          </cell>
        </row>
        <row r="1553">
          <cell r="H1553" t="str">
            <v>海口店</v>
          </cell>
          <cell r="I1553">
            <v>45992</v>
          </cell>
          <cell r="J1553">
            <v>-200</v>
          </cell>
        </row>
        <row r="1554">
          <cell r="C1554" t="str">
            <v>推广账户自动充值</v>
          </cell>
        </row>
        <row r="1554">
          <cell r="H1554" t="str">
            <v>南安店</v>
          </cell>
          <cell r="I1554">
            <v>45992</v>
          </cell>
          <cell r="J1554">
            <v>100</v>
          </cell>
        </row>
        <row r="1555">
          <cell r="C1555" t="str">
            <v>推广订单扣款</v>
          </cell>
        </row>
        <row r="1555">
          <cell r="H1555" t="str">
            <v>南安店</v>
          </cell>
          <cell r="I1555">
            <v>45992</v>
          </cell>
          <cell r="J1555">
            <v>-69.8</v>
          </cell>
        </row>
        <row r="1556">
          <cell r="C1556" t="str">
            <v>推广账户自动充值</v>
          </cell>
        </row>
        <row r="1556">
          <cell r="H1556" t="str">
            <v>诚毅店</v>
          </cell>
          <cell r="I1556">
            <v>45992</v>
          </cell>
          <cell r="J1556">
            <v>200</v>
          </cell>
        </row>
        <row r="1557">
          <cell r="C1557" t="str">
            <v>推广订单扣款</v>
          </cell>
        </row>
        <row r="1557">
          <cell r="H1557" t="str">
            <v>诚毅店</v>
          </cell>
          <cell r="I1557">
            <v>45992</v>
          </cell>
          <cell r="J1557">
            <v>-258.98</v>
          </cell>
        </row>
        <row r="1558">
          <cell r="C1558" t="str">
            <v>推广账户自动充值</v>
          </cell>
        </row>
        <row r="1558">
          <cell r="H1558" t="str">
            <v>首山店</v>
          </cell>
          <cell r="I1558">
            <v>45992</v>
          </cell>
          <cell r="J1558">
            <v>200</v>
          </cell>
        </row>
        <row r="1559">
          <cell r="C1559" t="str">
            <v>推广订单扣款</v>
          </cell>
        </row>
        <row r="1559">
          <cell r="H1559" t="str">
            <v>首山店</v>
          </cell>
          <cell r="I1559">
            <v>45992</v>
          </cell>
          <cell r="J1559">
            <v>-177.96</v>
          </cell>
        </row>
        <row r="1560">
          <cell r="C1560" t="str">
            <v>推广订单扣款</v>
          </cell>
        </row>
        <row r="1560">
          <cell r="H1560" t="str">
            <v>首南店</v>
          </cell>
          <cell r="I1560">
            <v>45992</v>
          </cell>
          <cell r="J1560">
            <v>-195.69</v>
          </cell>
        </row>
        <row r="1561">
          <cell r="C1561" t="str">
            <v>推广账户自动充值</v>
          </cell>
        </row>
        <row r="1561">
          <cell r="H1561" t="str">
            <v>余杭店</v>
          </cell>
          <cell r="I1561">
            <v>45992</v>
          </cell>
          <cell r="J1561">
            <v>200</v>
          </cell>
        </row>
        <row r="1562">
          <cell r="C1562" t="str">
            <v>推广订单扣款</v>
          </cell>
        </row>
        <row r="1562">
          <cell r="H1562" t="str">
            <v>余杭店</v>
          </cell>
          <cell r="I1562">
            <v>45992</v>
          </cell>
          <cell r="J1562">
            <v>-220.39</v>
          </cell>
        </row>
        <row r="1563">
          <cell r="C1563" t="str">
            <v>推广账户自动充值</v>
          </cell>
        </row>
        <row r="1563">
          <cell r="H1563" t="str">
            <v>东海店</v>
          </cell>
          <cell r="I1563">
            <v>45992</v>
          </cell>
          <cell r="J1563">
            <v>200</v>
          </cell>
        </row>
        <row r="1564">
          <cell r="C1564" t="str">
            <v>推广订单扣款</v>
          </cell>
        </row>
        <row r="1564">
          <cell r="H1564" t="str">
            <v>东海店</v>
          </cell>
          <cell r="I1564">
            <v>45992</v>
          </cell>
          <cell r="J1564">
            <v>-200</v>
          </cell>
        </row>
        <row r="1565">
          <cell r="C1565" t="str">
            <v>推广账户自动充值</v>
          </cell>
        </row>
        <row r="1565">
          <cell r="H1565" t="str">
            <v>文灶店</v>
          </cell>
          <cell r="I1565">
            <v>45992</v>
          </cell>
          <cell r="J1565">
            <v>200</v>
          </cell>
        </row>
        <row r="1566">
          <cell r="C1566" t="str">
            <v>推广订单扣款</v>
          </cell>
        </row>
        <row r="1566">
          <cell r="H1566" t="str">
            <v>文灶店</v>
          </cell>
          <cell r="I1566">
            <v>45992</v>
          </cell>
          <cell r="J1566">
            <v>-169.88</v>
          </cell>
        </row>
        <row r="1567">
          <cell r="C1567" t="str">
            <v>推广账户自动充值</v>
          </cell>
        </row>
        <row r="1567">
          <cell r="H1567" t="str">
            <v>滨江店</v>
          </cell>
          <cell r="I1567">
            <v>45992</v>
          </cell>
          <cell r="J1567">
            <v>200</v>
          </cell>
        </row>
        <row r="1568">
          <cell r="C1568" t="str">
            <v>推广账户自动充值</v>
          </cell>
        </row>
        <row r="1568">
          <cell r="H1568" t="str">
            <v>华信店</v>
          </cell>
          <cell r="I1568">
            <v>45993</v>
          </cell>
          <cell r="J1568">
            <v>200</v>
          </cell>
        </row>
        <row r="1569">
          <cell r="C1569" t="str">
            <v>推广订单扣款</v>
          </cell>
        </row>
        <row r="1569">
          <cell r="H1569" t="str">
            <v>华信店</v>
          </cell>
          <cell r="I1569">
            <v>45993</v>
          </cell>
          <cell r="J1569">
            <v>-180</v>
          </cell>
        </row>
        <row r="1570">
          <cell r="C1570" t="str">
            <v>推广账户自动充值</v>
          </cell>
        </row>
        <row r="1570">
          <cell r="H1570" t="str">
            <v>湖里店</v>
          </cell>
          <cell r="I1570">
            <v>45993</v>
          </cell>
          <cell r="J1570">
            <v>200</v>
          </cell>
        </row>
        <row r="1571">
          <cell r="C1571" t="str">
            <v>推广订单扣款</v>
          </cell>
        </row>
        <row r="1571">
          <cell r="H1571" t="str">
            <v>湖里店</v>
          </cell>
          <cell r="I1571">
            <v>45993</v>
          </cell>
          <cell r="J1571">
            <v>-65.49</v>
          </cell>
        </row>
        <row r="1572">
          <cell r="C1572" t="str">
            <v>推广账户自动充值</v>
          </cell>
        </row>
        <row r="1572">
          <cell r="H1572" t="str">
            <v>东新店</v>
          </cell>
          <cell r="I1572">
            <v>45993</v>
          </cell>
          <cell r="J1572">
            <v>200</v>
          </cell>
        </row>
        <row r="1573">
          <cell r="C1573" t="str">
            <v>推广订单扣款</v>
          </cell>
        </row>
        <row r="1573">
          <cell r="H1573" t="str">
            <v>东新店</v>
          </cell>
          <cell r="I1573">
            <v>45993</v>
          </cell>
          <cell r="J1573">
            <v>-249.98</v>
          </cell>
        </row>
        <row r="1574">
          <cell r="C1574" t="str">
            <v>推广账户自动充值</v>
          </cell>
        </row>
        <row r="1574">
          <cell r="H1574" t="str">
            <v>启点店</v>
          </cell>
          <cell r="I1574">
            <v>45993</v>
          </cell>
          <cell r="J1574">
            <v>200</v>
          </cell>
        </row>
        <row r="1575">
          <cell r="C1575" t="str">
            <v>推广订单扣款</v>
          </cell>
        </row>
        <row r="1575">
          <cell r="H1575" t="str">
            <v>启点店</v>
          </cell>
          <cell r="I1575">
            <v>45993</v>
          </cell>
          <cell r="J1575">
            <v>-203.85</v>
          </cell>
        </row>
        <row r="1576">
          <cell r="C1576" t="str">
            <v>推广账户自动充值</v>
          </cell>
        </row>
        <row r="1576">
          <cell r="H1576" t="str">
            <v>高新店</v>
          </cell>
          <cell r="I1576">
            <v>45993</v>
          </cell>
          <cell r="J1576">
            <v>200</v>
          </cell>
        </row>
        <row r="1577">
          <cell r="C1577" t="str">
            <v>推广订单扣款</v>
          </cell>
        </row>
        <row r="1577">
          <cell r="H1577" t="str">
            <v>高新店</v>
          </cell>
          <cell r="I1577">
            <v>45993</v>
          </cell>
          <cell r="J1577">
            <v>-139.1</v>
          </cell>
        </row>
        <row r="1578">
          <cell r="C1578" t="str">
            <v>推广订单扣款</v>
          </cell>
        </row>
        <row r="1578">
          <cell r="H1578" t="str">
            <v>成华店</v>
          </cell>
          <cell r="I1578">
            <v>45993</v>
          </cell>
          <cell r="J1578">
            <v>-106.94</v>
          </cell>
        </row>
        <row r="1579">
          <cell r="C1579" t="str">
            <v>推广订单扣款</v>
          </cell>
        </row>
        <row r="1579">
          <cell r="H1579" t="str">
            <v>金牛店</v>
          </cell>
          <cell r="I1579">
            <v>45993</v>
          </cell>
          <cell r="J1579">
            <v>-129.85</v>
          </cell>
        </row>
        <row r="1580">
          <cell r="C1580" t="str">
            <v>推广账户自动充值</v>
          </cell>
        </row>
        <row r="1580">
          <cell r="H1580" t="str">
            <v>西山店</v>
          </cell>
          <cell r="I1580">
            <v>45993</v>
          </cell>
          <cell r="J1580">
            <v>200</v>
          </cell>
        </row>
        <row r="1581">
          <cell r="C1581" t="str">
            <v>推广订单扣款</v>
          </cell>
        </row>
        <row r="1581">
          <cell r="H1581" t="str">
            <v>西山店</v>
          </cell>
          <cell r="I1581">
            <v>45993</v>
          </cell>
          <cell r="J1581">
            <v>-200.97</v>
          </cell>
        </row>
        <row r="1582">
          <cell r="C1582" t="str">
            <v>推广账户自动充值</v>
          </cell>
        </row>
        <row r="1582">
          <cell r="H1582" t="str">
            <v>沙坪坝店</v>
          </cell>
          <cell r="I1582">
            <v>45993</v>
          </cell>
          <cell r="J1582">
            <v>200</v>
          </cell>
        </row>
        <row r="1583">
          <cell r="C1583" t="str">
            <v>推广订单扣款</v>
          </cell>
        </row>
        <row r="1583">
          <cell r="H1583" t="str">
            <v>沙坪坝店</v>
          </cell>
          <cell r="I1583">
            <v>45993</v>
          </cell>
          <cell r="J1583">
            <v>-164.6</v>
          </cell>
        </row>
        <row r="1584">
          <cell r="C1584" t="str">
            <v>推广账户自动充值</v>
          </cell>
        </row>
        <row r="1584">
          <cell r="H1584" t="str">
            <v>凤城二路店</v>
          </cell>
          <cell r="I1584">
            <v>45993</v>
          </cell>
          <cell r="J1584">
            <v>200</v>
          </cell>
        </row>
        <row r="1585">
          <cell r="C1585" t="str">
            <v>推广订单扣款</v>
          </cell>
        </row>
        <row r="1585">
          <cell r="H1585" t="str">
            <v>凤城二路店</v>
          </cell>
          <cell r="I1585">
            <v>45993</v>
          </cell>
          <cell r="J1585">
            <v>-379.95</v>
          </cell>
        </row>
        <row r="1586">
          <cell r="C1586" t="str">
            <v>推广账户自动充值</v>
          </cell>
        </row>
        <row r="1586">
          <cell r="H1586" t="str">
            <v>大坪店</v>
          </cell>
          <cell r="I1586">
            <v>45993</v>
          </cell>
          <cell r="J1586">
            <v>200</v>
          </cell>
        </row>
        <row r="1587">
          <cell r="C1587" t="str">
            <v>推广订单扣款</v>
          </cell>
        </row>
        <row r="1587">
          <cell r="H1587" t="str">
            <v>大坪店</v>
          </cell>
          <cell r="I1587">
            <v>45993</v>
          </cell>
          <cell r="J1587">
            <v>-346.39</v>
          </cell>
        </row>
        <row r="1588">
          <cell r="C1588" t="str">
            <v>推广账户自动充值</v>
          </cell>
        </row>
        <row r="1588">
          <cell r="H1588" t="str">
            <v>五华店</v>
          </cell>
          <cell r="I1588">
            <v>45993</v>
          </cell>
          <cell r="J1588">
            <v>200</v>
          </cell>
        </row>
        <row r="1589">
          <cell r="C1589" t="str">
            <v>推广订单扣款</v>
          </cell>
        </row>
        <row r="1589">
          <cell r="H1589" t="str">
            <v>五华店</v>
          </cell>
          <cell r="I1589">
            <v>45993</v>
          </cell>
          <cell r="J1589">
            <v>-171.6</v>
          </cell>
        </row>
        <row r="1590">
          <cell r="C1590" t="str">
            <v>推广账户自动充值</v>
          </cell>
        </row>
        <row r="1590">
          <cell r="H1590" t="str">
            <v>官渡店</v>
          </cell>
          <cell r="I1590">
            <v>45993</v>
          </cell>
          <cell r="J1590">
            <v>200</v>
          </cell>
        </row>
        <row r="1591">
          <cell r="C1591" t="str">
            <v>推广订单扣款</v>
          </cell>
        </row>
        <row r="1591">
          <cell r="H1591" t="str">
            <v>官渡店</v>
          </cell>
          <cell r="I1591">
            <v>45993</v>
          </cell>
          <cell r="J1591">
            <v>-135.05</v>
          </cell>
        </row>
        <row r="1592">
          <cell r="C1592" t="str">
            <v>推广账户自动充值</v>
          </cell>
        </row>
        <row r="1592">
          <cell r="H1592" t="str">
            <v>百捷店</v>
          </cell>
          <cell r="I1592">
            <v>45993</v>
          </cell>
          <cell r="J1592">
            <v>200</v>
          </cell>
        </row>
        <row r="1593">
          <cell r="C1593" t="str">
            <v>推广订单扣款</v>
          </cell>
        </row>
        <row r="1593">
          <cell r="H1593" t="str">
            <v>百捷店</v>
          </cell>
          <cell r="I1593">
            <v>45993</v>
          </cell>
          <cell r="J1593">
            <v>-147.29</v>
          </cell>
        </row>
        <row r="1594">
          <cell r="C1594" t="str">
            <v>推广账户自动充值</v>
          </cell>
        </row>
        <row r="1594">
          <cell r="H1594" t="str">
            <v>济南店</v>
          </cell>
          <cell r="I1594">
            <v>45993</v>
          </cell>
          <cell r="J1594">
            <v>200</v>
          </cell>
        </row>
        <row r="1595">
          <cell r="C1595" t="str">
            <v>推广订单扣款</v>
          </cell>
        </row>
        <row r="1595">
          <cell r="H1595" t="str">
            <v>济南店</v>
          </cell>
          <cell r="I1595">
            <v>45993</v>
          </cell>
          <cell r="J1595">
            <v>-108.39</v>
          </cell>
        </row>
        <row r="1596">
          <cell r="C1596" t="str">
            <v>推广账户自动充值</v>
          </cell>
        </row>
        <row r="1596">
          <cell r="H1596" t="str">
            <v>观音桥店</v>
          </cell>
          <cell r="I1596">
            <v>45993</v>
          </cell>
          <cell r="J1596">
            <v>200</v>
          </cell>
        </row>
        <row r="1597">
          <cell r="C1597" t="str">
            <v>推广账户自动充值</v>
          </cell>
        </row>
        <row r="1597">
          <cell r="H1597" t="str">
            <v>观音桥店</v>
          </cell>
          <cell r="I1597">
            <v>45993</v>
          </cell>
          <cell r="J1597">
            <v>200</v>
          </cell>
        </row>
        <row r="1598">
          <cell r="C1598" t="str">
            <v>推广订单扣款</v>
          </cell>
        </row>
        <row r="1598">
          <cell r="H1598" t="str">
            <v>观音桥店</v>
          </cell>
          <cell r="I1598">
            <v>45993</v>
          </cell>
          <cell r="J1598">
            <v>-440.68</v>
          </cell>
        </row>
        <row r="1599">
          <cell r="C1599" t="str">
            <v>推广订单扣款</v>
          </cell>
        </row>
        <row r="1599">
          <cell r="H1599" t="str">
            <v>长沙店</v>
          </cell>
          <cell r="I1599">
            <v>45993</v>
          </cell>
          <cell r="J1599">
            <v>-190.85</v>
          </cell>
        </row>
        <row r="1600">
          <cell r="C1600" t="str">
            <v>推广订单扣款</v>
          </cell>
        </row>
        <row r="1600">
          <cell r="H1600" t="str">
            <v>洛江店</v>
          </cell>
          <cell r="I1600">
            <v>45993</v>
          </cell>
          <cell r="J1600">
            <v>-87.02</v>
          </cell>
        </row>
        <row r="1601">
          <cell r="C1601" t="str">
            <v>推广账户自动充值</v>
          </cell>
        </row>
        <row r="1601">
          <cell r="H1601" t="str">
            <v>五路口店</v>
          </cell>
          <cell r="I1601">
            <v>45993</v>
          </cell>
          <cell r="J1601">
            <v>200</v>
          </cell>
        </row>
        <row r="1602">
          <cell r="C1602" t="str">
            <v>推广账户自动充值</v>
          </cell>
        </row>
        <row r="1602">
          <cell r="H1602" t="str">
            <v>五路口店</v>
          </cell>
          <cell r="I1602">
            <v>45993</v>
          </cell>
          <cell r="J1602">
            <v>200</v>
          </cell>
        </row>
        <row r="1603">
          <cell r="C1603" t="str">
            <v>推广订单扣款</v>
          </cell>
        </row>
        <row r="1603">
          <cell r="H1603" t="str">
            <v>五路口店</v>
          </cell>
          <cell r="I1603">
            <v>45993</v>
          </cell>
          <cell r="J1603">
            <v>-582.02</v>
          </cell>
        </row>
        <row r="1604">
          <cell r="C1604" t="str">
            <v>推广账户自动充值</v>
          </cell>
        </row>
        <row r="1604">
          <cell r="H1604" t="str">
            <v>青羊店</v>
          </cell>
          <cell r="I1604">
            <v>45993</v>
          </cell>
          <cell r="J1604">
            <v>200</v>
          </cell>
        </row>
        <row r="1605">
          <cell r="C1605" t="str">
            <v>推广订单扣款</v>
          </cell>
        </row>
        <row r="1605">
          <cell r="H1605" t="str">
            <v>青羊店</v>
          </cell>
          <cell r="I1605">
            <v>45993</v>
          </cell>
          <cell r="J1605">
            <v>-124.41</v>
          </cell>
        </row>
        <row r="1606">
          <cell r="C1606" t="str">
            <v>推广订单扣款</v>
          </cell>
        </row>
        <row r="1606">
          <cell r="H1606" t="str">
            <v>武侯店</v>
          </cell>
          <cell r="I1606">
            <v>45993</v>
          </cell>
          <cell r="J1606">
            <v>-75.49</v>
          </cell>
        </row>
        <row r="1607">
          <cell r="C1607" t="str">
            <v>推广账户自动充值</v>
          </cell>
        </row>
        <row r="1607">
          <cell r="H1607" t="str">
            <v>鼓楼店</v>
          </cell>
          <cell r="I1607">
            <v>45993</v>
          </cell>
          <cell r="J1607">
            <v>200</v>
          </cell>
        </row>
        <row r="1608">
          <cell r="C1608" t="str">
            <v>推广订单扣款</v>
          </cell>
        </row>
        <row r="1608">
          <cell r="H1608" t="str">
            <v>鼓楼店</v>
          </cell>
          <cell r="I1608">
            <v>45993</v>
          </cell>
          <cell r="J1608">
            <v>-289.08</v>
          </cell>
        </row>
        <row r="1609">
          <cell r="C1609" t="str">
            <v>推广账户自动充值</v>
          </cell>
        </row>
        <row r="1609">
          <cell r="H1609" t="str">
            <v>黄雁村店</v>
          </cell>
          <cell r="I1609">
            <v>45993</v>
          </cell>
          <cell r="J1609">
            <v>200</v>
          </cell>
        </row>
        <row r="1610">
          <cell r="C1610" t="str">
            <v>推广账户自动充值</v>
          </cell>
        </row>
        <row r="1610">
          <cell r="H1610" t="str">
            <v>黄雁村店</v>
          </cell>
          <cell r="I1610">
            <v>45993</v>
          </cell>
          <cell r="J1610">
            <v>200</v>
          </cell>
        </row>
        <row r="1611">
          <cell r="C1611" t="str">
            <v>推广订单扣款</v>
          </cell>
        </row>
        <row r="1611">
          <cell r="H1611" t="str">
            <v>黄雁村店</v>
          </cell>
          <cell r="I1611">
            <v>45993</v>
          </cell>
          <cell r="J1611">
            <v>-450.45</v>
          </cell>
        </row>
        <row r="1612">
          <cell r="C1612" t="str">
            <v>推广账户自动充值</v>
          </cell>
        </row>
        <row r="1612">
          <cell r="H1612" t="str">
            <v>西湖店</v>
          </cell>
          <cell r="I1612">
            <v>45993</v>
          </cell>
          <cell r="J1612">
            <v>200</v>
          </cell>
        </row>
        <row r="1613">
          <cell r="C1613" t="str">
            <v>推广订单扣款</v>
          </cell>
        </row>
        <row r="1613">
          <cell r="H1613" t="str">
            <v>西湖店</v>
          </cell>
          <cell r="I1613">
            <v>45993</v>
          </cell>
          <cell r="J1613">
            <v>-273.33</v>
          </cell>
        </row>
        <row r="1614">
          <cell r="C1614" t="str">
            <v>推广订单扣款</v>
          </cell>
        </row>
        <row r="1614">
          <cell r="H1614" t="str">
            <v>百丈店</v>
          </cell>
          <cell r="I1614">
            <v>45993</v>
          </cell>
          <cell r="J1614">
            <v>-157.05</v>
          </cell>
        </row>
        <row r="1615">
          <cell r="C1615" t="str">
            <v>推广订单扣款</v>
          </cell>
        </row>
        <row r="1615">
          <cell r="H1615" t="str">
            <v>文昌店</v>
          </cell>
          <cell r="I1615">
            <v>45993</v>
          </cell>
          <cell r="J1615">
            <v>-107.1</v>
          </cell>
        </row>
        <row r="1616">
          <cell r="C1616" t="str">
            <v>推广账户自动充值</v>
          </cell>
        </row>
        <row r="1616">
          <cell r="H1616" t="str">
            <v>观桥店</v>
          </cell>
          <cell r="I1616">
            <v>45993</v>
          </cell>
          <cell r="J1616">
            <v>200</v>
          </cell>
        </row>
        <row r="1617">
          <cell r="C1617" t="str">
            <v>推广订单扣款</v>
          </cell>
        </row>
        <row r="1617">
          <cell r="H1617" t="str">
            <v>观桥店</v>
          </cell>
          <cell r="I1617">
            <v>45993</v>
          </cell>
          <cell r="J1617">
            <v>-173.68</v>
          </cell>
        </row>
        <row r="1618">
          <cell r="C1618" t="str">
            <v>推广账户自动充值</v>
          </cell>
        </row>
        <row r="1618">
          <cell r="H1618" t="str">
            <v>海口店</v>
          </cell>
          <cell r="I1618">
            <v>45993</v>
          </cell>
          <cell r="J1618">
            <v>200</v>
          </cell>
        </row>
        <row r="1619">
          <cell r="C1619" t="str">
            <v>推广订单扣款</v>
          </cell>
        </row>
        <row r="1619">
          <cell r="H1619" t="str">
            <v>海口店</v>
          </cell>
          <cell r="I1619">
            <v>45993</v>
          </cell>
          <cell r="J1619">
            <v>-200</v>
          </cell>
        </row>
        <row r="1620">
          <cell r="C1620" t="str">
            <v>推广订单扣款</v>
          </cell>
        </row>
        <row r="1620">
          <cell r="H1620" t="str">
            <v>南安店</v>
          </cell>
          <cell r="I1620">
            <v>45993</v>
          </cell>
          <cell r="J1620">
            <v>-84.75</v>
          </cell>
        </row>
        <row r="1621">
          <cell r="C1621" t="str">
            <v>推广账户自动充值</v>
          </cell>
        </row>
        <row r="1621">
          <cell r="H1621" t="str">
            <v>诚毅店</v>
          </cell>
          <cell r="I1621">
            <v>45993</v>
          </cell>
          <cell r="J1621">
            <v>200</v>
          </cell>
        </row>
        <row r="1622">
          <cell r="C1622" t="str">
            <v>推广订单扣款</v>
          </cell>
        </row>
        <row r="1622">
          <cell r="H1622" t="str">
            <v>诚毅店</v>
          </cell>
          <cell r="I1622">
            <v>45993</v>
          </cell>
          <cell r="J1622">
            <v>-181.67</v>
          </cell>
        </row>
        <row r="1623">
          <cell r="C1623" t="str">
            <v>推广订单扣款</v>
          </cell>
        </row>
        <row r="1623">
          <cell r="H1623" t="str">
            <v>首山店</v>
          </cell>
          <cell r="I1623">
            <v>45993</v>
          </cell>
          <cell r="J1623">
            <v>-210.01</v>
          </cell>
        </row>
        <row r="1624">
          <cell r="C1624" t="str">
            <v>推广账户自动充值</v>
          </cell>
        </row>
        <row r="1624">
          <cell r="H1624" t="str">
            <v>首南店</v>
          </cell>
          <cell r="I1624">
            <v>45993</v>
          </cell>
          <cell r="J1624">
            <v>200</v>
          </cell>
        </row>
        <row r="1625">
          <cell r="C1625" t="str">
            <v>推广订单扣款</v>
          </cell>
        </row>
        <row r="1625">
          <cell r="H1625" t="str">
            <v>首南店</v>
          </cell>
          <cell r="I1625">
            <v>45993</v>
          </cell>
          <cell r="J1625">
            <v>-184.72</v>
          </cell>
        </row>
        <row r="1626">
          <cell r="C1626" t="str">
            <v>推广账户自动充值</v>
          </cell>
        </row>
        <row r="1626">
          <cell r="H1626" t="str">
            <v>余杭店</v>
          </cell>
          <cell r="I1626">
            <v>45993</v>
          </cell>
          <cell r="J1626">
            <v>200</v>
          </cell>
        </row>
        <row r="1627">
          <cell r="C1627" t="str">
            <v>推广订单扣款</v>
          </cell>
        </row>
        <row r="1627">
          <cell r="H1627" t="str">
            <v>余杭店</v>
          </cell>
          <cell r="I1627">
            <v>45993</v>
          </cell>
          <cell r="J1627">
            <v>-202.31</v>
          </cell>
        </row>
        <row r="1628">
          <cell r="C1628" t="str">
            <v>推广账户自动充值</v>
          </cell>
        </row>
        <row r="1628">
          <cell r="H1628" t="str">
            <v>东海店</v>
          </cell>
          <cell r="I1628">
            <v>45993</v>
          </cell>
          <cell r="J1628">
            <v>200</v>
          </cell>
        </row>
        <row r="1629">
          <cell r="C1629" t="str">
            <v>推广订单扣款</v>
          </cell>
        </row>
        <row r="1629">
          <cell r="H1629" t="str">
            <v>东海店</v>
          </cell>
          <cell r="I1629">
            <v>45993</v>
          </cell>
          <cell r="J1629">
            <v>-136.07</v>
          </cell>
        </row>
        <row r="1630">
          <cell r="C1630" t="str">
            <v>推广账户自动充值</v>
          </cell>
        </row>
        <row r="1630">
          <cell r="H1630" t="str">
            <v>文灶店</v>
          </cell>
          <cell r="I1630">
            <v>45993</v>
          </cell>
          <cell r="J1630">
            <v>200</v>
          </cell>
        </row>
        <row r="1631">
          <cell r="C1631" t="str">
            <v>推广订单扣款</v>
          </cell>
        </row>
        <row r="1631">
          <cell r="H1631" t="str">
            <v>文灶店</v>
          </cell>
          <cell r="I1631">
            <v>45993</v>
          </cell>
          <cell r="J1631">
            <v>-155.27</v>
          </cell>
        </row>
        <row r="1632">
          <cell r="C1632" t="str">
            <v>推广订单扣款</v>
          </cell>
        </row>
        <row r="1632">
          <cell r="H1632" t="str">
            <v>湖里店</v>
          </cell>
          <cell r="I1632">
            <v>45994</v>
          </cell>
          <cell r="J1632">
            <v>-84.85</v>
          </cell>
        </row>
        <row r="1633">
          <cell r="C1633" t="str">
            <v>推广账户自动充值</v>
          </cell>
        </row>
        <row r="1633">
          <cell r="H1633" t="str">
            <v>东新店</v>
          </cell>
          <cell r="I1633">
            <v>45994</v>
          </cell>
          <cell r="J1633">
            <v>200</v>
          </cell>
        </row>
        <row r="1634">
          <cell r="C1634" t="str">
            <v>推广订单扣款</v>
          </cell>
        </row>
        <row r="1634">
          <cell r="H1634" t="str">
            <v>东新店</v>
          </cell>
          <cell r="I1634">
            <v>45994</v>
          </cell>
          <cell r="J1634">
            <v>-236.87</v>
          </cell>
        </row>
        <row r="1635">
          <cell r="C1635" t="str">
            <v>推广账户自动充值</v>
          </cell>
        </row>
        <row r="1635">
          <cell r="H1635" t="str">
            <v>启点店</v>
          </cell>
          <cell r="I1635">
            <v>45994</v>
          </cell>
          <cell r="J1635">
            <v>200</v>
          </cell>
        </row>
        <row r="1636">
          <cell r="C1636" t="str">
            <v>推广订单扣款</v>
          </cell>
        </row>
        <row r="1636">
          <cell r="H1636" t="str">
            <v>启点店</v>
          </cell>
          <cell r="I1636">
            <v>45994</v>
          </cell>
          <cell r="J1636">
            <v>-188.32</v>
          </cell>
        </row>
        <row r="1637">
          <cell r="C1637" t="str">
            <v>推广账户自动充值</v>
          </cell>
        </row>
        <row r="1637">
          <cell r="H1637" t="str">
            <v>高新店</v>
          </cell>
          <cell r="I1637">
            <v>45994</v>
          </cell>
          <cell r="J1637">
            <v>200</v>
          </cell>
        </row>
        <row r="1638">
          <cell r="C1638" t="str">
            <v>推广订单扣款</v>
          </cell>
        </row>
        <row r="1638">
          <cell r="H1638" t="str">
            <v>高新店</v>
          </cell>
          <cell r="I1638">
            <v>45994</v>
          </cell>
          <cell r="J1638">
            <v>-165.41</v>
          </cell>
        </row>
        <row r="1639">
          <cell r="C1639" t="str">
            <v>推广账户自动充值</v>
          </cell>
        </row>
        <row r="1639">
          <cell r="H1639" t="str">
            <v>成华店</v>
          </cell>
          <cell r="I1639">
            <v>45994</v>
          </cell>
          <cell r="J1639">
            <v>200</v>
          </cell>
        </row>
        <row r="1640">
          <cell r="C1640" t="str">
            <v>推广订单扣款</v>
          </cell>
        </row>
        <row r="1640">
          <cell r="H1640" t="str">
            <v>成华店</v>
          </cell>
          <cell r="I1640">
            <v>45994</v>
          </cell>
          <cell r="J1640">
            <v>-71.3</v>
          </cell>
        </row>
        <row r="1641">
          <cell r="C1641" t="str">
            <v>推广账户自动充值</v>
          </cell>
        </row>
        <row r="1641">
          <cell r="H1641" t="str">
            <v>金牛店</v>
          </cell>
          <cell r="I1641">
            <v>45994</v>
          </cell>
          <cell r="J1641">
            <v>200</v>
          </cell>
        </row>
        <row r="1642">
          <cell r="C1642" t="str">
            <v>推广订单扣款</v>
          </cell>
        </row>
        <row r="1642">
          <cell r="H1642" t="str">
            <v>金牛店</v>
          </cell>
          <cell r="I1642">
            <v>45994</v>
          </cell>
          <cell r="J1642">
            <v>-81.96</v>
          </cell>
        </row>
        <row r="1643">
          <cell r="C1643" t="str">
            <v>推广账户自动充值</v>
          </cell>
        </row>
        <row r="1643">
          <cell r="H1643" t="str">
            <v>西山店</v>
          </cell>
          <cell r="I1643">
            <v>45994</v>
          </cell>
          <cell r="J1643">
            <v>200</v>
          </cell>
        </row>
        <row r="1644">
          <cell r="C1644" t="str">
            <v>推广订单扣款</v>
          </cell>
        </row>
        <row r="1644">
          <cell r="H1644" t="str">
            <v>西山店</v>
          </cell>
          <cell r="I1644">
            <v>45994</v>
          </cell>
          <cell r="J1644">
            <v>-231.74</v>
          </cell>
        </row>
        <row r="1645">
          <cell r="C1645" t="str">
            <v>推广订单扣款</v>
          </cell>
        </row>
        <row r="1645">
          <cell r="H1645" t="str">
            <v>沙坪坝店</v>
          </cell>
          <cell r="I1645">
            <v>45994</v>
          </cell>
          <cell r="J1645">
            <v>-161.46</v>
          </cell>
        </row>
        <row r="1646">
          <cell r="C1646" t="str">
            <v>推广账户自动充值</v>
          </cell>
        </row>
        <row r="1646">
          <cell r="H1646" t="str">
            <v>凤城二路店</v>
          </cell>
          <cell r="I1646">
            <v>45994</v>
          </cell>
          <cell r="J1646">
            <v>200</v>
          </cell>
        </row>
        <row r="1647">
          <cell r="C1647" t="str">
            <v>推广账户自动充值</v>
          </cell>
        </row>
        <row r="1647">
          <cell r="H1647" t="str">
            <v>凤城二路店</v>
          </cell>
          <cell r="I1647">
            <v>45994</v>
          </cell>
          <cell r="J1647">
            <v>200</v>
          </cell>
        </row>
        <row r="1648">
          <cell r="C1648" t="str">
            <v>推广订单扣款</v>
          </cell>
        </row>
        <row r="1648">
          <cell r="H1648" t="str">
            <v>凤城二路店</v>
          </cell>
          <cell r="I1648">
            <v>45994</v>
          </cell>
          <cell r="J1648">
            <v>-351.57</v>
          </cell>
        </row>
        <row r="1649">
          <cell r="C1649" t="str">
            <v>推广账户自动充值</v>
          </cell>
        </row>
        <row r="1649">
          <cell r="H1649" t="str">
            <v>大坪店</v>
          </cell>
          <cell r="I1649">
            <v>45994</v>
          </cell>
          <cell r="J1649">
            <v>200</v>
          </cell>
        </row>
        <row r="1650">
          <cell r="C1650" t="str">
            <v>推广账户自动充值</v>
          </cell>
        </row>
        <row r="1650">
          <cell r="H1650" t="str">
            <v>大坪店</v>
          </cell>
          <cell r="I1650">
            <v>45994</v>
          </cell>
          <cell r="J1650">
            <v>200</v>
          </cell>
        </row>
        <row r="1651">
          <cell r="C1651" t="str">
            <v>推广订单扣款</v>
          </cell>
        </row>
        <row r="1651">
          <cell r="H1651" t="str">
            <v>大坪店</v>
          </cell>
          <cell r="I1651">
            <v>45994</v>
          </cell>
          <cell r="J1651">
            <v>-262.5</v>
          </cell>
        </row>
        <row r="1652">
          <cell r="C1652" t="str">
            <v>推广账户自动充值</v>
          </cell>
        </row>
        <row r="1652">
          <cell r="H1652" t="str">
            <v>五华店</v>
          </cell>
          <cell r="I1652">
            <v>45994</v>
          </cell>
          <cell r="J1652">
            <v>200</v>
          </cell>
        </row>
        <row r="1653">
          <cell r="C1653" t="str">
            <v>推广订单扣款</v>
          </cell>
        </row>
        <row r="1653">
          <cell r="H1653" t="str">
            <v>五华店</v>
          </cell>
          <cell r="I1653">
            <v>45994</v>
          </cell>
          <cell r="J1653">
            <v>-128.56</v>
          </cell>
        </row>
        <row r="1654">
          <cell r="C1654" t="str">
            <v>推广账户自动充值</v>
          </cell>
        </row>
        <row r="1654">
          <cell r="H1654" t="str">
            <v>官渡店</v>
          </cell>
          <cell r="I1654">
            <v>45994</v>
          </cell>
          <cell r="J1654">
            <v>200</v>
          </cell>
        </row>
        <row r="1655">
          <cell r="C1655" t="str">
            <v>推广订单扣款</v>
          </cell>
        </row>
        <row r="1655">
          <cell r="H1655" t="str">
            <v>官渡店</v>
          </cell>
          <cell r="I1655">
            <v>45994</v>
          </cell>
          <cell r="J1655">
            <v>-176.27</v>
          </cell>
        </row>
        <row r="1656">
          <cell r="C1656" t="str">
            <v>推广订单扣款</v>
          </cell>
        </row>
        <row r="1656">
          <cell r="H1656" t="str">
            <v>百捷店</v>
          </cell>
          <cell r="I1656">
            <v>45994</v>
          </cell>
          <cell r="J1656">
            <v>-126.67</v>
          </cell>
        </row>
        <row r="1657">
          <cell r="C1657" t="str">
            <v>推广账户自动充值</v>
          </cell>
        </row>
        <row r="1657">
          <cell r="H1657" t="str">
            <v>济南店</v>
          </cell>
          <cell r="I1657">
            <v>45994</v>
          </cell>
          <cell r="J1657">
            <v>200</v>
          </cell>
        </row>
        <row r="1658">
          <cell r="C1658" t="str">
            <v>推广订单扣款</v>
          </cell>
        </row>
        <row r="1658">
          <cell r="H1658" t="str">
            <v>济南店</v>
          </cell>
          <cell r="I1658">
            <v>45994</v>
          </cell>
          <cell r="J1658">
            <v>-134.81</v>
          </cell>
        </row>
        <row r="1659">
          <cell r="C1659" t="str">
            <v>推广账户自动充值</v>
          </cell>
        </row>
        <row r="1659">
          <cell r="H1659" t="str">
            <v>观音桥店</v>
          </cell>
          <cell r="I1659">
            <v>45994</v>
          </cell>
          <cell r="J1659">
            <v>200</v>
          </cell>
        </row>
        <row r="1660">
          <cell r="C1660" t="str">
            <v>推广账户自动充值</v>
          </cell>
        </row>
        <row r="1660">
          <cell r="H1660" t="str">
            <v>观音桥店</v>
          </cell>
          <cell r="I1660">
            <v>45994</v>
          </cell>
          <cell r="J1660">
            <v>200</v>
          </cell>
        </row>
        <row r="1661">
          <cell r="C1661" t="str">
            <v>推广订单扣款</v>
          </cell>
        </row>
        <row r="1661">
          <cell r="H1661" t="str">
            <v>观音桥店</v>
          </cell>
          <cell r="I1661">
            <v>45994</v>
          </cell>
          <cell r="J1661">
            <v>-362.36</v>
          </cell>
        </row>
        <row r="1662">
          <cell r="C1662" t="str">
            <v>推广账户自动充值</v>
          </cell>
        </row>
        <row r="1662">
          <cell r="H1662" t="str">
            <v>长沙店</v>
          </cell>
          <cell r="I1662">
            <v>45994</v>
          </cell>
          <cell r="J1662">
            <v>200</v>
          </cell>
        </row>
        <row r="1663">
          <cell r="C1663" t="str">
            <v>推广订单扣款</v>
          </cell>
        </row>
        <row r="1663">
          <cell r="H1663" t="str">
            <v>长沙店</v>
          </cell>
          <cell r="I1663">
            <v>45994</v>
          </cell>
          <cell r="J1663">
            <v>-166.69</v>
          </cell>
        </row>
        <row r="1664">
          <cell r="C1664" t="str">
            <v>推广账户自动充值</v>
          </cell>
        </row>
        <row r="1664">
          <cell r="H1664" t="str">
            <v>洛江店</v>
          </cell>
          <cell r="I1664">
            <v>45994</v>
          </cell>
          <cell r="J1664">
            <v>200</v>
          </cell>
        </row>
        <row r="1665">
          <cell r="C1665" t="str">
            <v>推广订单扣款</v>
          </cell>
        </row>
        <row r="1665">
          <cell r="H1665" t="str">
            <v>洛江店</v>
          </cell>
          <cell r="I1665">
            <v>45994</v>
          </cell>
          <cell r="J1665">
            <v>-58.19</v>
          </cell>
        </row>
        <row r="1666">
          <cell r="C1666" t="str">
            <v>推广账户自动充值</v>
          </cell>
        </row>
        <row r="1666">
          <cell r="H1666" t="str">
            <v>五路口店</v>
          </cell>
          <cell r="I1666">
            <v>45994</v>
          </cell>
          <cell r="J1666">
            <v>200</v>
          </cell>
        </row>
        <row r="1667">
          <cell r="C1667" t="str">
            <v>推广账户自动充值</v>
          </cell>
        </row>
        <row r="1667">
          <cell r="H1667" t="str">
            <v>五路口店</v>
          </cell>
          <cell r="I1667">
            <v>45994</v>
          </cell>
          <cell r="J1667">
            <v>200</v>
          </cell>
        </row>
        <row r="1668">
          <cell r="C1668" t="str">
            <v>推广订单扣款</v>
          </cell>
        </row>
        <row r="1668">
          <cell r="H1668" t="str">
            <v>五路口店</v>
          </cell>
          <cell r="I1668">
            <v>45994</v>
          </cell>
          <cell r="J1668">
            <v>-399.67</v>
          </cell>
        </row>
        <row r="1669">
          <cell r="C1669" t="str">
            <v>推广订单扣款</v>
          </cell>
        </row>
        <row r="1669">
          <cell r="H1669" t="str">
            <v>青羊店</v>
          </cell>
          <cell r="I1669">
            <v>45994</v>
          </cell>
          <cell r="J1669">
            <v>-135.99</v>
          </cell>
        </row>
        <row r="1670">
          <cell r="C1670" t="str">
            <v>推广订单扣款</v>
          </cell>
        </row>
        <row r="1670">
          <cell r="H1670" t="str">
            <v>武侯店</v>
          </cell>
          <cell r="I1670">
            <v>45994</v>
          </cell>
          <cell r="J1670">
            <v>-55.24</v>
          </cell>
        </row>
        <row r="1671">
          <cell r="C1671" t="str">
            <v>推广账户自动充值</v>
          </cell>
        </row>
        <row r="1671">
          <cell r="H1671" t="str">
            <v>鼓楼店</v>
          </cell>
          <cell r="I1671">
            <v>45994</v>
          </cell>
          <cell r="J1671">
            <v>200</v>
          </cell>
        </row>
        <row r="1672">
          <cell r="C1672" t="str">
            <v>推广订单扣款</v>
          </cell>
        </row>
        <row r="1672">
          <cell r="H1672" t="str">
            <v>鼓楼店</v>
          </cell>
          <cell r="I1672">
            <v>45994</v>
          </cell>
          <cell r="J1672">
            <v>-276.69</v>
          </cell>
        </row>
        <row r="1673">
          <cell r="C1673" t="str">
            <v>推广账户自动充值</v>
          </cell>
        </row>
        <row r="1673">
          <cell r="H1673" t="str">
            <v>黄雁村店</v>
          </cell>
          <cell r="I1673">
            <v>45994</v>
          </cell>
          <cell r="J1673">
            <v>200</v>
          </cell>
        </row>
        <row r="1674">
          <cell r="C1674" t="str">
            <v>推广订单扣款</v>
          </cell>
        </row>
        <row r="1674">
          <cell r="H1674" t="str">
            <v>黄雁村店</v>
          </cell>
          <cell r="I1674">
            <v>45994</v>
          </cell>
          <cell r="J1674">
            <v>-368.8</v>
          </cell>
        </row>
        <row r="1675">
          <cell r="C1675" t="str">
            <v>推广账户自动充值</v>
          </cell>
        </row>
        <row r="1675">
          <cell r="H1675" t="str">
            <v>西湖店</v>
          </cell>
          <cell r="I1675">
            <v>45994</v>
          </cell>
          <cell r="J1675">
            <v>200</v>
          </cell>
        </row>
        <row r="1676">
          <cell r="C1676" t="str">
            <v>推广订单扣款</v>
          </cell>
        </row>
        <row r="1676">
          <cell r="H1676" t="str">
            <v>西湖店</v>
          </cell>
          <cell r="I1676">
            <v>45994</v>
          </cell>
          <cell r="J1676">
            <v>-181.5</v>
          </cell>
        </row>
        <row r="1677">
          <cell r="C1677" t="str">
            <v>推广账户自动充值</v>
          </cell>
        </row>
        <row r="1677">
          <cell r="H1677" t="str">
            <v>百丈店</v>
          </cell>
          <cell r="I1677">
            <v>45994</v>
          </cell>
          <cell r="J1677">
            <v>200</v>
          </cell>
        </row>
        <row r="1678">
          <cell r="C1678" t="str">
            <v>推广订单扣款</v>
          </cell>
        </row>
        <row r="1678">
          <cell r="H1678" t="str">
            <v>百丈店</v>
          </cell>
          <cell r="I1678">
            <v>45994</v>
          </cell>
          <cell r="J1678">
            <v>-158.89</v>
          </cell>
        </row>
        <row r="1679">
          <cell r="C1679" t="str">
            <v>推广账户自动充值</v>
          </cell>
        </row>
        <row r="1679">
          <cell r="H1679" t="str">
            <v>文昌店</v>
          </cell>
          <cell r="I1679">
            <v>45994</v>
          </cell>
          <cell r="J1679">
            <v>200</v>
          </cell>
        </row>
        <row r="1680">
          <cell r="C1680" t="str">
            <v>推广订单扣款</v>
          </cell>
        </row>
        <row r="1680">
          <cell r="H1680" t="str">
            <v>文昌店</v>
          </cell>
          <cell r="I1680">
            <v>45994</v>
          </cell>
          <cell r="J1680">
            <v>-95.41</v>
          </cell>
        </row>
        <row r="1681">
          <cell r="C1681" t="str">
            <v>推广账户自动充值</v>
          </cell>
        </row>
        <row r="1681">
          <cell r="H1681" t="str">
            <v>观桥店</v>
          </cell>
          <cell r="I1681">
            <v>45994</v>
          </cell>
          <cell r="J1681">
            <v>200</v>
          </cell>
        </row>
        <row r="1682">
          <cell r="C1682" t="str">
            <v>推广订单扣款</v>
          </cell>
        </row>
        <row r="1682">
          <cell r="H1682" t="str">
            <v>观桥店</v>
          </cell>
          <cell r="I1682">
            <v>45994</v>
          </cell>
          <cell r="J1682">
            <v>-174.87</v>
          </cell>
        </row>
        <row r="1683">
          <cell r="C1683" t="str">
            <v>推广账户自动充值</v>
          </cell>
        </row>
        <row r="1683">
          <cell r="H1683" t="str">
            <v>海口店</v>
          </cell>
          <cell r="I1683">
            <v>45994</v>
          </cell>
          <cell r="J1683">
            <v>200</v>
          </cell>
        </row>
        <row r="1684">
          <cell r="C1684" t="str">
            <v>推广订单扣款</v>
          </cell>
        </row>
        <row r="1684">
          <cell r="H1684" t="str">
            <v>海口店</v>
          </cell>
          <cell r="I1684">
            <v>45994</v>
          </cell>
          <cell r="J1684">
            <v>-200</v>
          </cell>
        </row>
        <row r="1685">
          <cell r="C1685" t="str">
            <v>推广账户自动充值</v>
          </cell>
        </row>
        <row r="1685">
          <cell r="H1685" t="str">
            <v>南安店</v>
          </cell>
          <cell r="I1685">
            <v>45994</v>
          </cell>
          <cell r="J1685">
            <v>100</v>
          </cell>
        </row>
        <row r="1686">
          <cell r="C1686" t="str">
            <v>推广订单扣款</v>
          </cell>
        </row>
        <row r="1686">
          <cell r="H1686" t="str">
            <v>南安店</v>
          </cell>
          <cell r="I1686">
            <v>45994</v>
          </cell>
          <cell r="J1686">
            <v>-64.38</v>
          </cell>
        </row>
        <row r="1687">
          <cell r="C1687" t="str">
            <v>推广账户自动充值</v>
          </cell>
        </row>
        <row r="1687">
          <cell r="H1687" t="str">
            <v>诚毅店</v>
          </cell>
          <cell r="I1687">
            <v>45994</v>
          </cell>
          <cell r="J1687">
            <v>200</v>
          </cell>
        </row>
        <row r="1688">
          <cell r="C1688" t="str">
            <v>推广订单扣款</v>
          </cell>
        </row>
        <row r="1688">
          <cell r="H1688" t="str">
            <v>诚毅店</v>
          </cell>
          <cell r="I1688">
            <v>45994</v>
          </cell>
          <cell r="J1688">
            <v>-180.66</v>
          </cell>
        </row>
        <row r="1689">
          <cell r="C1689" t="str">
            <v>推广账户自动充值</v>
          </cell>
        </row>
        <row r="1689">
          <cell r="H1689" t="str">
            <v>首山店</v>
          </cell>
          <cell r="I1689">
            <v>45994</v>
          </cell>
          <cell r="J1689">
            <v>200</v>
          </cell>
        </row>
        <row r="1690">
          <cell r="C1690" t="str">
            <v>推广订单扣款</v>
          </cell>
        </row>
        <row r="1690">
          <cell r="H1690" t="str">
            <v>首山店</v>
          </cell>
          <cell r="I1690">
            <v>45994</v>
          </cell>
          <cell r="J1690">
            <v>-127.03</v>
          </cell>
        </row>
        <row r="1691">
          <cell r="C1691" t="str">
            <v>推广账户自动充值</v>
          </cell>
        </row>
        <row r="1691">
          <cell r="H1691" t="str">
            <v>首南店</v>
          </cell>
          <cell r="I1691">
            <v>45994</v>
          </cell>
          <cell r="J1691">
            <v>200</v>
          </cell>
        </row>
        <row r="1692">
          <cell r="C1692" t="str">
            <v>推广账户自动充值</v>
          </cell>
        </row>
        <row r="1692">
          <cell r="H1692" t="str">
            <v>首南店</v>
          </cell>
          <cell r="I1692">
            <v>45994</v>
          </cell>
          <cell r="J1692">
            <v>200</v>
          </cell>
        </row>
        <row r="1693">
          <cell r="C1693" t="str">
            <v>推广订单扣款</v>
          </cell>
        </row>
        <row r="1693">
          <cell r="H1693" t="str">
            <v>首南店</v>
          </cell>
          <cell r="I1693">
            <v>45994</v>
          </cell>
          <cell r="J1693">
            <v>-197.15</v>
          </cell>
        </row>
        <row r="1694">
          <cell r="C1694" t="str">
            <v>推广账户自动充值</v>
          </cell>
        </row>
        <row r="1694">
          <cell r="H1694" t="str">
            <v>余杭店</v>
          </cell>
          <cell r="I1694">
            <v>45994</v>
          </cell>
          <cell r="J1694">
            <v>200</v>
          </cell>
        </row>
        <row r="1695">
          <cell r="C1695" t="str">
            <v>推广订单扣款</v>
          </cell>
        </row>
        <row r="1695">
          <cell r="H1695" t="str">
            <v>余杭店</v>
          </cell>
          <cell r="I1695">
            <v>45994</v>
          </cell>
          <cell r="J1695">
            <v>-228.33</v>
          </cell>
        </row>
        <row r="1696">
          <cell r="C1696" t="str">
            <v>推广账户自动充值</v>
          </cell>
        </row>
        <row r="1696">
          <cell r="H1696" t="str">
            <v>东海店</v>
          </cell>
          <cell r="I1696">
            <v>45994</v>
          </cell>
          <cell r="J1696">
            <v>200</v>
          </cell>
        </row>
        <row r="1697">
          <cell r="C1697" t="str">
            <v>推广订单扣款</v>
          </cell>
        </row>
        <row r="1697">
          <cell r="H1697" t="str">
            <v>东海店</v>
          </cell>
          <cell r="I1697">
            <v>45994</v>
          </cell>
          <cell r="J1697">
            <v>-193.87</v>
          </cell>
        </row>
        <row r="1698">
          <cell r="C1698" t="str">
            <v>推广账户自动充值</v>
          </cell>
        </row>
        <row r="1698">
          <cell r="H1698" t="str">
            <v>文灶店</v>
          </cell>
          <cell r="I1698">
            <v>45994</v>
          </cell>
          <cell r="J1698">
            <v>200</v>
          </cell>
        </row>
        <row r="1699">
          <cell r="C1699" t="str">
            <v>推广订单扣款</v>
          </cell>
        </row>
        <row r="1699">
          <cell r="H1699" t="str">
            <v>文灶店</v>
          </cell>
          <cell r="I1699">
            <v>45994</v>
          </cell>
          <cell r="J1699">
            <v>-144.58</v>
          </cell>
        </row>
        <row r="1700">
          <cell r="C1700" t="str">
            <v>推广订单扣款</v>
          </cell>
        </row>
        <row r="1700">
          <cell r="H1700" t="str">
            <v>滨江店</v>
          </cell>
          <cell r="I1700">
            <v>45994</v>
          </cell>
          <cell r="J1700">
            <v>-1.92</v>
          </cell>
        </row>
        <row r="1701">
          <cell r="C1701" t="str">
            <v>推广订单扣款</v>
          </cell>
        </row>
        <row r="1701">
          <cell r="H1701" t="str">
            <v>湖里店</v>
          </cell>
          <cell r="I1701">
            <v>45995</v>
          </cell>
          <cell r="J1701">
            <v>-53.76</v>
          </cell>
        </row>
        <row r="1702">
          <cell r="C1702" t="str">
            <v>推广账户自动充值</v>
          </cell>
        </row>
        <row r="1702">
          <cell r="H1702" t="str">
            <v>东新店</v>
          </cell>
          <cell r="I1702">
            <v>45995</v>
          </cell>
          <cell r="J1702">
            <v>200</v>
          </cell>
        </row>
        <row r="1703">
          <cell r="C1703" t="str">
            <v>推广订单扣款</v>
          </cell>
        </row>
        <row r="1703">
          <cell r="H1703" t="str">
            <v>东新店</v>
          </cell>
          <cell r="I1703">
            <v>45995</v>
          </cell>
          <cell r="J1703">
            <v>-174.39</v>
          </cell>
        </row>
        <row r="1704">
          <cell r="C1704" t="str">
            <v>推广订单扣款</v>
          </cell>
        </row>
        <row r="1704">
          <cell r="H1704" t="str">
            <v>启点店</v>
          </cell>
          <cell r="I1704">
            <v>45995</v>
          </cell>
          <cell r="J1704">
            <v>-167.16</v>
          </cell>
        </row>
        <row r="1705">
          <cell r="C1705" t="str">
            <v>推广订单扣款</v>
          </cell>
        </row>
        <row r="1705">
          <cell r="H1705" t="str">
            <v>高新店</v>
          </cell>
          <cell r="I1705">
            <v>45995</v>
          </cell>
          <cell r="J1705">
            <v>-120.17</v>
          </cell>
        </row>
        <row r="1706">
          <cell r="C1706" t="str">
            <v>推广订单扣款</v>
          </cell>
        </row>
        <row r="1706">
          <cell r="H1706" t="str">
            <v>成华店</v>
          </cell>
          <cell r="I1706">
            <v>45995</v>
          </cell>
          <cell r="J1706">
            <v>-58.17</v>
          </cell>
        </row>
        <row r="1707">
          <cell r="C1707" t="str">
            <v>推广订单扣款</v>
          </cell>
        </row>
        <row r="1707">
          <cell r="H1707" t="str">
            <v>金牛店</v>
          </cell>
          <cell r="I1707">
            <v>45995</v>
          </cell>
          <cell r="J1707">
            <v>-69.8</v>
          </cell>
        </row>
        <row r="1708">
          <cell r="C1708" t="str">
            <v>推广订单扣款</v>
          </cell>
        </row>
        <row r="1708">
          <cell r="H1708" t="str">
            <v>西山店</v>
          </cell>
          <cell r="I1708">
            <v>45995</v>
          </cell>
          <cell r="J1708">
            <v>-167.12</v>
          </cell>
        </row>
        <row r="1709">
          <cell r="C1709" t="str">
            <v>推广账户自动充值</v>
          </cell>
        </row>
        <row r="1709">
          <cell r="H1709" t="str">
            <v>沙坪坝店</v>
          </cell>
          <cell r="I1709">
            <v>45995</v>
          </cell>
          <cell r="J1709">
            <v>200</v>
          </cell>
        </row>
        <row r="1710">
          <cell r="C1710" t="str">
            <v>推广订单扣款</v>
          </cell>
        </row>
        <row r="1710">
          <cell r="H1710" t="str">
            <v>沙坪坝店</v>
          </cell>
          <cell r="I1710">
            <v>45995</v>
          </cell>
          <cell r="J1710">
            <v>-129.46</v>
          </cell>
        </row>
        <row r="1711">
          <cell r="C1711" t="str">
            <v>推广账户自动充值</v>
          </cell>
        </row>
        <row r="1711">
          <cell r="H1711" t="str">
            <v>凤城二路店</v>
          </cell>
          <cell r="I1711">
            <v>45995</v>
          </cell>
          <cell r="J1711">
            <v>200</v>
          </cell>
        </row>
        <row r="1712">
          <cell r="C1712" t="str">
            <v>推广订单扣款</v>
          </cell>
        </row>
        <row r="1712">
          <cell r="H1712" t="str">
            <v>凤城二路店</v>
          </cell>
          <cell r="I1712">
            <v>45995</v>
          </cell>
          <cell r="J1712">
            <v>-305.86</v>
          </cell>
        </row>
        <row r="1713">
          <cell r="C1713" t="str">
            <v>推广订单扣款</v>
          </cell>
        </row>
        <row r="1713">
          <cell r="H1713" t="str">
            <v>大坪店</v>
          </cell>
          <cell r="I1713">
            <v>45995</v>
          </cell>
          <cell r="J1713">
            <v>-288.54</v>
          </cell>
        </row>
        <row r="1714">
          <cell r="C1714" t="str">
            <v>推广订单扣款</v>
          </cell>
        </row>
        <row r="1714">
          <cell r="H1714" t="str">
            <v>五华店</v>
          </cell>
          <cell r="I1714">
            <v>45995</v>
          </cell>
          <cell r="J1714">
            <v>-155.58</v>
          </cell>
        </row>
        <row r="1715">
          <cell r="C1715" t="str">
            <v>推广订单扣款</v>
          </cell>
        </row>
        <row r="1715">
          <cell r="H1715" t="str">
            <v>官渡店</v>
          </cell>
          <cell r="I1715">
            <v>45995</v>
          </cell>
          <cell r="J1715">
            <v>-126.56</v>
          </cell>
        </row>
        <row r="1716">
          <cell r="C1716" t="str">
            <v>推广账户自动充值</v>
          </cell>
        </row>
        <row r="1716">
          <cell r="H1716" t="str">
            <v>百捷店</v>
          </cell>
          <cell r="I1716">
            <v>45995</v>
          </cell>
          <cell r="J1716">
            <v>200</v>
          </cell>
        </row>
        <row r="1717">
          <cell r="C1717" t="str">
            <v>推广订单扣款</v>
          </cell>
        </row>
        <row r="1717">
          <cell r="H1717" t="str">
            <v>百捷店</v>
          </cell>
          <cell r="I1717">
            <v>45995</v>
          </cell>
          <cell r="J1717">
            <v>-91.58</v>
          </cell>
        </row>
        <row r="1718">
          <cell r="C1718" t="str">
            <v>推广账户自动充值</v>
          </cell>
        </row>
        <row r="1718">
          <cell r="H1718" t="str">
            <v>济南店</v>
          </cell>
          <cell r="I1718">
            <v>45995</v>
          </cell>
          <cell r="J1718">
            <v>200</v>
          </cell>
        </row>
        <row r="1719">
          <cell r="C1719" t="str">
            <v>推广订单扣款</v>
          </cell>
        </row>
        <row r="1719">
          <cell r="H1719" t="str">
            <v>济南店</v>
          </cell>
          <cell r="I1719">
            <v>45995</v>
          </cell>
          <cell r="J1719">
            <v>-239.26</v>
          </cell>
        </row>
        <row r="1720">
          <cell r="C1720" t="str">
            <v>推广账户自动充值</v>
          </cell>
        </row>
        <row r="1720">
          <cell r="H1720" t="str">
            <v>观音桥店</v>
          </cell>
          <cell r="I1720">
            <v>45995</v>
          </cell>
          <cell r="J1720">
            <v>200</v>
          </cell>
        </row>
        <row r="1721">
          <cell r="C1721" t="str">
            <v>推广订单扣款</v>
          </cell>
        </row>
        <row r="1721">
          <cell r="H1721" t="str">
            <v>观音桥店</v>
          </cell>
          <cell r="I1721">
            <v>45995</v>
          </cell>
          <cell r="J1721">
            <v>-417.52</v>
          </cell>
        </row>
        <row r="1722">
          <cell r="C1722" t="str">
            <v>推广账户自动充值</v>
          </cell>
        </row>
        <row r="1722">
          <cell r="H1722" t="str">
            <v>长沙店</v>
          </cell>
          <cell r="I1722">
            <v>45995</v>
          </cell>
          <cell r="J1722">
            <v>200</v>
          </cell>
        </row>
        <row r="1723">
          <cell r="C1723" t="str">
            <v>推广订单扣款</v>
          </cell>
        </row>
        <row r="1723">
          <cell r="H1723" t="str">
            <v>长沙店</v>
          </cell>
          <cell r="I1723">
            <v>45995</v>
          </cell>
          <cell r="J1723">
            <v>-175.56</v>
          </cell>
        </row>
        <row r="1724">
          <cell r="C1724" t="str">
            <v>推广订单扣款</v>
          </cell>
        </row>
        <row r="1724">
          <cell r="H1724" t="str">
            <v>洛江店</v>
          </cell>
          <cell r="I1724">
            <v>45995</v>
          </cell>
          <cell r="J1724">
            <v>-31.56</v>
          </cell>
        </row>
        <row r="1725">
          <cell r="C1725" t="str">
            <v>推广账户自动充值</v>
          </cell>
        </row>
        <row r="1725">
          <cell r="H1725" t="str">
            <v>五路口店</v>
          </cell>
          <cell r="I1725">
            <v>45995</v>
          </cell>
          <cell r="J1725">
            <v>200</v>
          </cell>
        </row>
        <row r="1726">
          <cell r="C1726" t="str">
            <v>推广订单扣款</v>
          </cell>
        </row>
        <row r="1726">
          <cell r="H1726" t="str">
            <v>五路口店</v>
          </cell>
          <cell r="I1726">
            <v>45995</v>
          </cell>
          <cell r="J1726">
            <v>-345.64</v>
          </cell>
        </row>
        <row r="1727">
          <cell r="C1727" t="str">
            <v>推广订单扣款</v>
          </cell>
        </row>
        <row r="1727">
          <cell r="H1727" t="str">
            <v>青羊店</v>
          </cell>
          <cell r="I1727">
            <v>45995</v>
          </cell>
          <cell r="J1727">
            <v>-57.57</v>
          </cell>
        </row>
        <row r="1728">
          <cell r="C1728" t="str">
            <v>推广订单扣款</v>
          </cell>
        </row>
        <row r="1728">
          <cell r="H1728" t="str">
            <v>武侯店</v>
          </cell>
          <cell r="I1728">
            <v>45995</v>
          </cell>
          <cell r="J1728">
            <v>-25.58</v>
          </cell>
        </row>
        <row r="1729">
          <cell r="C1729" t="str">
            <v>推广账户自动充值</v>
          </cell>
        </row>
        <row r="1729">
          <cell r="H1729" t="str">
            <v>鼓楼店</v>
          </cell>
          <cell r="I1729">
            <v>45995</v>
          </cell>
          <cell r="J1729">
            <v>200</v>
          </cell>
        </row>
        <row r="1730">
          <cell r="C1730" t="str">
            <v>推广订单扣款</v>
          </cell>
        </row>
        <row r="1730">
          <cell r="H1730" t="str">
            <v>鼓楼店</v>
          </cell>
          <cell r="I1730">
            <v>45995</v>
          </cell>
          <cell r="J1730">
            <v>-247.75</v>
          </cell>
        </row>
        <row r="1731">
          <cell r="C1731" t="str">
            <v>推广账户自动充值</v>
          </cell>
        </row>
        <row r="1731">
          <cell r="H1731" t="str">
            <v>黄雁村店</v>
          </cell>
          <cell r="I1731">
            <v>45995</v>
          </cell>
          <cell r="J1731">
            <v>200</v>
          </cell>
        </row>
        <row r="1732">
          <cell r="C1732" t="str">
            <v>推广订单扣款</v>
          </cell>
        </row>
        <row r="1732">
          <cell r="H1732" t="str">
            <v>黄雁村店</v>
          </cell>
          <cell r="I1732">
            <v>45995</v>
          </cell>
          <cell r="J1732">
            <v>-269.07</v>
          </cell>
        </row>
        <row r="1733">
          <cell r="C1733" t="str">
            <v>推广账户自动充值</v>
          </cell>
        </row>
        <row r="1733">
          <cell r="H1733" t="str">
            <v>西湖店</v>
          </cell>
          <cell r="I1733">
            <v>45995</v>
          </cell>
          <cell r="J1733">
            <v>200</v>
          </cell>
        </row>
        <row r="1734">
          <cell r="C1734" t="str">
            <v>推广订单扣款</v>
          </cell>
        </row>
        <row r="1734">
          <cell r="H1734" t="str">
            <v>西湖店</v>
          </cell>
          <cell r="I1734">
            <v>45995</v>
          </cell>
          <cell r="J1734">
            <v>-169.63</v>
          </cell>
        </row>
        <row r="1735">
          <cell r="C1735" t="str">
            <v>推广账户自动充值</v>
          </cell>
        </row>
        <row r="1735">
          <cell r="H1735" t="str">
            <v>百丈店</v>
          </cell>
          <cell r="I1735">
            <v>45995</v>
          </cell>
          <cell r="J1735">
            <v>200</v>
          </cell>
        </row>
        <row r="1736">
          <cell r="C1736" t="str">
            <v>推广订单扣款</v>
          </cell>
        </row>
        <row r="1736">
          <cell r="H1736" t="str">
            <v>百丈店</v>
          </cell>
          <cell r="I1736">
            <v>45995</v>
          </cell>
          <cell r="J1736">
            <v>-137.36</v>
          </cell>
        </row>
        <row r="1737">
          <cell r="C1737" t="str">
            <v>推广订单扣款</v>
          </cell>
        </row>
        <row r="1737">
          <cell r="H1737" t="str">
            <v>文昌店</v>
          </cell>
          <cell r="I1737">
            <v>45995</v>
          </cell>
          <cell r="J1737">
            <v>-114.34</v>
          </cell>
        </row>
        <row r="1738">
          <cell r="C1738" t="str">
            <v>推广订单扣款</v>
          </cell>
        </row>
        <row r="1738">
          <cell r="H1738" t="str">
            <v>观桥店</v>
          </cell>
          <cell r="I1738">
            <v>45995</v>
          </cell>
          <cell r="J1738">
            <v>-152.22</v>
          </cell>
        </row>
        <row r="1739">
          <cell r="C1739" t="str">
            <v>推广账户自动充值</v>
          </cell>
        </row>
        <row r="1739">
          <cell r="H1739" t="str">
            <v>海口店</v>
          </cell>
          <cell r="I1739">
            <v>45995</v>
          </cell>
          <cell r="J1739">
            <v>200</v>
          </cell>
        </row>
        <row r="1740">
          <cell r="C1740" t="str">
            <v>推广订单扣款</v>
          </cell>
        </row>
        <row r="1740">
          <cell r="H1740" t="str">
            <v>海口店</v>
          </cell>
          <cell r="I1740">
            <v>45995</v>
          </cell>
          <cell r="J1740">
            <v>-200</v>
          </cell>
        </row>
        <row r="1741">
          <cell r="C1741" t="str">
            <v>推广订单扣款</v>
          </cell>
        </row>
        <row r="1741">
          <cell r="H1741" t="str">
            <v>南安店</v>
          </cell>
          <cell r="I1741">
            <v>45995</v>
          </cell>
          <cell r="J1741">
            <v>-37.45</v>
          </cell>
        </row>
        <row r="1742">
          <cell r="C1742" t="str">
            <v>推广订单扣款</v>
          </cell>
        </row>
        <row r="1742">
          <cell r="H1742" t="str">
            <v>诚毅店</v>
          </cell>
          <cell r="I1742">
            <v>45995</v>
          </cell>
          <cell r="J1742">
            <v>-152.48</v>
          </cell>
        </row>
        <row r="1743">
          <cell r="C1743" t="str">
            <v>推广订单扣款</v>
          </cell>
        </row>
        <row r="1743">
          <cell r="H1743" t="str">
            <v>首山店</v>
          </cell>
          <cell r="I1743">
            <v>45995</v>
          </cell>
          <cell r="J1743">
            <v>-155.25</v>
          </cell>
        </row>
        <row r="1744">
          <cell r="C1744" t="str">
            <v>推广订单扣款</v>
          </cell>
        </row>
        <row r="1744">
          <cell r="H1744" t="str">
            <v>首南店</v>
          </cell>
          <cell r="I1744">
            <v>45995</v>
          </cell>
          <cell r="J1744">
            <v>-257.52</v>
          </cell>
        </row>
        <row r="1745">
          <cell r="C1745" t="str">
            <v>推广账户自动充值</v>
          </cell>
        </row>
        <row r="1745">
          <cell r="H1745" t="str">
            <v>余杭店</v>
          </cell>
          <cell r="I1745">
            <v>45995</v>
          </cell>
          <cell r="J1745">
            <v>200</v>
          </cell>
        </row>
        <row r="1746">
          <cell r="C1746" t="str">
            <v>推广订单扣款</v>
          </cell>
        </row>
        <row r="1746">
          <cell r="H1746" t="str">
            <v>余杭店</v>
          </cell>
          <cell r="I1746">
            <v>45995</v>
          </cell>
          <cell r="J1746">
            <v>-146.05</v>
          </cell>
        </row>
        <row r="1747">
          <cell r="C1747" t="str">
            <v>推广账户自动充值</v>
          </cell>
        </row>
        <row r="1747">
          <cell r="H1747" t="str">
            <v>东海店</v>
          </cell>
          <cell r="I1747">
            <v>45995</v>
          </cell>
          <cell r="J1747">
            <v>200</v>
          </cell>
        </row>
        <row r="1748">
          <cell r="C1748" t="str">
            <v>推广订单扣款</v>
          </cell>
        </row>
        <row r="1748">
          <cell r="H1748" t="str">
            <v>东海店</v>
          </cell>
          <cell r="I1748">
            <v>45995</v>
          </cell>
          <cell r="J1748">
            <v>-195.35</v>
          </cell>
        </row>
        <row r="1749">
          <cell r="C1749" t="str">
            <v>推广账户自动充值</v>
          </cell>
        </row>
        <row r="1749">
          <cell r="H1749" t="str">
            <v>文灶店</v>
          </cell>
          <cell r="I1749">
            <v>45995</v>
          </cell>
          <cell r="J1749">
            <v>200</v>
          </cell>
        </row>
        <row r="1750">
          <cell r="C1750" t="str">
            <v>推广订单扣款</v>
          </cell>
        </row>
        <row r="1750">
          <cell r="H1750" t="str">
            <v>文灶店</v>
          </cell>
          <cell r="I1750">
            <v>45995</v>
          </cell>
          <cell r="J1750">
            <v>-250</v>
          </cell>
        </row>
        <row r="1751">
          <cell r="C1751" t="str">
            <v>推广账户自动充值</v>
          </cell>
        </row>
        <row r="1751">
          <cell r="H1751" t="str">
            <v>华信店</v>
          </cell>
          <cell r="I1751">
            <v>45995</v>
          </cell>
          <cell r="J1751">
            <v>200</v>
          </cell>
        </row>
        <row r="1752">
          <cell r="C1752" t="str">
            <v>推广订单扣款</v>
          </cell>
        </row>
        <row r="1752">
          <cell r="H1752" t="str">
            <v>华信店</v>
          </cell>
          <cell r="I1752">
            <v>45995</v>
          </cell>
          <cell r="J1752">
            <v>-180</v>
          </cell>
        </row>
        <row r="1753">
          <cell r="C1753" t="str">
            <v>推广订单扣款</v>
          </cell>
        </row>
        <row r="1753">
          <cell r="H1753" t="str">
            <v>鼓楼店</v>
          </cell>
          <cell r="I1753">
            <v>45996</v>
          </cell>
          <cell r="J1753">
            <v>-230.42</v>
          </cell>
        </row>
        <row r="1754">
          <cell r="C1754" t="str">
            <v>推广订单扣款</v>
          </cell>
        </row>
        <row r="1754">
          <cell r="H1754" t="str">
            <v>首山店</v>
          </cell>
          <cell r="I1754">
            <v>45996</v>
          </cell>
          <cell r="J1754">
            <v>-171.27</v>
          </cell>
        </row>
        <row r="1755">
          <cell r="C1755" t="str">
            <v>推广订单扣款</v>
          </cell>
        </row>
        <row r="1755">
          <cell r="H1755" t="str">
            <v>西湖店</v>
          </cell>
          <cell r="I1755">
            <v>45996</v>
          </cell>
          <cell r="J1755">
            <v>-192</v>
          </cell>
        </row>
        <row r="1756">
          <cell r="C1756" t="str">
            <v>推广订单扣款</v>
          </cell>
        </row>
        <row r="1756">
          <cell r="H1756" t="str">
            <v>洛江店</v>
          </cell>
          <cell r="I1756">
            <v>45996</v>
          </cell>
          <cell r="J1756">
            <v>-55.62</v>
          </cell>
        </row>
        <row r="1757">
          <cell r="C1757" t="str">
            <v>推广订单扣款</v>
          </cell>
        </row>
        <row r="1757">
          <cell r="H1757" t="str">
            <v>长沙店</v>
          </cell>
          <cell r="I1757">
            <v>45996</v>
          </cell>
          <cell r="J1757">
            <v>-164.84</v>
          </cell>
        </row>
        <row r="1758">
          <cell r="C1758" t="str">
            <v>推广订单扣款</v>
          </cell>
        </row>
        <row r="1758">
          <cell r="H1758" t="str">
            <v>五路口店</v>
          </cell>
          <cell r="I1758">
            <v>45996</v>
          </cell>
          <cell r="J1758">
            <v>-320.75</v>
          </cell>
        </row>
        <row r="1759">
          <cell r="C1759" t="str">
            <v>推广订单扣款</v>
          </cell>
        </row>
        <row r="1759">
          <cell r="H1759" t="str">
            <v>海口店</v>
          </cell>
          <cell r="I1759">
            <v>45996</v>
          </cell>
          <cell r="J1759">
            <v>-200</v>
          </cell>
        </row>
        <row r="1760">
          <cell r="C1760" t="str">
            <v>推广订单扣款</v>
          </cell>
        </row>
        <row r="1760">
          <cell r="H1760" t="str">
            <v>百丈店</v>
          </cell>
          <cell r="I1760">
            <v>45996</v>
          </cell>
          <cell r="J1760">
            <v>-176.44</v>
          </cell>
        </row>
        <row r="1761">
          <cell r="C1761" t="str">
            <v>推广订单扣款</v>
          </cell>
        </row>
        <row r="1761">
          <cell r="H1761" t="str">
            <v>五华店</v>
          </cell>
          <cell r="I1761">
            <v>45996</v>
          </cell>
          <cell r="J1761">
            <v>-133.01</v>
          </cell>
        </row>
        <row r="1762">
          <cell r="C1762" t="str">
            <v>推广订单扣款</v>
          </cell>
        </row>
        <row r="1762">
          <cell r="H1762" t="str">
            <v>东新店</v>
          </cell>
          <cell r="I1762">
            <v>45996</v>
          </cell>
          <cell r="J1762">
            <v>-189.97</v>
          </cell>
        </row>
        <row r="1763">
          <cell r="C1763" t="str">
            <v>推广订单扣款</v>
          </cell>
        </row>
        <row r="1763">
          <cell r="H1763" t="str">
            <v>沙坪坝店</v>
          </cell>
          <cell r="I1763">
            <v>45996</v>
          </cell>
          <cell r="J1763">
            <v>-128.27</v>
          </cell>
        </row>
        <row r="1764">
          <cell r="C1764" t="str">
            <v>推广订单扣款</v>
          </cell>
        </row>
        <row r="1764">
          <cell r="H1764" t="str">
            <v>东海店</v>
          </cell>
          <cell r="I1764">
            <v>45996</v>
          </cell>
          <cell r="J1764">
            <v>-200</v>
          </cell>
        </row>
        <row r="1765">
          <cell r="C1765" t="str">
            <v>推广订单扣款</v>
          </cell>
        </row>
        <row r="1765">
          <cell r="H1765" t="str">
            <v>官渡店</v>
          </cell>
          <cell r="I1765">
            <v>45996</v>
          </cell>
          <cell r="J1765">
            <v>-116.05</v>
          </cell>
        </row>
        <row r="1766">
          <cell r="C1766" t="str">
            <v>推广订单扣款</v>
          </cell>
        </row>
        <row r="1766">
          <cell r="H1766" t="str">
            <v>文灶店</v>
          </cell>
          <cell r="I1766">
            <v>45996</v>
          </cell>
          <cell r="J1766">
            <v>-180.4</v>
          </cell>
        </row>
        <row r="1767">
          <cell r="C1767" t="str">
            <v>推广订单扣款</v>
          </cell>
        </row>
        <row r="1767">
          <cell r="H1767" t="str">
            <v>启点店</v>
          </cell>
          <cell r="I1767">
            <v>45996</v>
          </cell>
          <cell r="J1767">
            <v>-188.57</v>
          </cell>
        </row>
        <row r="1768">
          <cell r="C1768" t="str">
            <v>推广订单扣款</v>
          </cell>
        </row>
        <row r="1768">
          <cell r="H1768" t="str">
            <v>百捷店</v>
          </cell>
          <cell r="I1768">
            <v>45996</v>
          </cell>
          <cell r="J1768">
            <v>-131.06</v>
          </cell>
        </row>
        <row r="1769">
          <cell r="C1769" t="str">
            <v>推广订单扣款</v>
          </cell>
        </row>
        <row r="1769">
          <cell r="H1769" t="str">
            <v>诚毅店</v>
          </cell>
          <cell r="I1769">
            <v>45996</v>
          </cell>
          <cell r="J1769">
            <v>-194.52</v>
          </cell>
        </row>
        <row r="1770">
          <cell r="C1770" t="str">
            <v>推广订单扣款</v>
          </cell>
        </row>
        <row r="1770">
          <cell r="H1770" t="str">
            <v>成华店</v>
          </cell>
          <cell r="I1770">
            <v>45996</v>
          </cell>
          <cell r="J1770">
            <v>-94.04</v>
          </cell>
        </row>
        <row r="1771">
          <cell r="C1771" t="str">
            <v>推广订单扣款</v>
          </cell>
        </row>
        <row r="1771">
          <cell r="H1771" t="str">
            <v>黄雁村店</v>
          </cell>
          <cell r="I1771">
            <v>45996</v>
          </cell>
          <cell r="J1771">
            <v>-403.52</v>
          </cell>
        </row>
        <row r="1772">
          <cell r="C1772" t="str">
            <v>推广订单扣款</v>
          </cell>
        </row>
        <row r="1772">
          <cell r="H1772" t="str">
            <v>济南店</v>
          </cell>
          <cell r="I1772">
            <v>45996</v>
          </cell>
          <cell r="J1772">
            <v>-222.32</v>
          </cell>
        </row>
        <row r="1773">
          <cell r="C1773" t="str">
            <v>推广订单扣款</v>
          </cell>
        </row>
        <row r="1773">
          <cell r="H1773" t="str">
            <v>观桥店</v>
          </cell>
          <cell r="I1773">
            <v>45996</v>
          </cell>
          <cell r="J1773">
            <v>-147.81</v>
          </cell>
        </row>
        <row r="1774">
          <cell r="C1774" t="str">
            <v>推广订单扣款</v>
          </cell>
        </row>
        <row r="1774">
          <cell r="H1774" t="str">
            <v>大坪店</v>
          </cell>
          <cell r="I1774">
            <v>45996</v>
          </cell>
          <cell r="J1774">
            <v>-261.52</v>
          </cell>
        </row>
        <row r="1775">
          <cell r="C1775" t="str">
            <v>推广订单扣款</v>
          </cell>
        </row>
        <row r="1775">
          <cell r="H1775" t="str">
            <v>文昌店</v>
          </cell>
          <cell r="I1775">
            <v>45996</v>
          </cell>
          <cell r="J1775">
            <v>-136.9</v>
          </cell>
        </row>
        <row r="1776">
          <cell r="C1776" t="str">
            <v>推广订单扣款</v>
          </cell>
        </row>
        <row r="1776">
          <cell r="H1776" t="str">
            <v>高新店</v>
          </cell>
          <cell r="I1776">
            <v>45996</v>
          </cell>
          <cell r="J1776">
            <v>-86.99</v>
          </cell>
        </row>
        <row r="1777">
          <cell r="C1777" t="str">
            <v>推广订单扣款</v>
          </cell>
        </row>
        <row r="1777">
          <cell r="H1777" t="str">
            <v>金牛店</v>
          </cell>
          <cell r="I1777">
            <v>45996</v>
          </cell>
          <cell r="J1777">
            <v>-74.36</v>
          </cell>
        </row>
        <row r="1778">
          <cell r="C1778" t="str">
            <v>推广订单扣款</v>
          </cell>
        </row>
        <row r="1778">
          <cell r="H1778" t="str">
            <v>观音桥店</v>
          </cell>
          <cell r="I1778">
            <v>45996</v>
          </cell>
          <cell r="J1778">
            <v>-388.47</v>
          </cell>
        </row>
        <row r="1779">
          <cell r="C1779" t="str">
            <v>推广订单扣款</v>
          </cell>
        </row>
        <row r="1779">
          <cell r="H1779" t="str">
            <v>湖里店</v>
          </cell>
          <cell r="I1779">
            <v>45996</v>
          </cell>
          <cell r="J1779">
            <v>-163.48</v>
          </cell>
        </row>
        <row r="1780">
          <cell r="C1780" t="str">
            <v>推广订单扣款</v>
          </cell>
        </row>
        <row r="1780">
          <cell r="H1780" t="str">
            <v>武侯店</v>
          </cell>
          <cell r="I1780">
            <v>45996</v>
          </cell>
          <cell r="J1780">
            <v>-55.57</v>
          </cell>
        </row>
        <row r="1781">
          <cell r="C1781" t="str">
            <v>推广订单扣款</v>
          </cell>
        </row>
        <row r="1781">
          <cell r="H1781" t="str">
            <v>南安店</v>
          </cell>
          <cell r="I1781">
            <v>45996</v>
          </cell>
          <cell r="J1781">
            <v>-74.73</v>
          </cell>
        </row>
        <row r="1782">
          <cell r="C1782" t="str">
            <v>推广订单扣款</v>
          </cell>
        </row>
        <row r="1782">
          <cell r="H1782" t="str">
            <v>青羊店</v>
          </cell>
          <cell r="I1782">
            <v>45996</v>
          </cell>
          <cell r="J1782">
            <v>-94.62</v>
          </cell>
        </row>
        <row r="1783">
          <cell r="C1783" t="str">
            <v>推广订单扣款</v>
          </cell>
        </row>
        <row r="1783">
          <cell r="H1783" t="str">
            <v>华信店</v>
          </cell>
          <cell r="I1783">
            <v>45996</v>
          </cell>
          <cell r="J1783">
            <v>-180</v>
          </cell>
        </row>
        <row r="1784">
          <cell r="C1784" t="str">
            <v>推广订单扣款</v>
          </cell>
        </row>
        <row r="1784">
          <cell r="H1784" t="str">
            <v>西山店</v>
          </cell>
          <cell r="I1784">
            <v>45996</v>
          </cell>
          <cell r="J1784">
            <v>-161.68</v>
          </cell>
        </row>
        <row r="1785">
          <cell r="C1785" t="str">
            <v>推广订单扣款</v>
          </cell>
        </row>
        <row r="1785">
          <cell r="H1785" t="str">
            <v>首南店</v>
          </cell>
          <cell r="I1785">
            <v>45996</v>
          </cell>
          <cell r="J1785">
            <v>-203.29</v>
          </cell>
        </row>
        <row r="1786">
          <cell r="C1786" t="str">
            <v>推广订单扣款</v>
          </cell>
        </row>
        <row r="1786">
          <cell r="H1786" t="str">
            <v>余杭店</v>
          </cell>
          <cell r="I1786">
            <v>45996</v>
          </cell>
          <cell r="J1786">
            <v>-135.51</v>
          </cell>
        </row>
        <row r="1787">
          <cell r="C1787" t="str">
            <v>推广订单扣款</v>
          </cell>
        </row>
        <row r="1787">
          <cell r="H1787" t="str">
            <v>滨江店</v>
          </cell>
          <cell r="I1787">
            <v>45996</v>
          </cell>
          <cell r="J1787">
            <v>-72.19</v>
          </cell>
        </row>
        <row r="1788">
          <cell r="C1788" t="str">
            <v>推广订单扣款</v>
          </cell>
        </row>
        <row r="1788">
          <cell r="H1788" t="str">
            <v>凤城二路店</v>
          </cell>
          <cell r="I1788">
            <v>45996</v>
          </cell>
          <cell r="J1788">
            <v>-364.08</v>
          </cell>
        </row>
        <row r="1789">
          <cell r="C1789" t="str">
            <v>推广账户自动充值</v>
          </cell>
        </row>
        <row r="1789">
          <cell r="H1789" t="str">
            <v>观桥店</v>
          </cell>
          <cell r="I1789">
            <v>45996</v>
          </cell>
          <cell r="J1789">
            <v>200</v>
          </cell>
        </row>
        <row r="1790">
          <cell r="C1790" t="str">
            <v>推广账户自动充值</v>
          </cell>
        </row>
        <row r="1790">
          <cell r="H1790" t="str">
            <v>文昌店</v>
          </cell>
          <cell r="I1790">
            <v>45996</v>
          </cell>
          <cell r="J1790">
            <v>200</v>
          </cell>
        </row>
        <row r="1791">
          <cell r="C1791" t="str">
            <v>推广账户自动充值</v>
          </cell>
        </row>
        <row r="1791">
          <cell r="H1791" t="str">
            <v>黄雁村店</v>
          </cell>
          <cell r="I1791">
            <v>45996</v>
          </cell>
          <cell r="J1791">
            <v>200</v>
          </cell>
        </row>
        <row r="1792">
          <cell r="C1792" t="str">
            <v>推广账户自动充值</v>
          </cell>
        </row>
        <row r="1792">
          <cell r="H1792" t="str">
            <v>济南店</v>
          </cell>
          <cell r="I1792">
            <v>45996</v>
          </cell>
          <cell r="J1792">
            <v>200</v>
          </cell>
        </row>
        <row r="1793">
          <cell r="C1793" t="str">
            <v>推广账户自动充值</v>
          </cell>
        </row>
        <row r="1793">
          <cell r="H1793" t="str">
            <v>长沙店</v>
          </cell>
          <cell r="I1793">
            <v>45996</v>
          </cell>
          <cell r="J1793">
            <v>200</v>
          </cell>
        </row>
        <row r="1794">
          <cell r="C1794" t="str">
            <v>推广账户自动充值</v>
          </cell>
        </row>
        <row r="1794">
          <cell r="H1794" t="str">
            <v>华信店</v>
          </cell>
          <cell r="I1794">
            <v>45996</v>
          </cell>
          <cell r="J1794">
            <v>200</v>
          </cell>
        </row>
        <row r="1795">
          <cell r="C1795" t="str">
            <v>推广账户自动充值</v>
          </cell>
        </row>
        <row r="1795">
          <cell r="H1795" t="str">
            <v>鼓楼店</v>
          </cell>
          <cell r="I1795">
            <v>45996</v>
          </cell>
          <cell r="J1795">
            <v>200</v>
          </cell>
        </row>
        <row r="1796">
          <cell r="C1796" t="str">
            <v>推广账户自动充值</v>
          </cell>
        </row>
        <row r="1796">
          <cell r="H1796" t="str">
            <v>海口店</v>
          </cell>
          <cell r="I1796">
            <v>45996</v>
          </cell>
          <cell r="J1796">
            <v>200</v>
          </cell>
        </row>
        <row r="1797">
          <cell r="C1797" t="str">
            <v>推广账户自动充值</v>
          </cell>
        </row>
        <row r="1797">
          <cell r="H1797" t="str">
            <v>凤城二路店</v>
          </cell>
          <cell r="I1797">
            <v>45996</v>
          </cell>
          <cell r="J1797">
            <v>200</v>
          </cell>
        </row>
        <row r="1798">
          <cell r="C1798" t="str">
            <v>推广账户自动充值</v>
          </cell>
        </row>
        <row r="1798">
          <cell r="H1798" t="str">
            <v>东海店</v>
          </cell>
          <cell r="I1798">
            <v>45996</v>
          </cell>
          <cell r="J1798">
            <v>200</v>
          </cell>
        </row>
        <row r="1799">
          <cell r="C1799" t="str">
            <v>推广账户自动充值</v>
          </cell>
        </row>
        <row r="1799">
          <cell r="H1799" t="str">
            <v>五路口店</v>
          </cell>
          <cell r="I1799">
            <v>45996</v>
          </cell>
          <cell r="J1799">
            <v>200</v>
          </cell>
        </row>
        <row r="1800">
          <cell r="C1800" t="str">
            <v>推广账户自动充值</v>
          </cell>
        </row>
        <row r="1800">
          <cell r="H1800" t="str">
            <v>东新店</v>
          </cell>
          <cell r="I1800">
            <v>45996</v>
          </cell>
          <cell r="J1800">
            <v>200</v>
          </cell>
        </row>
        <row r="1801">
          <cell r="C1801" t="str">
            <v>推广账户自动充值</v>
          </cell>
        </row>
        <row r="1801">
          <cell r="H1801" t="str">
            <v>文灶店</v>
          </cell>
          <cell r="I1801">
            <v>45996</v>
          </cell>
          <cell r="J1801">
            <v>200</v>
          </cell>
        </row>
        <row r="1802">
          <cell r="C1802" t="str">
            <v>推广账户自动充值</v>
          </cell>
        </row>
        <row r="1802">
          <cell r="H1802" t="str">
            <v>西湖店</v>
          </cell>
          <cell r="I1802">
            <v>45996</v>
          </cell>
          <cell r="J1802">
            <v>200</v>
          </cell>
        </row>
        <row r="1803">
          <cell r="C1803" t="str">
            <v>推广账户自动充值</v>
          </cell>
        </row>
        <row r="1803">
          <cell r="H1803" t="str">
            <v>观音桥店</v>
          </cell>
          <cell r="I1803">
            <v>45996</v>
          </cell>
          <cell r="J1803">
            <v>200</v>
          </cell>
        </row>
        <row r="1804">
          <cell r="C1804" t="str">
            <v>推广账户自动充值</v>
          </cell>
        </row>
        <row r="1804">
          <cell r="H1804" t="str">
            <v>大坪店</v>
          </cell>
          <cell r="I1804">
            <v>45996</v>
          </cell>
          <cell r="J1804">
            <v>200</v>
          </cell>
        </row>
        <row r="1805">
          <cell r="C1805" t="str">
            <v>推广账户自动充值</v>
          </cell>
        </row>
        <row r="1805">
          <cell r="H1805" t="str">
            <v>五华店</v>
          </cell>
          <cell r="I1805">
            <v>45996</v>
          </cell>
          <cell r="J1805">
            <v>200</v>
          </cell>
        </row>
        <row r="1806">
          <cell r="C1806" t="str">
            <v>推广账户自动充值</v>
          </cell>
        </row>
        <row r="1806">
          <cell r="H1806" t="str">
            <v>黄雁村店</v>
          </cell>
          <cell r="I1806">
            <v>45996</v>
          </cell>
          <cell r="J1806">
            <v>200</v>
          </cell>
        </row>
        <row r="1807">
          <cell r="C1807" t="str">
            <v>推广账户自动充值</v>
          </cell>
        </row>
        <row r="1807">
          <cell r="H1807" t="str">
            <v>余杭店</v>
          </cell>
          <cell r="I1807">
            <v>45996</v>
          </cell>
          <cell r="J1807">
            <v>200</v>
          </cell>
        </row>
        <row r="1808">
          <cell r="C1808" t="str">
            <v>推广账户自动充值</v>
          </cell>
        </row>
        <row r="1808">
          <cell r="H1808" t="str">
            <v>首山店</v>
          </cell>
          <cell r="I1808">
            <v>45996</v>
          </cell>
          <cell r="J1808">
            <v>200</v>
          </cell>
        </row>
        <row r="1809">
          <cell r="C1809" t="str">
            <v>推广账户自动充值</v>
          </cell>
        </row>
        <row r="1809">
          <cell r="H1809" t="str">
            <v>首南店</v>
          </cell>
          <cell r="I1809">
            <v>45996</v>
          </cell>
          <cell r="J1809">
            <v>200</v>
          </cell>
        </row>
        <row r="1810">
          <cell r="C1810" t="str">
            <v>推广账户自动充值</v>
          </cell>
        </row>
        <row r="1810">
          <cell r="H1810" t="str">
            <v>百丈店</v>
          </cell>
          <cell r="I1810">
            <v>45996</v>
          </cell>
          <cell r="J1810">
            <v>200</v>
          </cell>
        </row>
        <row r="1811">
          <cell r="C1811" t="str">
            <v>推广账户自动充值</v>
          </cell>
        </row>
        <row r="1811">
          <cell r="H1811" t="str">
            <v>湖里店</v>
          </cell>
          <cell r="I1811">
            <v>45996</v>
          </cell>
          <cell r="J1811">
            <v>200</v>
          </cell>
        </row>
        <row r="1812">
          <cell r="C1812" t="str">
            <v>推广账户自动充值</v>
          </cell>
        </row>
        <row r="1812">
          <cell r="H1812" t="str">
            <v>沙坪坝店</v>
          </cell>
          <cell r="I1812">
            <v>45996</v>
          </cell>
          <cell r="J1812">
            <v>200</v>
          </cell>
        </row>
        <row r="1813">
          <cell r="C1813" t="str">
            <v>推广账户自动充值</v>
          </cell>
        </row>
        <row r="1813">
          <cell r="H1813" t="str">
            <v>五路口店</v>
          </cell>
          <cell r="I1813">
            <v>45996</v>
          </cell>
          <cell r="J1813">
            <v>200</v>
          </cell>
        </row>
        <row r="1814">
          <cell r="C1814" t="str">
            <v>推广账户自动充值</v>
          </cell>
        </row>
        <row r="1814">
          <cell r="H1814" t="str">
            <v>启点店</v>
          </cell>
          <cell r="I1814">
            <v>45996</v>
          </cell>
          <cell r="J1814">
            <v>200</v>
          </cell>
        </row>
        <row r="1815">
          <cell r="C1815" t="str">
            <v>推广账户自动充值</v>
          </cell>
        </row>
        <row r="1815">
          <cell r="H1815" t="str">
            <v>西山店</v>
          </cell>
          <cell r="I1815">
            <v>45996</v>
          </cell>
          <cell r="J1815">
            <v>200</v>
          </cell>
        </row>
        <row r="1816">
          <cell r="C1816" t="str">
            <v>推广账户自动充值</v>
          </cell>
        </row>
        <row r="1816">
          <cell r="H1816" t="str">
            <v>成华店</v>
          </cell>
          <cell r="I1816">
            <v>45996</v>
          </cell>
          <cell r="J1816">
            <v>200</v>
          </cell>
        </row>
        <row r="1817">
          <cell r="C1817" t="str">
            <v>推广订单扣款</v>
          </cell>
        </row>
        <row r="1817">
          <cell r="H1817" t="str">
            <v>鼓楼店</v>
          </cell>
          <cell r="I1817">
            <v>45997</v>
          </cell>
          <cell r="J1817">
            <v>-175.25</v>
          </cell>
        </row>
        <row r="1818">
          <cell r="C1818" t="str">
            <v>推广订单扣款</v>
          </cell>
        </row>
        <row r="1818">
          <cell r="H1818" t="str">
            <v>首山店</v>
          </cell>
          <cell r="I1818">
            <v>45997</v>
          </cell>
          <cell r="J1818">
            <v>-133.39</v>
          </cell>
        </row>
        <row r="1819">
          <cell r="C1819" t="str">
            <v>推广订单扣款</v>
          </cell>
        </row>
        <row r="1819">
          <cell r="H1819" t="str">
            <v>西湖店</v>
          </cell>
          <cell r="I1819">
            <v>45997</v>
          </cell>
          <cell r="J1819">
            <v>-169.21</v>
          </cell>
        </row>
        <row r="1820">
          <cell r="C1820" t="str">
            <v>推广订单扣款</v>
          </cell>
        </row>
        <row r="1820">
          <cell r="H1820" t="str">
            <v>洛江店</v>
          </cell>
          <cell r="I1820">
            <v>45997</v>
          </cell>
          <cell r="J1820">
            <v>-43.2</v>
          </cell>
        </row>
        <row r="1821">
          <cell r="C1821" t="str">
            <v>推广订单扣款</v>
          </cell>
        </row>
        <row r="1821">
          <cell r="H1821" t="str">
            <v>长沙店</v>
          </cell>
          <cell r="I1821">
            <v>45997</v>
          </cell>
          <cell r="J1821">
            <v>-129.18</v>
          </cell>
        </row>
        <row r="1822">
          <cell r="C1822" t="str">
            <v>推广订单扣款</v>
          </cell>
        </row>
        <row r="1822">
          <cell r="H1822" t="str">
            <v>五路口店</v>
          </cell>
          <cell r="I1822">
            <v>45997</v>
          </cell>
          <cell r="J1822">
            <v>-362.1</v>
          </cell>
        </row>
        <row r="1823">
          <cell r="C1823" t="str">
            <v>推广订单扣款</v>
          </cell>
        </row>
        <row r="1823">
          <cell r="H1823" t="str">
            <v>五华店</v>
          </cell>
          <cell r="I1823">
            <v>45997</v>
          </cell>
          <cell r="J1823">
            <v>-67.69</v>
          </cell>
        </row>
        <row r="1824">
          <cell r="C1824" t="str">
            <v>推广订单扣款</v>
          </cell>
        </row>
        <row r="1824">
          <cell r="H1824" t="str">
            <v>海口店</v>
          </cell>
          <cell r="I1824">
            <v>45997</v>
          </cell>
          <cell r="J1824">
            <v>-200</v>
          </cell>
        </row>
        <row r="1825">
          <cell r="C1825" t="str">
            <v>推广订单扣款</v>
          </cell>
        </row>
        <row r="1825">
          <cell r="H1825" t="str">
            <v>百丈店</v>
          </cell>
          <cell r="I1825">
            <v>45997</v>
          </cell>
          <cell r="J1825">
            <v>-173.24</v>
          </cell>
        </row>
        <row r="1826">
          <cell r="C1826" t="str">
            <v>推广订单扣款</v>
          </cell>
        </row>
        <row r="1826">
          <cell r="H1826" t="str">
            <v>东新店</v>
          </cell>
          <cell r="I1826">
            <v>45997</v>
          </cell>
          <cell r="J1826">
            <v>-276.54</v>
          </cell>
        </row>
        <row r="1827">
          <cell r="C1827" t="str">
            <v>推广订单扣款</v>
          </cell>
        </row>
        <row r="1827">
          <cell r="H1827" t="str">
            <v>沙坪坝店</v>
          </cell>
          <cell r="I1827">
            <v>45997</v>
          </cell>
          <cell r="J1827">
            <v>-111.99</v>
          </cell>
        </row>
        <row r="1828">
          <cell r="C1828" t="str">
            <v>推广订单扣款</v>
          </cell>
        </row>
        <row r="1828">
          <cell r="H1828" t="str">
            <v>官渡店</v>
          </cell>
          <cell r="I1828">
            <v>45997</v>
          </cell>
          <cell r="J1828">
            <v>-21.08</v>
          </cell>
        </row>
        <row r="1829">
          <cell r="C1829" t="str">
            <v>推广订单扣款</v>
          </cell>
        </row>
        <row r="1829">
          <cell r="H1829" t="str">
            <v>东海店</v>
          </cell>
          <cell r="I1829">
            <v>45997</v>
          </cell>
          <cell r="J1829">
            <v>-200</v>
          </cell>
        </row>
        <row r="1830">
          <cell r="C1830" t="str">
            <v>推广订单扣款</v>
          </cell>
        </row>
        <row r="1830">
          <cell r="H1830" t="str">
            <v>文灶店</v>
          </cell>
          <cell r="I1830">
            <v>45997</v>
          </cell>
          <cell r="J1830">
            <v>-184.92</v>
          </cell>
        </row>
        <row r="1831">
          <cell r="C1831" t="str">
            <v>推广订单扣款</v>
          </cell>
        </row>
        <row r="1831">
          <cell r="H1831" t="str">
            <v>百捷店</v>
          </cell>
          <cell r="I1831">
            <v>45997</v>
          </cell>
          <cell r="J1831">
            <v>-38.29</v>
          </cell>
        </row>
        <row r="1832">
          <cell r="C1832" t="str">
            <v>推广订单扣款</v>
          </cell>
        </row>
        <row r="1832">
          <cell r="H1832" t="str">
            <v>启点店</v>
          </cell>
          <cell r="I1832">
            <v>45997</v>
          </cell>
          <cell r="J1832">
            <v>-176.62</v>
          </cell>
        </row>
        <row r="1833">
          <cell r="C1833" t="str">
            <v>推广订单扣款</v>
          </cell>
        </row>
        <row r="1833">
          <cell r="H1833" t="str">
            <v>诚毅店</v>
          </cell>
          <cell r="I1833">
            <v>45997</v>
          </cell>
          <cell r="J1833">
            <v>-159.22</v>
          </cell>
        </row>
        <row r="1834">
          <cell r="C1834" t="str">
            <v>推广订单扣款</v>
          </cell>
        </row>
        <row r="1834">
          <cell r="H1834" t="str">
            <v>黄雁村店</v>
          </cell>
          <cell r="I1834">
            <v>45997</v>
          </cell>
          <cell r="J1834">
            <v>-324.53</v>
          </cell>
        </row>
        <row r="1835">
          <cell r="C1835" t="str">
            <v>推广订单扣款</v>
          </cell>
        </row>
        <row r="1835">
          <cell r="H1835" t="str">
            <v>成华店</v>
          </cell>
          <cell r="I1835">
            <v>45997</v>
          </cell>
          <cell r="J1835">
            <v>-88.03</v>
          </cell>
        </row>
        <row r="1836">
          <cell r="C1836" t="str">
            <v>推广订单扣款</v>
          </cell>
        </row>
        <row r="1836">
          <cell r="H1836" t="str">
            <v>观桥店</v>
          </cell>
          <cell r="I1836">
            <v>45997</v>
          </cell>
          <cell r="J1836">
            <v>-116.12</v>
          </cell>
        </row>
        <row r="1837">
          <cell r="C1837" t="str">
            <v>推广订单扣款</v>
          </cell>
        </row>
        <row r="1837">
          <cell r="H1837" t="str">
            <v>济南店</v>
          </cell>
          <cell r="I1837">
            <v>45997</v>
          </cell>
          <cell r="J1837">
            <v>-181.04</v>
          </cell>
        </row>
        <row r="1838">
          <cell r="C1838" t="str">
            <v>推广订单扣款</v>
          </cell>
        </row>
        <row r="1838">
          <cell r="H1838" t="str">
            <v>大坪店</v>
          </cell>
          <cell r="I1838">
            <v>45997</v>
          </cell>
          <cell r="J1838">
            <v>-228.8</v>
          </cell>
        </row>
        <row r="1839">
          <cell r="C1839" t="str">
            <v>推广订单扣款</v>
          </cell>
        </row>
        <row r="1839">
          <cell r="H1839" t="str">
            <v>文昌店</v>
          </cell>
          <cell r="I1839">
            <v>45997</v>
          </cell>
          <cell r="J1839">
            <v>-200.32</v>
          </cell>
        </row>
        <row r="1840">
          <cell r="C1840" t="str">
            <v>推广订单扣款</v>
          </cell>
        </row>
        <row r="1840">
          <cell r="H1840" t="str">
            <v>高新店</v>
          </cell>
          <cell r="I1840">
            <v>45997</v>
          </cell>
          <cell r="J1840">
            <v>-99.49</v>
          </cell>
        </row>
        <row r="1841">
          <cell r="C1841" t="str">
            <v>推广订单扣款</v>
          </cell>
        </row>
        <row r="1841">
          <cell r="H1841" t="str">
            <v>金牛店</v>
          </cell>
          <cell r="I1841">
            <v>45997</v>
          </cell>
          <cell r="J1841">
            <v>-77.43</v>
          </cell>
        </row>
        <row r="1842">
          <cell r="C1842" t="str">
            <v>推广订单扣款</v>
          </cell>
        </row>
        <row r="1842">
          <cell r="H1842" t="str">
            <v>观音桥店</v>
          </cell>
          <cell r="I1842">
            <v>45997</v>
          </cell>
          <cell r="J1842">
            <v>-356.26</v>
          </cell>
        </row>
        <row r="1843">
          <cell r="C1843" t="str">
            <v>推广订单扣款</v>
          </cell>
        </row>
        <row r="1843">
          <cell r="H1843" t="str">
            <v>湖里店</v>
          </cell>
          <cell r="I1843">
            <v>45997</v>
          </cell>
          <cell r="J1843">
            <v>-166.51</v>
          </cell>
        </row>
        <row r="1844">
          <cell r="C1844" t="str">
            <v>推广订单扣款</v>
          </cell>
        </row>
        <row r="1844">
          <cell r="H1844" t="str">
            <v>武侯店</v>
          </cell>
          <cell r="I1844">
            <v>45997</v>
          </cell>
          <cell r="J1844">
            <v>-37.12</v>
          </cell>
        </row>
        <row r="1845">
          <cell r="C1845" t="str">
            <v>推广订单扣款</v>
          </cell>
        </row>
        <row r="1845">
          <cell r="H1845" t="str">
            <v>华信店</v>
          </cell>
          <cell r="I1845">
            <v>45997</v>
          </cell>
          <cell r="J1845">
            <v>-180</v>
          </cell>
        </row>
        <row r="1846">
          <cell r="C1846" t="str">
            <v>推广订单扣款</v>
          </cell>
        </row>
        <row r="1846">
          <cell r="H1846" t="str">
            <v>青羊店</v>
          </cell>
          <cell r="I1846">
            <v>45997</v>
          </cell>
          <cell r="J1846">
            <v>-48.87</v>
          </cell>
        </row>
        <row r="1847">
          <cell r="C1847" t="str">
            <v>推广订单扣款</v>
          </cell>
        </row>
        <row r="1847">
          <cell r="H1847" t="str">
            <v>南安店</v>
          </cell>
          <cell r="I1847">
            <v>45997</v>
          </cell>
          <cell r="J1847">
            <v>-1.6</v>
          </cell>
        </row>
        <row r="1848">
          <cell r="C1848" t="str">
            <v>推广订单扣款</v>
          </cell>
        </row>
        <row r="1848">
          <cell r="H1848" t="str">
            <v>首南店</v>
          </cell>
          <cell r="I1848">
            <v>45997</v>
          </cell>
          <cell r="J1848">
            <v>-168.4</v>
          </cell>
        </row>
        <row r="1849">
          <cell r="C1849" t="str">
            <v>推广订单扣款</v>
          </cell>
        </row>
        <row r="1849">
          <cell r="H1849" t="str">
            <v>西山店</v>
          </cell>
          <cell r="I1849">
            <v>45997</v>
          </cell>
          <cell r="J1849">
            <v>-195.77</v>
          </cell>
        </row>
        <row r="1850">
          <cell r="C1850" t="str">
            <v>推广订单扣款</v>
          </cell>
        </row>
        <row r="1850">
          <cell r="H1850" t="str">
            <v>余杭店</v>
          </cell>
          <cell r="I1850">
            <v>45997</v>
          </cell>
          <cell r="J1850">
            <v>-155.87</v>
          </cell>
        </row>
        <row r="1851">
          <cell r="C1851" t="str">
            <v>推广订单扣款</v>
          </cell>
        </row>
        <row r="1851">
          <cell r="H1851" t="str">
            <v>滨江店</v>
          </cell>
          <cell r="I1851">
            <v>45997</v>
          </cell>
          <cell r="J1851">
            <v>-94.92</v>
          </cell>
        </row>
        <row r="1852">
          <cell r="C1852" t="str">
            <v>推广订单扣款</v>
          </cell>
        </row>
        <row r="1852">
          <cell r="H1852" t="str">
            <v>凤城二路店</v>
          </cell>
          <cell r="I1852">
            <v>45997</v>
          </cell>
          <cell r="J1852">
            <v>-324.16</v>
          </cell>
        </row>
        <row r="1853">
          <cell r="C1853" t="str">
            <v>推广账户自动充值</v>
          </cell>
        </row>
        <row r="1853">
          <cell r="H1853" t="str">
            <v>东新店</v>
          </cell>
          <cell r="I1853">
            <v>45997</v>
          </cell>
          <cell r="J1853">
            <v>200</v>
          </cell>
        </row>
        <row r="1854">
          <cell r="C1854" t="str">
            <v>推广账户自动充值</v>
          </cell>
        </row>
        <row r="1854">
          <cell r="H1854" t="str">
            <v>观音桥店</v>
          </cell>
          <cell r="I1854">
            <v>45997</v>
          </cell>
          <cell r="J1854">
            <v>200</v>
          </cell>
        </row>
        <row r="1855">
          <cell r="C1855" t="str">
            <v>推广账户自动充值</v>
          </cell>
        </row>
        <row r="1855">
          <cell r="H1855" t="str">
            <v>文昌店</v>
          </cell>
          <cell r="I1855">
            <v>45997</v>
          </cell>
          <cell r="J1855">
            <v>200</v>
          </cell>
        </row>
        <row r="1856">
          <cell r="C1856" t="str">
            <v>推广账户自动充值</v>
          </cell>
        </row>
        <row r="1856">
          <cell r="H1856" t="str">
            <v>官渡店</v>
          </cell>
          <cell r="I1856">
            <v>45997</v>
          </cell>
          <cell r="J1856">
            <v>200</v>
          </cell>
        </row>
        <row r="1857">
          <cell r="C1857" t="str">
            <v>推广账户自动充值</v>
          </cell>
        </row>
        <row r="1857">
          <cell r="H1857" t="str">
            <v>高新店</v>
          </cell>
          <cell r="I1857">
            <v>45997</v>
          </cell>
          <cell r="J1857">
            <v>200</v>
          </cell>
        </row>
        <row r="1858">
          <cell r="C1858" t="str">
            <v>推广账户自动充值</v>
          </cell>
        </row>
        <row r="1858">
          <cell r="H1858" t="str">
            <v>金牛店</v>
          </cell>
          <cell r="I1858">
            <v>45997</v>
          </cell>
          <cell r="J1858">
            <v>200</v>
          </cell>
        </row>
        <row r="1859">
          <cell r="C1859" t="str">
            <v>推广账户自动充值</v>
          </cell>
        </row>
        <row r="1859">
          <cell r="H1859" t="str">
            <v>诚毅店</v>
          </cell>
          <cell r="I1859">
            <v>45997</v>
          </cell>
          <cell r="J1859">
            <v>200</v>
          </cell>
        </row>
        <row r="1860">
          <cell r="C1860" t="str">
            <v>推广账户自动充值</v>
          </cell>
        </row>
        <row r="1860">
          <cell r="H1860" t="str">
            <v>凤城二路店</v>
          </cell>
          <cell r="I1860">
            <v>45997</v>
          </cell>
          <cell r="J1860">
            <v>200</v>
          </cell>
        </row>
        <row r="1861">
          <cell r="C1861" t="str">
            <v>推广账户自动充值</v>
          </cell>
        </row>
        <row r="1861">
          <cell r="H1861" t="str">
            <v>济南店</v>
          </cell>
          <cell r="I1861">
            <v>45997</v>
          </cell>
          <cell r="J1861">
            <v>200</v>
          </cell>
        </row>
        <row r="1862">
          <cell r="C1862" t="str">
            <v>推广账户自动充值</v>
          </cell>
        </row>
        <row r="1862">
          <cell r="H1862" t="str">
            <v>华信店</v>
          </cell>
          <cell r="I1862">
            <v>45997</v>
          </cell>
          <cell r="J1862">
            <v>200</v>
          </cell>
        </row>
        <row r="1863">
          <cell r="C1863" t="str">
            <v>推广账户自动充值</v>
          </cell>
        </row>
        <row r="1863">
          <cell r="H1863" t="str">
            <v>海口店</v>
          </cell>
          <cell r="I1863">
            <v>45997</v>
          </cell>
          <cell r="J1863">
            <v>200</v>
          </cell>
        </row>
        <row r="1864">
          <cell r="C1864" t="str">
            <v>推广账户自动充值</v>
          </cell>
        </row>
        <row r="1864">
          <cell r="H1864" t="str">
            <v>滨江店</v>
          </cell>
          <cell r="I1864">
            <v>45997</v>
          </cell>
          <cell r="J1864">
            <v>200</v>
          </cell>
        </row>
        <row r="1865">
          <cell r="C1865" t="str">
            <v>推广账户自动充值</v>
          </cell>
        </row>
        <row r="1865">
          <cell r="H1865" t="str">
            <v>鼓楼店</v>
          </cell>
          <cell r="I1865">
            <v>45997</v>
          </cell>
          <cell r="J1865">
            <v>200</v>
          </cell>
        </row>
        <row r="1866">
          <cell r="C1866" t="str">
            <v>推广账户自动充值</v>
          </cell>
        </row>
        <row r="1866">
          <cell r="H1866" t="str">
            <v>黄雁村店</v>
          </cell>
          <cell r="I1866">
            <v>45997</v>
          </cell>
          <cell r="J1866">
            <v>200</v>
          </cell>
        </row>
        <row r="1867">
          <cell r="C1867" t="str">
            <v>推广账户自动充值</v>
          </cell>
        </row>
        <row r="1867">
          <cell r="H1867" t="str">
            <v>东海店</v>
          </cell>
          <cell r="I1867">
            <v>45997</v>
          </cell>
          <cell r="J1867">
            <v>200</v>
          </cell>
        </row>
        <row r="1868">
          <cell r="C1868" t="str">
            <v>推广账户自动充值</v>
          </cell>
        </row>
        <row r="1868">
          <cell r="H1868" t="str">
            <v>武侯店</v>
          </cell>
          <cell r="I1868">
            <v>45997</v>
          </cell>
          <cell r="J1868">
            <v>200</v>
          </cell>
        </row>
        <row r="1869">
          <cell r="C1869" t="str">
            <v>推广账户自动充值</v>
          </cell>
        </row>
        <row r="1869">
          <cell r="H1869" t="str">
            <v>五路口店</v>
          </cell>
          <cell r="I1869">
            <v>45997</v>
          </cell>
          <cell r="J1869">
            <v>200</v>
          </cell>
        </row>
        <row r="1870">
          <cell r="C1870" t="str">
            <v>推广账户自动充值</v>
          </cell>
        </row>
        <row r="1870">
          <cell r="H1870" t="str">
            <v>西湖店</v>
          </cell>
          <cell r="I1870">
            <v>45997</v>
          </cell>
          <cell r="J1870">
            <v>200</v>
          </cell>
        </row>
        <row r="1871">
          <cell r="C1871" t="str">
            <v>推广账户自动充值</v>
          </cell>
        </row>
        <row r="1871">
          <cell r="H1871" t="str">
            <v>观音桥店</v>
          </cell>
          <cell r="I1871">
            <v>45997</v>
          </cell>
          <cell r="J1871">
            <v>200</v>
          </cell>
        </row>
        <row r="1872">
          <cell r="C1872" t="str">
            <v>推广账户自动充值</v>
          </cell>
        </row>
        <row r="1872">
          <cell r="H1872" t="str">
            <v>余杭店</v>
          </cell>
          <cell r="I1872">
            <v>45997</v>
          </cell>
          <cell r="J1872">
            <v>200</v>
          </cell>
        </row>
        <row r="1873">
          <cell r="C1873" t="str">
            <v>推广账户自动充值</v>
          </cell>
        </row>
        <row r="1873">
          <cell r="H1873" t="str">
            <v>凤城二路店</v>
          </cell>
          <cell r="I1873">
            <v>45997</v>
          </cell>
          <cell r="J1873">
            <v>200</v>
          </cell>
        </row>
        <row r="1874">
          <cell r="C1874" t="str">
            <v>推广账户自动充值</v>
          </cell>
        </row>
        <row r="1874">
          <cell r="H1874" t="str">
            <v>大坪店</v>
          </cell>
          <cell r="I1874">
            <v>45997</v>
          </cell>
          <cell r="J1874">
            <v>200</v>
          </cell>
        </row>
        <row r="1875">
          <cell r="C1875" t="str">
            <v>推广账户自动充值</v>
          </cell>
        </row>
        <row r="1875">
          <cell r="H1875" t="str">
            <v>湖里店</v>
          </cell>
          <cell r="I1875">
            <v>45997</v>
          </cell>
          <cell r="J1875">
            <v>200</v>
          </cell>
        </row>
        <row r="1876">
          <cell r="C1876" t="str">
            <v>推广账户自动充值</v>
          </cell>
        </row>
        <row r="1876">
          <cell r="H1876" t="str">
            <v>东新店</v>
          </cell>
          <cell r="I1876">
            <v>45997</v>
          </cell>
          <cell r="J1876">
            <v>200</v>
          </cell>
        </row>
        <row r="1877">
          <cell r="C1877" t="str">
            <v>推广账户自动充值</v>
          </cell>
        </row>
        <row r="1877">
          <cell r="H1877" t="str">
            <v>文灶店</v>
          </cell>
          <cell r="I1877">
            <v>45997</v>
          </cell>
          <cell r="J1877">
            <v>200</v>
          </cell>
        </row>
        <row r="1878">
          <cell r="C1878" t="str">
            <v>推广账户自动充值</v>
          </cell>
        </row>
        <row r="1878">
          <cell r="H1878" t="str">
            <v>黄雁村店</v>
          </cell>
          <cell r="I1878">
            <v>45997</v>
          </cell>
          <cell r="J1878">
            <v>200</v>
          </cell>
        </row>
        <row r="1879">
          <cell r="C1879" t="str">
            <v>推广账户自动充值</v>
          </cell>
        </row>
        <row r="1879">
          <cell r="H1879" t="str">
            <v>首南店</v>
          </cell>
          <cell r="I1879">
            <v>45997</v>
          </cell>
          <cell r="J1879">
            <v>200</v>
          </cell>
        </row>
        <row r="1880">
          <cell r="C1880" t="str">
            <v>推广账户自动充值</v>
          </cell>
        </row>
        <row r="1880">
          <cell r="H1880" t="str">
            <v>五华店</v>
          </cell>
          <cell r="I1880">
            <v>45997</v>
          </cell>
          <cell r="J1880">
            <v>200</v>
          </cell>
        </row>
        <row r="1881">
          <cell r="C1881" t="str">
            <v>推广账户自动充值</v>
          </cell>
        </row>
        <row r="1881">
          <cell r="H1881" t="str">
            <v>百丈店</v>
          </cell>
          <cell r="I1881">
            <v>45997</v>
          </cell>
          <cell r="J1881">
            <v>200</v>
          </cell>
        </row>
        <row r="1882">
          <cell r="C1882" t="str">
            <v>推广账户自动充值</v>
          </cell>
        </row>
        <row r="1882">
          <cell r="H1882" t="str">
            <v>启点店</v>
          </cell>
          <cell r="I1882">
            <v>45997</v>
          </cell>
          <cell r="J1882">
            <v>200</v>
          </cell>
        </row>
        <row r="1883">
          <cell r="C1883" t="str">
            <v>推广账户自动充值</v>
          </cell>
        </row>
        <row r="1883">
          <cell r="H1883" t="str">
            <v>五路口店</v>
          </cell>
          <cell r="I1883">
            <v>45997</v>
          </cell>
          <cell r="J1883">
            <v>200</v>
          </cell>
        </row>
        <row r="1884">
          <cell r="C1884" t="str">
            <v>推广账户自动充值</v>
          </cell>
        </row>
        <row r="1884">
          <cell r="H1884" t="str">
            <v>首山店</v>
          </cell>
          <cell r="I1884">
            <v>45997</v>
          </cell>
          <cell r="J1884">
            <v>200</v>
          </cell>
        </row>
        <row r="1885">
          <cell r="C1885" t="str">
            <v>推广账户自动充值</v>
          </cell>
        </row>
        <row r="1885">
          <cell r="H1885" t="str">
            <v>文昌店</v>
          </cell>
          <cell r="I1885">
            <v>45997</v>
          </cell>
          <cell r="J1885">
            <v>200</v>
          </cell>
        </row>
        <row r="1886">
          <cell r="C1886" t="str">
            <v>推广订单扣款</v>
          </cell>
        </row>
        <row r="1886">
          <cell r="H1886" t="str">
            <v>鼓楼店</v>
          </cell>
          <cell r="I1886">
            <v>45998</v>
          </cell>
          <cell r="J1886">
            <v>-225.45</v>
          </cell>
        </row>
        <row r="1887">
          <cell r="C1887" t="str">
            <v>推广订单扣款</v>
          </cell>
        </row>
        <row r="1887">
          <cell r="H1887" t="str">
            <v>首山店</v>
          </cell>
          <cell r="I1887">
            <v>45998</v>
          </cell>
          <cell r="J1887">
            <v>-184.26</v>
          </cell>
        </row>
        <row r="1888">
          <cell r="C1888" t="str">
            <v>推广订单扣款</v>
          </cell>
        </row>
        <row r="1888">
          <cell r="H1888" t="str">
            <v>西湖店</v>
          </cell>
          <cell r="I1888">
            <v>45998</v>
          </cell>
          <cell r="J1888">
            <v>-215.15</v>
          </cell>
        </row>
        <row r="1889">
          <cell r="C1889" t="str">
            <v>推广订单扣款</v>
          </cell>
        </row>
        <row r="1889">
          <cell r="H1889" t="str">
            <v>长沙店</v>
          </cell>
          <cell r="I1889">
            <v>45998</v>
          </cell>
          <cell r="J1889">
            <v>-112.29</v>
          </cell>
        </row>
        <row r="1890">
          <cell r="C1890" t="str">
            <v>推广订单扣款</v>
          </cell>
        </row>
        <row r="1890">
          <cell r="H1890" t="str">
            <v>五路口店</v>
          </cell>
          <cell r="I1890">
            <v>45998</v>
          </cell>
          <cell r="J1890">
            <v>-400.86</v>
          </cell>
        </row>
        <row r="1891">
          <cell r="C1891" t="str">
            <v>推广订单扣款</v>
          </cell>
        </row>
        <row r="1891">
          <cell r="H1891" t="str">
            <v>五华店</v>
          </cell>
          <cell r="I1891">
            <v>45998</v>
          </cell>
          <cell r="J1891">
            <v>-174.55</v>
          </cell>
        </row>
        <row r="1892">
          <cell r="C1892" t="str">
            <v>推广订单扣款</v>
          </cell>
        </row>
        <row r="1892">
          <cell r="H1892" t="str">
            <v>海口店</v>
          </cell>
          <cell r="I1892">
            <v>45998</v>
          </cell>
          <cell r="J1892">
            <v>-200</v>
          </cell>
        </row>
        <row r="1893">
          <cell r="C1893" t="str">
            <v>推广订单扣款</v>
          </cell>
        </row>
        <row r="1893">
          <cell r="H1893" t="str">
            <v>百丈店</v>
          </cell>
          <cell r="I1893">
            <v>45998</v>
          </cell>
          <cell r="J1893">
            <v>-172.56</v>
          </cell>
        </row>
        <row r="1894">
          <cell r="C1894" t="str">
            <v>推广订单扣款</v>
          </cell>
        </row>
        <row r="1894">
          <cell r="H1894" t="str">
            <v>东新店</v>
          </cell>
          <cell r="I1894">
            <v>45998</v>
          </cell>
          <cell r="J1894">
            <v>-285.59</v>
          </cell>
        </row>
        <row r="1895">
          <cell r="C1895" t="str">
            <v>推广订单扣款</v>
          </cell>
        </row>
        <row r="1895">
          <cell r="H1895" t="str">
            <v>沙坪坝店</v>
          </cell>
          <cell r="I1895">
            <v>45998</v>
          </cell>
          <cell r="J1895">
            <v>-146.14</v>
          </cell>
        </row>
        <row r="1896">
          <cell r="C1896" t="str">
            <v>推广订单扣款</v>
          </cell>
        </row>
        <row r="1896">
          <cell r="H1896" t="str">
            <v>东海店</v>
          </cell>
          <cell r="I1896">
            <v>45998</v>
          </cell>
          <cell r="J1896">
            <v>-200</v>
          </cell>
        </row>
        <row r="1897">
          <cell r="C1897" t="str">
            <v>推广订单扣款</v>
          </cell>
        </row>
        <row r="1897">
          <cell r="H1897" t="str">
            <v>官渡店</v>
          </cell>
          <cell r="I1897">
            <v>45998</v>
          </cell>
          <cell r="J1897">
            <v>-138.9</v>
          </cell>
        </row>
        <row r="1898">
          <cell r="C1898" t="str">
            <v>推广订单扣款</v>
          </cell>
        </row>
        <row r="1898">
          <cell r="H1898" t="str">
            <v>百捷店</v>
          </cell>
          <cell r="I1898">
            <v>45998</v>
          </cell>
          <cell r="J1898">
            <v>-61.68</v>
          </cell>
        </row>
        <row r="1899">
          <cell r="C1899" t="str">
            <v>推广订单扣款</v>
          </cell>
        </row>
        <row r="1899">
          <cell r="H1899" t="str">
            <v>文灶店</v>
          </cell>
          <cell r="I1899">
            <v>45998</v>
          </cell>
          <cell r="J1899">
            <v>-149</v>
          </cell>
        </row>
        <row r="1900">
          <cell r="C1900" t="str">
            <v>推广订单扣款</v>
          </cell>
        </row>
        <row r="1900">
          <cell r="H1900" t="str">
            <v>启点店</v>
          </cell>
          <cell r="I1900">
            <v>45998</v>
          </cell>
          <cell r="J1900">
            <v>-219.19</v>
          </cell>
        </row>
        <row r="1901">
          <cell r="C1901" t="str">
            <v>推广订单扣款</v>
          </cell>
        </row>
        <row r="1901">
          <cell r="H1901" t="str">
            <v>诚毅店</v>
          </cell>
          <cell r="I1901">
            <v>45998</v>
          </cell>
          <cell r="J1901">
            <v>-174.82</v>
          </cell>
        </row>
        <row r="1902">
          <cell r="C1902" t="str">
            <v>推广订单扣款</v>
          </cell>
        </row>
        <row r="1902">
          <cell r="H1902" t="str">
            <v>黄雁村店</v>
          </cell>
          <cell r="I1902">
            <v>45998</v>
          </cell>
          <cell r="J1902">
            <v>-355.64</v>
          </cell>
        </row>
        <row r="1903">
          <cell r="C1903" t="str">
            <v>推广订单扣款</v>
          </cell>
        </row>
        <row r="1903">
          <cell r="H1903" t="str">
            <v>成华店</v>
          </cell>
          <cell r="I1903">
            <v>45998</v>
          </cell>
          <cell r="J1903">
            <v>-69.44</v>
          </cell>
        </row>
        <row r="1904">
          <cell r="C1904" t="str">
            <v>推广订单扣款</v>
          </cell>
        </row>
        <row r="1904">
          <cell r="H1904" t="str">
            <v>观桥店</v>
          </cell>
          <cell r="I1904">
            <v>45998</v>
          </cell>
          <cell r="J1904">
            <v>-119.09</v>
          </cell>
        </row>
        <row r="1905">
          <cell r="C1905" t="str">
            <v>推广订单扣款</v>
          </cell>
        </row>
        <row r="1905">
          <cell r="H1905" t="str">
            <v>济南店</v>
          </cell>
          <cell r="I1905">
            <v>45998</v>
          </cell>
          <cell r="J1905">
            <v>-190</v>
          </cell>
        </row>
        <row r="1906">
          <cell r="C1906" t="str">
            <v>推广订单扣款</v>
          </cell>
        </row>
        <row r="1906">
          <cell r="H1906" t="str">
            <v>大坪店</v>
          </cell>
          <cell r="I1906">
            <v>45998</v>
          </cell>
          <cell r="J1906">
            <v>-139.16</v>
          </cell>
        </row>
        <row r="1907">
          <cell r="C1907" t="str">
            <v>推广订单扣款</v>
          </cell>
        </row>
        <row r="1907">
          <cell r="H1907" t="str">
            <v>文昌店</v>
          </cell>
          <cell r="I1907">
            <v>45998</v>
          </cell>
          <cell r="J1907">
            <v>-234.33</v>
          </cell>
        </row>
        <row r="1908">
          <cell r="C1908" t="str">
            <v>推广订单扣款</v>
          </cell>
        </row>
        <row r="1908">
          <cell r="H1908" t="str">
            <v>高新店</v>
          </cell>
          <cell r="I1908">
            <v>45998</v>
          </cell>
          <cell r="J1908">
            <v>-79.85</v>
          </cell>
        </row>
        <row r="1909">
          <cell r="C1909" t="str">
            <v>推广订单扣款</v>
          </cell>
        </row>
        <row r="1909">
          <cell r="H1909" t="str">
            <v>金牛店</v>
          </cell>
          <cell r="I1909">
            <v>45998</v>
          </cell>
          <cell r="J1909">
            <v>-100.61</v>
          </cell>
        </row>
        <row r="1910">
          <cell r="C1910" t="str">
            <v>推广订单扣款</v>
          </cell>
        </row>
        <row r="1910">
          <cell r="H1910" t="str">
            <v>观音桥店</v>
          </cell>
          <cell r="I1910">
            <v>45998</v>
          </cell>
          <cell r="J1910">
            <v>-261</v>
          </cell>
        </row>
        <row r="1911">
          <cell r="C1911" t="str">
            <v>推广订单扣款</v>
          </cell>
        </row>
        <row r="1911">
          <cell r="H1911" t="str">
            <v>湖里店</v>
          </cell>
          <cell r="I1911">
            <v>45998</v>
          </cell>
          <cell r="J1911">
            <v>-236.07</v>
          </cell>
        </row>
        <row r="1912">
          <cell r="C1912" t="str">
            <v>推广订单扣款</v>
          </cell>
        </row>
        <row r="1912">
          <cell r="H1912" t="str">
            <v>武侯店</v>
          </cell>
          <cell r="I1912">
            <v>45998</v>
          </cell>
          <cell r="J1912">
            <v>-34.49</v>
          </cell>
        </row>
        <row r="1913">
          <cell r="C1913" t="str">
            <v>推广订单扣款</v>
          </cell>
        </row>
        <row r="1913">
          <cell r="H1913" t="str">
            <v>首南店</v>
          </cell>
          <cell r="I1913">
            <v>45998</v>
          </cell>
          <cell r="J1913">
            <v>-225.04</v>
          </cell>
        </row>
        <row r="1914">
          <cell r="C1914" t="str">
            <v>推广订单扣款</v>
          </cell>
        </row>
        <row r="1914">
          <cell r="H1914" t="str">
            <v>华信店</v>
          </cell>
          <cell r="I1914">
            <v>45998</v>
          </cell>
          <cell r="J1914">
            <v>-180</v>
          </cell>
        </row>
        <row r="1915">
          <cell r="C1915" t="str">
            <v>推广订单扣款</v>
          </cell>
        </row>
        <row r="1915">
          <cell r="H1915" t="str">
            <v>青羊店</v>
          </cell>
          <cell r="I1915">
            <v>45998</v>
          </cell>
          <cell r="J1915">
            <v>-49.65</v>
          </cell>
        </row>
        <row r="1916">
          <cell r="C1916" t="str">
            <v>推广订单扣款</v>
          </cell>
        </row>
        <row r="1916">
          <cell r="H1916" t="str">
            <v>西山店</v>
          </cell>
          <cell r="I1916">
            <v>45998</v>
          </cell>
          <cell r="J1916">
            <v>-157.19</v>
          </cell>
        </row>
        <row r="1917">
          <cell r="C1917" t="str">
            <v>推广订单扣款</v>
          </cell>
        </row>
        <row r="1917">
          <cell r="H1917" t="str">
            <v>滨江店</v>
          </cell>
          <cell r="I1917">
            <v>45998</v>
          </cell>
          <cell r="J1917">
            <v>-118.3</v>
          </cell>
        </row>
        <row r="1918">
          <cell r="C1918" t="str">
            <v>推广订单扣款</v>
          </cell>
        </row>
        <row r="1918">
          <cell r="H1918" t="str">
            <v>余杭店</v>
          </cell>
          <cell r="I1918">
            <v>45998</v>
          </cell>
          <cell r="J1918">
            <v>-280.49</v>
          </cell>
        </row>
        <row r="1919">
          <cell r="C1919" t="str">
            <v>推广订单扣款</v>
          </cell>
        </row>
        <row r="1919">
          <cell r="H1919" t="str">
            <v>凤城二路店</v>
          </cell>
          <cell r="I1919">
            <v>45998</v>
          </cell>
          <cell r="J1919">
            <v>-381.61</v>
          </cell>
        </row>
        <row r="1920">
          <cell r="C1920" t="str">
            <v>推广订单扣款</v>
          </cell>
        </row>
        <row r="1920">
          <cell r="H1920" t="str">
            <v>湖里店</v>
          </cell>
          <cell r="I1920">
            <v>45999</v>
          </cell>
          <cell r="J1920">
            <v>-225.42</v>
          </cell>
        </row>
        <row r="1921">
          <cell r="C1921" t="str">
            <v>推广订单扣款</v>
          </cell>
        </row>
        <row r="1921">
          <cell r="H1921" t="str">
            <v>东新店</v>
          </cell>
          <cell r="I1921">
            <v>45999</v>
          </cell>
          <cell r="J1921">
            <v>-335.43</v>
          </cell>
        </row>
        <row r="1922">
          <cell r="C1922" t="str">
            <v>推广订单扣款</v>
          </cell>
        </row>
        <row r="1922">
          <cell r="H1922" t="str">
            <v>启点店</v>
          </cell>
          <cell r="I1922">
            <v>45999</v>
          </cell>
          <cell r="J1922">
            <v>-220.66</v>
          </cell>
        </row>
        <row r="1923">
          <cell r="C1923" t="str">
            <v>推广订单扣款</v>
          </cell>
        </row>
        <row r="1923">
          <cell r="H1923" t="str">
            <v>高新店</v>
          </cell>
          <cell r="I1923">
            <v>45999</v>
          </cell>
          <cell r="J1923">
            <v>-148.04</v>
          </cell>
        </row>
        <row r="1924">
          <cell r="C1924" t="str">
            <v>推广订单扣款</v>
          </cell>
        </row>
        <row r="1924">
          <cell r="H1924" t="str">
            <v>成华店</v>
          </cell>
          <cell r="I1924">
            <v>45999</v>
          </cell>
          <cell r="J1924">
            <v>-93.91</v>
          </cell>
        </row>
        <row r="1925">
          <cell r="C1925" t="str">
            <v>推广订单扣款</v>
          </cell>
        </row>
        <row r="1925">
          <cell r="H1925" t="str">
            <v>金牛店</v>
          </cell>
          <cell r="I1925">
            <v>45999</v>
          </cell>
          <cell r="J1925">
            <v>-147.5</v>
          </cell>
        </row>
        <row r="1926">
          <cell r="C1926" t="str">
            <v>推广订单扣款</v>
          </cell>
        </row>
        <row r="1926">
          <cell r="H1926" t="str">
            <v>西山店</v>
          </cell>
          <cell r="I1926">
            <v>45999</v>
          </cell>
          <cell r="J1926">
            <v>-149.95</v>
          </cell>
        </row>
        <row r="1927">
          <cell r="C1927" t="str">
            <v>推广订单扣款</v>
          </cell>
        </row>
        <row r="1927">
          <cell r="H1927" t="str">
            <v>沙坪坝店</v>
          </cell>
          <cell r="I1927">
            <v>45999</v>
          </cell>
          <cell r="J1927">
            <v>-125.53</v>
          </cell>
        </row>
        <row r="1928">
          <cell r="C1928" t="str">
            <v>推广订单扣款</v>
          </cell>
        </row>
        <row r="1928">
          <cell r="H1928" t="str">
            <v>凤城二路店</v>
          </cell>
          <cell r="I1928">
            <v>45999</v>
          </cell>
          <cell r="J1928">
            <v>-345.74</v>
          </cell>
        </row>
        <row r="1929">
          <cell r="C1929" t="str">
            <v>推广订单扣款</v>
          </cell>
        </row>
        <row r="1929">
          <cell r="H1929" t="str">
            <v>大坪店</v>
          </cell>
          <cell r="I1929">
            <v>45999</v>
          </cell>
          <cell r="J1929">
            <v>-121.77</v>
          </cell>
        </row>
        <row r="1930">
          <cell r="C1930" t="str">
            <v>推广订单扣款</v>
          </cell>
        </row>
        <row r="1930">
          <cell r="H1930" t="str">
            <v>五华店</v>
          </cell>
          <cell r="I1930">
            <v>45999</v>
          </cell>
          <cell r="J1930">
            <v>-190.85</v>
          </cell>
        </row>
        <row r="1931">
          <cell r="C1931" t="str">
            <v>推广订单扣款</v>
          </cell>
        </row>
        <row r="1931">
          <cell r="H1931" t="str">
            <v>官渡店</v>
          </cell>
          <cell r="I1931">
            <v>45999</v>
          </cell>
          <cell r="J1931">
            <v>-140.19</v>
          </cell>
        </row>
        <row r="1932">
          <cell r="C1932" t="str">
            <v>推广订单扣款</v>
          </cell>
        </row>
        <row r="1932">
          <cell r="H1932" t="str">
            <v>百捷店</v>
          </cell>
          <cell r="I1932">
            <v>45999</v>
          </cell>
          <cell r="J1932">
            <v>-124.78</v>
          </cell>
        </row>
        <row r="1933">
          <cell r="C1933" t="str">
            <v>推广订单扣款</v>
          </cell>
        </row>
        <row r="1933">
          <cell r="H1933" t="str">
            <v>济南店</v>
          </cell>
          <cell r="I1933">
            <v>45999</v>
          </cell>
          <cell r="J1933">
            <v>-286.86</v>
          </cell>
        </row>
        <row r="1934">
          <cell r="C1934" t="str">
            <v>推广账户自动充值</v>
          </cell>
        </row>
        <row r="1934">
          <cell r="H1934" t="str">
            <v>济南店</v>
          </cell>
          <cell r="I1934">
            <v>45999</v>
          </cell>
          <cell r="J1934">
            <v>200</v>
          </cell>
        </row>
        <row r="1935">
          <cell r="C1935" t="str">
            <v>推广订单扣款</v>
          </cell>
        </row>
        <row r="1935">
          <cell r="H1935" t="str">
            <v>观音桥店</v>
          </cell>
          <cell r="I1935">
            <v>45999</v>
          </cell>
          <cell r="J1935">
            <v>-178.21</v>
          </cell>
        </row>
        <row r="1936">
          <cell r="C1936" t="str">
            <v>推广订单扣款</v>
          </cell>
        </row>
        <row r="1936">
          <cell r="H1936" t="str">
            <v>长沙店</v>
          </cell>
          <cell r="I1936">
            <v>45999</v>
          </cell>
          <cell r="J1936">
            <v>-97.05</v>
          </cell>
        </row>
        <row r="1937">
          <cell r="C1937" t="str">
            <v>推广订单扣款</v>
          </cell>
        </row>
        <row r="1937">
          <cell r="H1937" t="str">
            <v>洛江店</v>
          </cell>
          <cell r="I1937">
            <v>45999</v>
          </cell>
          <cell r="J1937">
            <v>-75.32</v>
          </cell>
        </row>
        <row r="1938">
          <cell r="C1938" t="str">
            <v>推广订单扣款</v>
          </cell>
        </row>
        <row r="1938">
          <cell r="H1938" t="str">
            <v>五路口店</v>
          </cell>
          <cell r="I1938">
            <v>45999</v>
          </cell>
          <cell r="J1938">
            <v>-316.11</v>
          </cell>
        </row>
        <row r="1939">
          <cell r="C1939" t="str">
            <v>推广账户自动充值</v>
          </cell>
        </row>
        <row r="1939">
          <cell r="H1939" t="str">
            <v>青羊店</v>
          </cell>
          <cell r="I1939">
            <v>45999</v>
          </cell>
          <cell r="J1939">
            <v>200</v>
          </cell>
        </row>
        <row r="1940">
          <cell r="C1940" t="str">
            <v>推广订单扣款</v>
          </cell>
        </row>
        <row r="1940">
          <cell r="H1940" t="str">
            <v>青羊店</v>
          </cell>
          <cell r="I1940">
            <v>45999</v>
          </cell>
          <cell r="J1940">
            <v>-62.95</v>
          </cell>
        </row>
        <row r="1941">
          <cell r="C1941" t="str">
            <v>推广订单扣款</v>
          </cell>
        </row>
        <row r="1941">
          <cell r="H1941" t="str">
            <v>武侯店</v>
          </cell>
          <cell r="I1941">
            <v>45999</v>
          </cell>
          <cell r="J1941">
            <v>-69.29</v>
          </cell>
        </row>
        <row r="1942">
          <cell r="C1942" t="str">
            <v>推广订单扣款</v>
          </cell>
        </row>
        <row r="1942">
          <cell r="H1942" t="str">
            <v>鼓楼店</v>
          </cell>
          <cell r="I1942">
            <v>45999</v>
          </cell>
          <cell r="J1942">
            <v>-250.81</v>
          </cell>
        </row>
        <row r="1943">
          <cell r="C1943" t="str">
            <v>推广订单扣款</v>
          </cell>
        </row>
        <row r="1943">
          <cell r="H1943" t="str">
            <v>黄雁村店</v>
          </cell>
          <cell r="I1943">
            <v>45999</v>
          </cell>
          <cell r="J1943">
            <v>-402.85</v>
          </cell>
        </row>
        <row r="1944">
          <cell r="C1944" t="str">
            <v>推广订单扣款</v>
          </cell>
        </row>
        <row r="1944">
          <cell r="H1944" t="str">
            <v>西湖店</v>
          </cell>
          <cell r="I1944">
            <v>45999</v>
          </cell>
          <cell r="J1944">
            <v>-222.14</v>
          </cell>
        </row>
        <row r="1945">
          <cell r="C1945" t="str">
            <v>推广订单扣款</v>
          </cell>
        </row>
        <row r="1945">
          <cell r="H1945" t="str">
            <v>百丈店</v>
          </cell>
          <cell r="I1945">
            <v>45999</v>
          </cell>
          <cell r="J1945">
            <v>-160.59</v>
          </cell>
        </row>
        <row r="1946">
          <cell r="C1946" t="str">
            <v>推广订单扣款</v>
          </cell>
        </row>
        <row r="1946">
          <cell r="H1946" t="str">
            <v>文昌店</v>
          </cell>
          <cell r="I1946">
            <v>45999</v>
          </cell>
          <cell r="J1946">
            <v>-166.17</v>
          </cell>
        </row>
        <row r="1947">
          <cell r="C1947" t="str">
            <v>推广订单扣款</v>
          </cell>
        </row>
        <row r="1947">
          <cell r="H1947" t="str">
            <v>观桥店</v>
          </cell>
          <cell r="I1947">
            <v>45999</v>
          </cell>
          <cell r="J1947">
            <v>-61.84</v>
          </cell>
        </row>
        <row r="1948">
          <cell r="C1948" t="str">
            <v>推广订单扣款</v>
          </cell>
        </row>
        <row r="1948">
          <cell r="H1948" t="str">
            <v>海口店</v>
          </cell>
          <cell r="I1948">
            <v>45999</v>
          </cell>
          <cell r="J1948">
            <v>-200</v>
          </cell>
        </row>
        <row r="1949">
          <cell r="C1949" t="str">
            <v>推广订单扣款</v>
          </cell>
        </row>
        <row r="1949">
          <cell r="H1949" t="str">
            <v>诚毅店</v>
          </cell>
          <cell r="I1949">
            <v>45999</v>
          </cell>
          <cell r="J1949">
            <v>-131.74</v>
          </cell>
        </row>
        <row r="1950">
          <cell r="C1950" t="str">
            <v>推广订单扣款</v>
          </cell>
        </row>
        <row r="1950">
          <cell r="H1950" t="str">
            <v>首山店</v>
          </cell>
          <cell r="I1950">
            <v>45999</v>
          </cell>
          <cell r="J1950">
            <v>-142.74</v>
          </cell>
        </row>
        <row r="1951">
          <cell r="C1951" t="str">
            <v>推广订单扣款</v>
          </cell>
        </row>
        <row r="1951">
          <cell r="H1951" t="str">
            <v>首南店</v>
          </cell>
          <cell r="I1951">
            <v>45999</v>
          </cell>
          <cell r="J1951">
            <v>-174.78</v>
          </cell>
        </row>
        <row r="1952">
          <cell r="C1952" t="str">
            <v>推广订单扣款</v>
          </cell>
        </row>
        <row r="1952">
          <cell r="H1952" t="str">
            <v>余杭店</v>
          </cell>
          <cell r="I1952">
            <v>45999</v>
          </cell>
          <cell r="J1952">
            <v>-191.99</v>
          </cell>
        </row>
        <row r="1953">
          <cell r="C1953" t="str">
            <v>推广账户自动充值</v>
          </cell>
        </row>
        <row r="1953">
          <cell r="H1953" t="str">
            <v>东海店</v>
          </cell>
          <cell r="I1953">
            <v>45999</v>
          </cell>
          <cell r="J1953">
            <v>200</v>
          </cell>
        </row>
        <row r="1954">
          <cell r="C1954" t="str">
            <v>推广订单扣款</v>
          </cell>
        </row>
        <row r="1954">
          <cell r="H1954" t="str">
            <v>东海店</v>
          </cell>
          <cell r="I1954">
            <v>45999</v>
          </cell>
          <cell r="J1954">
            <v>-98.47</v>
          </cell>
        </row>
        <row r="1955">
          <cell r="C1955" t="str">
            <v>推广订单扣款</v>
          </cell>
        </row>
        <row r="1955">
          <cell r="H1955" t="str">
            <v>文灶店</v>
          </cell>
          <cell r="I1955">
            <v>45999</v>
          </cell>
          <cell r="J1955">
            <v>-112.41</v>
          </cell>
        </row>
        <row r="1956">
          <cell r="C1956" t="str">
            <v>推广订单扣款</v>
          </cell>
        </row>
        <row r="1956">
          <cell r="H1956" t="str">
            <v>滨江店</v>
          </cell>
          <cell r="I1956">
            <v>45999</v>
          </cell>
          <cell r="J1956">
            <v>-238.83</v>
          </cell>
        </row>
        <row r="1957">
          <cell r="C1957" t="str">
            <v>推广订单扣款</v>
          </cell>
        </row>
        <row r="1957">
          <cell r="H1957" t="str">
            <v>华信店</v>
          </cell>
          <cell r="I1957">
            <v>45999</v>
          </cell>
          <cell r="J1957">
            <v>-180</v>
          </cell>
        </row>
        <row r="1958">
          <cell r="C1958" t="str">
            <v>推广订单扣款</v>
          </cell>
        </row>
        <row r="1958">
          <cell r="H1958" t="str">
            <v>湖里店</v>
          </cell>
          <cell r="I1958">
            <v>46000</v>
          </cell>
          <cell r="J1958">
            <v>-243.62</v>
          </cell>
        </row>
        <row r="1959">
          <cell r="C1959" t="str">
            <v>推广订单扣款</v>
          </cell>
        </row>
        <row r="1959">
          <cell r="H1959" t="str">
            <v>东新店</v>
          </cell>
          <cell r="I1959">
            <v>46000</v>
          </cell>
          <cell r="J1959">
            <v>-286.21</v>
          </cell>
        </row>
        <row r="1960">
          <cell r="C1960" t="str">
            <v>推广订单扣款</v>
          </cell>
        </row>
        <row r="1960">
          <cell r="H1960" t="str">
            <v>启点店</v>
          </cell>
          <cell r="I1960">
            <v>46000</v>
          </cell>
          <cell r="J1960">
            <v>-289.23</v>
          </cell>
        </row>
        <row r="1961">
          <cell r="C1961" t="str">
            <v>推广订单扣款</v>
          </cell>
        </row>
        <row r="1961">
          <cell r="H1961" t="str">
            <v>高新店</v>
          </cell>
          <cell r="I1961">
            <v>46000</v>
          </cell>
          <cell r="J1961">
            <v>-258.55</v>
          </cell>
        </row>
        <row r="1962">
          <cell r="C1962" t="str">
            <v>推广订单扣款</v>
          </cell>
        </row>
        <row r="1962">
          <cell r="H1962" t="str">
            <v>成华店</v>
          </cell>
          <cell r="I1962">
            <v>46000</v>
          </cell>
          <cell r="J1962">
            <v>-152.52</v>
          </cell>
        </row>
        <row r="1963">
          <cell r="C1963" t="str">
            <v>推广订单扣款</v>
          </cell>
        </row>
        <row r="1963">
          <cell r="H1963" t="str">
            <v>金牛店</v>
          </cell>
          <cell r="I1963">
            <v>46000</v>
          </cell>
          <cell r="J1963">
            <v>-188.74</v>
          </cell>
        </row>
        <row r="1964">
          <cell r="C1964" t="str">
            <v>推广订单扣款</v>
          </cell>
        </row>
        <row r="1964">
          <cell r="H1964" t="str">
            <v>西山店</v>
          </cell>
          <cell r="I1964">
            <v>46000</v>
          </cell>
          <cell r="J1964">
            <v>-236.51</v>
          </cell>
        </row>
        <row r="1965">
          <cell r="C1965" t="str">
            <v>推广订单扣款</v>
          </cell>
        </row>
        <row r="1965">
          <cell r="H1965" t="str">
            <v>沙坪坝店</v>
          </cell>
          <cell r="I1965">
            <v>46000</v>
          </cell>
          <cell r="J1965">
            <v>-114.46</v>
          </cell>
        </row>
        <row r="1966">
          <cell r="C1966" t="str">
            <v>推广订单扣款</v>
          </cell>
        </row>
        <row r="1966">
          <cell r="H1966" t="str">
            <v>凤城二路店</v>
          </cell>
          <cell r="I1966">
            <v>46000</v>
          </cell>
          <cell r="J1966">
            <v>-345.16</v>
          </cell>
        </row>
        <row r="1967">
          <cell r="C1967" t="str">
            <v>推广订单扣款</v>
          </cell>
        </row>
        <row r="1967">
          <cell r="H1967" t="str">
            <v>大坪店</v>
          </cell>
          <cell r="I1967">
            <v>46000</v>
          </cell>
          <cell r="J1967">
            <v>-213.39</v>
          </cell>
        </row>
        <row r="1968">
          <cell r="C1968" t="str">
            <v>推广订单扣款</v>
          </cell>
        </row>
        <row r="1968">
          <cell r="H1968" t="str">
            <v>五华店</v>
          </cell>
          <cell r="I1968">
            <v>46000</v>
          </cell>
          <cell r="J1968">
            <v>-157.37</v>
          </cell>
        </row>
        <row r="1969">
          <cell r="C1969" t="str">
            <v>推广订单扣款</v>
          </cell>
        </row>
        <row r="1969">
          <cell r="H1969" t="str">
            <v>官渡店</v>
          </cell>
          <cell r="I1969">
            <v>46000</v>
          </cell>
          <cell r="J1969">
            <v>-173.61</v>
          </cell>
        </row>
        <row r="1970">
          <cell r="C1970" t="str">
            <v>推广订单扣款</v>
          </cell>
        </row>
        <row r="1970">
          <cell r="H1970" t="str">
            <v>百捷店</v>
          </cell>
          <cell r="I1970">
            <v>46000</v>
          </cell>
          <cell r="J1970">
            <v>-186.36</v>
          </cell>
        </row>
        <row r="1971">
          <cell r="C1971" t="str">
            <v>推广订单扣款</v>
          </cell>
        </row>
        <row r="1971">
          <cell r="H1971" t="str">
            <v>济南店</v>
          </cell>
          <cell r="I1971">
            <v>46000</v>
          </cell>
          <cell r="J1971">
            <v>-468.34</v>
          </cell>
        </row>
        <row r="1972">
          <cell r="C1972" t="str">
            <v>推广订单扣款</v>
          </cell>
        </row>
        <row r="1972">
          <cell r="H1972" t="str">
            <v>观音桥店</v>
          </cell>
          <cell r="I1972">
            <v>46000</v>
          </cell>
          <cell r="J1972">
            <v>-264.17</v>
          </cell>
        </row>
        <row r="1973">
          <cell r="C1973" t="str">
            <v>推广订单扣款</v>
          </cell>
        </row>
        <row r="1973">
          <cell r="H1973" t="str">
            <v>长沙店</v>
          </cell>
          <cell r="I1973">
            <v>46000</v>
          </cell>
          <cell r="J1973">
            <v>-126.93</v>
          </cell>
        </row>
        <row r="1974">
          <cell r="C1974" t="str">
            <v>推广订单扣款</v>
          </cell>
        </row>
        <row r="1974">
          <cell r="H1974" t="str">
            <v>洛江店</v>
          </cell>
          <cell r="I1974">
            <v>46000</v>
          </cell>
          <cell r="J1974">
            <v>-65.56</v>
          </cell>
        </row>
        <row r="1975">
          <cell r="C1975" t="str">
            <v>推广订单扣款</v>
          </cell>
        </row>
        <row r="1975">
          <cell r="H1975" t="str">
            <v>五路口店</v>
          </cell>
          <cell r="I1975">
            <v>46000</v>
          </cell>
          <cell r="J1975">
            <v>-403.13</v>
          </cell>
        </row>
        <row r="1976">
          <cell r="C1976" t="str">
            <v>推广订单扣款</v>
          </cell>
        </row>
        <row r="1976">
          <cell r="H1976" t="str">
            <v>青羊店</v>
          </cell>
          <cell r="I1976">
            <v>46000</v>
          </cell>
          <cell r="J1976">
            <v>-178.55</v>
          </cell>
        </row>
        <row r="1977">
          <cell r="C1977" t="str">
            <v>推广订单扣款</v>
          </cell>
        </row>
        <row r="1977">
          <cell r="H1977" t="str">
            <v>武侯店</v>
          </cell>
          <cell r="I1977">
            <v>46000</v>
          </cell>
          <cell r="J1977">
            <v>-147.94</v>
          </cell>
        </row>
        <row r="1978">
          <cell r="C1978" t="str">
            <v>推广订单扣款</v>
          </cell>
        </row>
        <row r="1978">
          <cell r="H1978" t="str">
            <v>鼓楼店</v>
          </cell>
          <cell r="I1978">
            <v>46000</v>
          </cell>
          <cell r="J1978">
            <v>-295.58</v>
          </cell>
        </row>
        <row r="1979">
          <cell r="C1979" t="str">
            <v>推广订单扣款</v>
          </cell>
        </row>
        <row r="1979">
          <cell r="H1979" t="str">
            <v>黄雁村店</v>
          </cell>
          <cell r="I1979">
            <v>46000</v>
          </cell>
          <cell r="J1979">
            <v>-670.65</v>
          </cell>
        </row>
        <row r="1980">
          <cell r="C1980" t="str">
            <v>推广订单扣款</v>
          </cell>
        </row>
        <row r="1980">
          <cell r="H1980" t="str">
            <v>西湖店</v>
          </cell>
          <cell r="I1980">
            <v>46000</v>
          </cell>
          <cell r="J1980">
            <v>-198.56</v>
          </cell>
        </row>
        <row r="1981">
          <cell r="C1981" t="str">
            <v>推广订单扣款</v>
          </cell>
        </row>
        <row r="1981">
          <cell r="H1981" t="str">
            <v>百丈店</v>
          </cell>
          <cell r="I1981">
            <v>46000</v>
          </cell>
          <cell r="J1981">
            <v>-175.96</v>
          </cell>
        </row>
        <row r="1982">
          <cell r="C1982" t="str">
            <v>推广订单扣款</v>
          </cell>
        </row>
        <row r="1982">
          <cell r="H1982" t="str">
            <v>文昌店</v>
          </cell>
          <cell r="I1982">
            <v>46000</v>
          </cell>
          <cell r="J1982">
            <v>-215.33</v>
          </cell>
        </row>
        <row r="1983">
          <cell r="C1983" t="str">
            <v>推广订单扣款</v>
          </cell>
        </row>
        <row r="1983">
          <cell r="H1983" t="str">
            <v>观桥店</v>
          </cell>
          <cell r="I1983">
            <v>46000</v>
          </cell>
          <cell r="J1983">
            <v>-220.29</v>
          </cell>
        </row>
        <row r="1984">
          <cell r="C1984" t="str">
            <v>推广订单扣款</v>
          </cell>
        </row>
        <row r="1984">
          <cell r="H1984" t="str">
            <v>海口店</v>
          </cell>
          <cell r="I1984">
            <v>46000</v>
          </cell>
          <cell r="J1984">
            <v>-200</v>
          </cell>
        </row>
        <row r="1985">
          <cell r="C1985" t="str">
            <v>推广订单扣款</v>
          </cell>
        </row>
        <row r="1985">
          <cell r="H1985" t="str">
            <v>诚毅店</v>
          </cell>
          <cell r="I1985">
            <v>46000</v>
          </cell>
          <cell r="J1985">
            <v>-205.83</v>
          </cell>
        </row>
        <row r="1986">
          <cell r="C1986" t="str">
            <v>推广订单扣款</v>
          </cell>
        </row>
        <row r="1986">
          <cell r="H1986" t="str">
            <v>首山店</v>
          </cell>
          <cell r="I1986">
            <v>46000</v>
          </cell>
          <cell r="J1986">
            <v>-190.85</v>
          </cell>
        </row>
        <row r="1987">
          <cell r="C1987" t="str">
            <v>推广订单扣款</v>
          </cell>
        </row>
        <row r="1987">
          <cell r="H1987" t="str">
            <v>首南店</v>
          </cell>
          <cell r="I1987">
            <v>46000</v>
          </cell>
          <cell r="J1987">
            <v>-231.86</v>
          </cell>
        </row>
        <row r="1988">
          <cell r="C1988" t="str">
            <v>推广订单扣款</v>
          </cell>
        </row>
        <row r="1988">
          <cell r="H1988" t="str">
            <v>余杭店</v>
          </cell>
          <cell r="I1988">
            <v>46000</v>
          </cell>
          <cell r="J1988">
            <v>-145.76</v>
          </cell>
        </row>
        <row r="1989">
          <cell r="C1989" t="str">
            <v>推广账户自动充值</v>
          </cell>
        </row>
        <row r="1989">
          <cell r="H1989" t="str">
            <v>东海店</v>
          </cell>
          <cell r="I1989">
            <v>46000</v>
          </cell>
          <cell r="J1989">
            <v>200</v>
          </cell>
        </row>
        <row r="1990">
          <cell r="C1990" t="str">
            <v>推广订单扣款</v>
          </cell>
        </row>
        <row r="1990">
          <cell r="H1990" t="str">
            <v>东海店</v>
          </cell>
          <cell r="I1990">
            <v>46000</v>
          </cell>
          <cell r="J1990">
            <v>-180</v>
          </cell>
        </row>
        <row r="1991">
          <cell r="C1991" t="str">
            <v>推广订单扣款</v>
          </cell>
        </row>
        <row r="1991">
          <cell r="H1991" t="str">
            <v>文灶店</v>
          </cell>
          <cell r="I1991">
            <v>46000</v>
          </cell>
          <cell r="J1991">
            <v>-152.22</v>
          </cell>
        </row>
        <row r="1992">
          <cell r="C1992" t="str">
            <v>推广订单扣款</v>
          </cell>
        </row>
        <row r="1992">
          <cell r="H1992" t="str">
            <v>滨江店</v>
          </cell>
          <cell r="I1992">
            <v>46000</v>
          </cell>
          <cell r="J1992">
            <v>-240.31</v>
          </cell>
        </row>
        <row r="1993">
          <cell r="C1993" t="str">
            <v>推广账户自动充值</v>
          </cell>
        </row>
        <row r="1993">
          <cell r="H1993" t="str">
            <v>滨江店</v>
          </cell>
          <cell r="I1993">
            <v>46000</v>
          </cell>
          <cell r="J1993">
            <v>200</v>
          </cell>
        </row>
        <row r="1994">
          <cell r="C1994" t="str">
            <v>推广订单扣款</v>
          </cell>
        </row>
        <row r="1994">
          <cell r="H1994" t="str">
            <v>鼓楼店</v>
          </cell>
          <cell r="I1994">
            <v>46001</v>
          </cell>
          <cell r="J1994">
            <v>-413.17</v>
          </cell>
        </row>
        <row r="1995">
          <cell r="C1995" t="str">
            <v>推广订单扣款</v>
          </cell>
        </row>
        <row r="1995">
          <cell r="H1995" t="str">
            <v>首山店</v>
          </cell>
          <cell r="I1995">
            <v>46001</v>
          </cell>
          <cell r="J1995">
            <v>-201.87</v>
          </cell>
        </row>
        <row r="1996">
          <cell r="C1996" t="str">
            <v>推广账户自动充值</v>
          </cell>
        </row>
        <row r="1996">
          <cell r="H1996" t="str">
            <v>官渡店</v>
          </cell>
          <cell r="I1996">
            <v>46001</v>
          </cell>
          <cell r="J1996">
            <v>200</v>
          </cell>
        </row>
        <row r="1997">
          <cell r="C1997" t="str">
            <v>推广订单扣款</v>
          </cell>
        </row>
        <row r="1997">
          <cell r="H1997" t="str">
            <v>西湖店</v>
          </cell>
          <cell r="I1997">
            <v>46001</v>
          </cell>
          <cell r="J1997">
            <v>-241.59</v>
          </cell>
        </row>
        <row r="1998">
          <cell r="C1998" t="str">
            <v>推广订单扣款</v>
          </cell>
        </row>
        <row r="1998">
          <cell r="H1998" t="str">
            <v>洛江店</v>
          </cell>
          <cell r="I1998">
            <v>46001</v>
          </cell>
          <cell r="J1998">
            <v>-67.85</v>
          </cell>
        </row>
        <row r="1999">
          <cell r="C1999" t="str">
            <v>推广账户自动充值</v>
          </cell>
        </row>
        <row r="1999">
          <cell r="H1999" t="str">
            <v>文昌店</v>
          </cell>
          <cell r="I1999">
            <v>46001</v>
          </cell>
          <cell r="J1999">
            <v>200</v>
          </cell>
        </row>
        <row r="2000">
          <cell r="C2000" t="str">
            <v>推广订单扣款</v>
          </cell>
        </row>
        <row r="2000">
          <cell r="H2000" t="str">
            <v>长沙店</v>
          </cell>
          <cell r="I2000">
            <v>46001</v>
          </cell>
          <cell r="J2000">
            <v>-183.07</v>
          </cell>
        </row>
        <row r="2001">
          <cell r="C2001" t="str">
            <v>推广订单扣款</v>
          </cell>
        </row>
        <row r="2001">
          <cell r="H2001" t="str">
            <v>五路口店</v>
          </cell>
          <cell r="I2001">
            <v>46001</v>
          </cell>
          <cell r="J2001">
            <v>-664.52</v>
          </cell>
        </row>
        <row r="2002">
          <cell r="C2002" t="str">
            <v>推广订单扣款</v>
          </cell>
        </row>
        <row r="2002">
          <cell r="H2002" t="str">
            <v>海口店</v>
          </cell>
          <cell r="I2002">
            <v>46001</v>
          </cell>
          <cell r="J2002">
            <v>-200</v>
          </cell>
        </row>
        <row r="2003">
          <cell r="C2003" t="str">
            <v>推广订单扣款</v>
          </cell>
        </row>
        <row r="2003">
          <cell r="H2003" t="str">
            <v>五华店</v>
          </cell>
          <cell r="I2003">
            <v>46001</v>
          </cell>
          <cell r="J2003">
            <v>-205.03</v>
          </cell>
        </row>
        <row r="2004">
          <cell r="C2004" t="str">
            <v>推广订单扣款</v>
          </cell>
        </row>
        <row r="2004">
          <cell r="H2004" t="str">
            <v>百丈店</v>
          </cell>
          <cell r="I2004">
            <v>46001</v>
          </cell>
          <cell r="J2004">
            <v>-156.53</v>
          </cell>
        </row>
        <row r="2005">
          <cell r="C2005" t="str">
            <v>推广订单扣款</v>
          </cell>
        </row>
        <row r="2005">
          <cell r="H2005" t="str">
            <v>东新店</v>
          </cell>
          <cell r="I2005">
            <v>46001</v>
          </cell>
          <cell r="J2005">
            <v>-283.84</v>
          </cell>
        </row>
        <row r="2006">
          <cell r="C2006" t="str">
            <v>推广订单扣款</v>
          </cell>
        </row>
        <row r="2006">
          <cell r="H2006" t="str">
            <v>沙坪坝店</v>
          </cell>
          <cell r="I2006">
            <v>46001</v>
          </cell>
          <cell r="J2006">
            <v>-109.75</v>
          </cell>
        </row>
        <row r="2007">
          <cell r="C2007" t="str">
            <v>推广订单扣款</v>
          </cell>
        </row>
        <row r="2007">
          <cell r="H2007" t="str">
            <v>东海店</v>
          </cell>
          <cell r="I2007">
            <v>46001</v>
          </cell>
          <cell r="J2007">
            <v>-180</v>
          </cell>
        </row>
        <row r="2008">
          <cell r="C2008" t="str">
            <v>推广账户自动充值</v>
          </cell>
        </row>
        <row r="2008">
          <cell r="H2008" t="str">
            <v>济南店</v>
          </cell>
          <cell r="I2008">
            <v>46001</v>
          </cell>
          <cell r="J2008">
            <v>200</v>
          </cell>
        </row>
        <row r="2009">
          <cell r="C2009" t="str">
            <v>推广订单扣款</v>
          </cell>
        </row>
        <row r="2009">
          <cell r="H2009" t="str">
            <v>官渡店</v>
          </cell>
          <cell r="I2009">
            <v>46001</v>
          </cell>
          <cell r="J2009">
            <v>-328.13</v>
          </cell>
        </row>
        <row r="2010">
          <cell r="C2010" t="str">
            <v>推广订单扣款</v>
          </cell>
        </row>
        <row r="2010">
          <cell r="H2010" t="str">
            <v>文灶店</v>
          </cell>
          <cell r="I2010">
            <v>46001</v>
          </cell>
          <cell r="J2010">
            <v>-159.57</v>
          </cell>
        </row>
        <row r="2011">
          <cell r="C2011" t="str">
            <v>推广订单扣款</v>
          </cell>
        </row>
        <row r="2011">
          <cell r="H2011" t="str">
            <v>启点店</v>
          </cell>
          <cell r="I2011">
            <v>46001</v>
          </cell>
          <cell r="J2011">
            <v>-197.5</v>
          </cell>
        </row>
        <row r="2012">
          <cell r="C2012" t="str">
            <v>推广账户自动充值</v>
          </cell>
        </row>
        <row r="2012">
          <cell r="H2012" t="str">
            <v>滨江店</v>
          </cell>
          <cell r="I2012">
            <v>46001</v>
          </cell>
          <cell r="J2012">
            <v>200</v>
          </cell>
        </row>
        <row r="2013">
          <cell r="C2013" t="str">
            <v>推广订单扣款</v>
          </cell>
        </row>
        <row r="2013">
          <cell r="H2013" t="str">
            <v>百捷店</v>
          </cell>
          <cell r="I2013">
            <v>46001</v>
          </cell>
          <cell r="J2013">
            <v>-230.15</v>
          </cell>
        </row>
        <row r="2014">
          <cell r="C2014" t="str">
            <v>推广订单扣款</v>
          </cell>
        </row>
        <row r="2014">
          <cell r="H2014" t="str">
            <v>诚毅店</v>
          </cell>
          <cell r="I2014">
            <v>46001</v>
          </cell>
          <cell r="J2014">
            <v>-183.83</v>
          </cell>
        </row>
        <row r="2015">
          <cell r="C2015" t="str">
            <v>推广订单扣款</v>
          </cell>
        </row>
        <row r="2015">
          <cell r="H2015" t="str">
            <v>观桥店</v>
          </cell>
          <cell r="I2015">
            <v>46001</v>
          </cell>
          <cell r="J2015">
            <v>-144.21</v>
          </cell>
        </row>
        <row r="2016">
          <cell r="C2016" t="str">
            <v>推广订单扣款</v>
          </cell>
        </row>
        <row r="2016">
          <cell r="H2016" t="str">
            <v>黄雁村店</v>
          </cell>
          <cell r="I2016">
            <v>46001</v>
          </cell>
          <cell r="J2016">
            <v>-443.89</v>
          </cell>
        </row>
        <row r="2017">
          <cell r="C2017" t="str">
            <v>推广订单扣款</v>
          </cell>
        </row>
        <row r="2017">
          <cell r="H2017" t="str">
            <v>济南店</v>
          </cell>
          <cell r="I2017">
            <v>46001</v>
          </cell>
          <cell r="J2017">
            <v>-700</v>
          </cell>
        </row>
        <row r="2018">
          <cell r="C2018" t="str">
            <v>推广订单扣款</v>
          </cell>
        </row>
        <row r="2018">
          <cell r="H2018" t="str">
            <v>成华店</v>
          </cell>
          <cell r="I2018">
            <v>46001</v>
          </cell>
          <cell r="J2018">
            <v>-62.08</v>
          </cell>
        </row>
        <row r="2019">
          <cell r="C2019" t="str">
            <v>推广订单扣款</v>
          </cell>
        </row>
        <row r="2019">
          <cell r="H2019" t="str">
            <v>大坪店</v>
          </cell>
          <cell r="I2019">
            <v>46001</v>
          </cell>
          <cell r="J2019">
            <v>-268.29</v>
          </cell>
        </row>
        <row r="2020">
          <cell r="C2020" t="str">
            <v>推广订单扣款</v>
          </cell>
        </row>
        <row r="2020">
          <cell r="H2020" t="str">
            <v>文昌店</v>
          </cell>
          <cell r="I2020">
            <v>46001</v>
          </cell>
          <cell r="J2020">
            <v>-188.67</v>
          </cell>
        </row>
        <row r="2021">
          <cell r="C2021" t="str">
            <v>推广订单扣款</v>
          </cell>
        </row>
        <row r="2021">
          <cell r="H2021" t="str">
            <v>金牛店</v>
          </cell>
          <cell r="I2021">
            <v>46001</v>
          </cell>
          <cell r="J2021">
            <v>-122.02</v>
          </cell>
        </row>
        <row r="2022">
          <cell r="C2022" t="str">
            <v>推广账户自动充值</v>
          </cell>
        </row>
        <row r="2022">
          <cell r="H2022" t="str">
            <v>长沙店</v>
          </cell>
          <cell r="I2022">
            <v>46001</v>
          </cell>
          <cell r="J2022">
            <v>200</v>
          </cell>
        </row>
        <row r="2023">
          <cell r="C2023" t="str">
            <v>推广订单扣款</v>
          </cell>
        </row>
        <row r="2023">
          <cell r="H2023" t="str">
            <v>高新店</v>
          </cell>
          <cell r="I2023">
            <v>46001</v>
          </cell>
          <cell r="J2023">
            <v>-177.56</v>
          </cell>
        </row>
        <row r="2024">
          <cell r="C2024" t="str">
            <v>推广订单扣款</v>
          </cell>
        </row>
        <row r="2024">
          <cell r="H2024" t="str">
            <v>观音桥店</v>
          </cell>
          <cell r="I2024">
            <v>46001</v>
          </cell>
          <cell r="J2024">
            <v>-312.72</v>
          </cell>
        </row>
        <row r="2025">
          <cell r="C2025" t="str">
            <v>推广订单扣款</v>
          </cell>
        </row>
        <row r="2025">
          <cell r="H2025" t="str">
            <v>湖里店</v>
          </cell>
          <cell r="I2025">
            <v>46001</v>
          </cell>
          <cell r="J2025">
            <v>-180.27</v>
          </cell>
        </row>
        <row r="2026">
          <cell r="C2026" t="str">
            <v>推广订单扣款</v>
          </cell>
        </row>
        <row r="2026">
          <cell r="H2026" t="str">
            <v>西山店</v>
          </cell>
          <cell r="I2026">
            <v>46001</v>
          </cell>
          <cell r="J2026">
            <v>-221.02</v>
          </cell>
        </row>
        <row r="2027">
          <cell r="C2027" t="str">
            <v>推广订单扣款</v>
          </cell>
        </row>
        <row r="2027">
          <cell r="H2027" t="str">
            <v>余杭店</v>
          </cell>
          <cell r="I2027">
            <v>46001</v>
          </cell>
          <cell r="J2027">
            <v>-264.41</v>
          </cell>
        </row>
        <row r="2028">
          <cell r="C2028" t="str">
            <v>推广订单扣款</v>
          </cell>
        </row>
        <row r="2028">
          <cell r="H2028" t="str">
            <v>武侯店</v>
          </cell>
          <cell r="I2028">
            <v>46001</v>
          </cell>
          <cell r="J2028">
            <v>-31.82</v>
          </cell>
        </row>
        <row r="2029">
          <cell r="C2029" t="str">
            <v>推广订单扣款</v>
          </cell>
        </row>
        <row r="2029">
          <cell r="H2029" t="str">
            <v>华信店</v>
          </cell>
          <cell r="I2029">
            <v>46001</v>
          </cell>
          <cell r="J2029">
            <v>-180</v>
          </cell>
        </row>
        <row r="2030">
          <cell r="C2030" t="str">
            <v>推广订单扣款</v>
          </cell>
        </row>
        <row r="2030">
          <cell r="H2030" t="str">
            <v>青羊店</v>
          </cell>
          <cell r="I2030">
            <v>46001</v>
          </cell>
          <cell r="J2030">
            <v>-52.65</v>
          </cell>
        </row>
        <row r="2031">
          <cell r="C2031" t="str">
            <v>推广订单扣款</v>
          </cell>
        </row>
        <row r="2031">
          <cell r="H2031" t="str">
            <v>滨江店</v>
          </cell>
          <cell r="I2031">
            <v>46001</v>
          </cell>
          <cell r="J2031">
            <v>-400</v>
          </cell>
        </row>
        <row r="2032">
          <cell r="C2032" t="str">
            <v>推广订单扣款</v>
          </cell>
        </row>
        <row r="2032">
          <cell r="H2032" t="str">
            <v>首南店</v>
          </cell>
          <cell r="I2032">
            <v>46001</v>
          </cell>
          <cell r="J2032">
            <v>-219.98</v>
          </cell>
        </row>
        <row r="2033">
          <cell r="C2033" t="str">
            <v>推广账户自动充值</v>
          </cell>
        </row>
        <row r="2033">
          <cell r="H2033" t="str">
            <v>东新店</v>
          </cell>
          <cell r="I2033">
            <v>46001</v>
          </cell>
          <cell r="J2033">
            <v>200</v>
          </cell>
        </row>
        <row r="2034">
          <cell r="C2034" t="str">
            <v>推广订单扣款</v>
          </cell>
        </row>
        <row r="2034">
          <cell r="H2034" t="str">
            <v>凤城二路店</v>
          </cell>
          <cell r="I2034">
            <v>46001</v>
          </cell>
          <cell r="J2034">
            <v>-512.59</v>
          </cell>
        </row>
        <row r="2035">
          <cell r="C2035" t="str">
            <v>推广账户自动充值</v>
          </cell>
        </row>
        <row r="2035">
          <cell r="H2035" t="str">
            <v>五华店</v>
          </cell>
          <cell r="I2035">
            <v>46001</v>
          </cell>
          <cell r="J2035">
            <v>200</v>
          </cell>
        </row>
        <row r="2036">
          <cell r="C2036" t="str">
            <v>推广账户自动充值</v>
          </cell>
        </row>
        <row r="2036">
          <cell r="H2036" t="str">
            <v>五路口店</v>
          </cell>
          <cell r="I2036">
            <v>46001</v>
          </cell>
          <cell r="J2036">
            <v>200</v>
          </cell>
        </row>
        <row r="2037">
          <cell r="C2037" t="str">
            <v>推广账户自动充值</v>
          </cell>
        </row>
        <row r="2037">
          <cell r="H2037" t="str">
            <v>凤城二路店</v>
          </cell>
          <cell r="I2037">
            <v>46001</v>
          </cell>
          <cell r="J2037">
            <v>200</v>
          </cell>
        </row>
        <row r="2038">
          <cell r="C2038" t="str">
            <v>推广账户自动充值</v>
          </cell>
        </row>
        <row r="2038">
          <cell r="H2038" t="str">
            <v>华信店</v>
          </cell>
          <cell r="I2038">
            <v>46001</v>
          </cell>
          <cell r="J2038">
            <v>200</v>
          </cell>
        </row>
        <row r="2039">
          <cell r="C2039" t="str">
            <v>推广账户自动充值</v>
          </cell>
        </row>
        <row r="2039">
          <cell r="H2039" t="str">
            <v>首山店</v>
          </cell>
          <cell r="I2039">
            <v>46001</v>
          </cell>
          <cell r="J2039">
            <v>200</v>
          </cell>
        </row>
        <row r="2040">
          <cell r="C2040" t="str">
            <v>推广账户自动充值</v>
          </cell>
        </row>
        <row r="2040">
          <cell r="H2040" t="str">
            <v>西湖店</v>
          </cell>
          <cell r="I2040">
            <v>46001</v>
          </cell>
          <cell r="J2040">
            <v>200</v>
          </cell>
        </row>
        <row r="2041">
          <cell r="C2041" t="str">
            <v>推广账户自动充值</v>
          </cell>
        </row>
        <row r="2041">
          <cell r="H2041" t="str">
            <v>鼓楼店</v>
          </cell>
          <cell r="I2041">
            <v>46001</v>
          </cell>
          <cell r="J2041">
            <v>200</v>
          </cell>
        </row>
        <row r="2042">
          <cell r="C2042" t="str">
            <v>推广账户自动充值</v>
          </cell>
        </row>
        <row r="2042">
          <cell r="H2042" t="str">
            <v>海口店</v>
          </cell>
          <cell r="I2042">
            <v>46001</v>
          </cell>
          <cell r="J2042">
            <v>200</v>
          </cell>
        </row>
        <row r="2043">
          <cell r="C2043" t="str">
            <v>推广账户自动充值</v>
          </cell>
        </row>
        <row r="2043">
          <cell r="H2043" t="str">
            <v>百丈店</v>
          </cell>
          <cell r="I2043">
            <v>46001</v>
          </cell>
          <cell r="J2043">
            <v>200</v>
          </cell>
        </row>
        <row r="2044">
          <cell r="C2044" t="str">
            <v>推广账户自动充值</v>
          </cell>
        </row>
        <row r="2044">
          <cell r="H2044" t="str">
            <v>西山店</v>
          </cell>
          <cell r="I2044">
            <v>46001</v>
          </cell>
          <cell r="J2044">
            <v>200</v>
          </cell>
        </row>
        <row r="2045">
          <cell r="C2045" t="str">
            <v>推广账户自动充值</v>
          </cell>
        </row>
        <row r="2045">
          <cell r="H2045" t="str">
            <v>黄雁村店</v>
          </cell>
          <cell r="I2045">
            <v>46001</v>
          </cell>
          <cell r="J2045">
            <v>200</v>
          </cell>
        </row>
        <row r="2046">
          <cell r="C2046" t="str">
            <v>推广账户自动充值</v>
          </cell>
        </row>
        <row r="2046">
          <cell r="H2046" t="str">
            <v>首南店</v>
          </cell>
          <cell r="I2046">
            <v>46001</v>
          </cell>
          <cell r="J2046">
            <v>200</v>
          </cell>
        </row>
        <row r="2047">
          <cell r="C2047" t="str">
            <v>推广账户自动充值</v>
          </cell>
        </row>
        <row r="2047">
          <cell r="H2047" t="str">
            <v>观音桥店</v>
          </cell>
          <cell r="I2047">
            <v>46001</v>
          </cell>
          <cell r="J2047">
            <v>200</v>
          </cell>
        </row>
        <row r="2048">
          <cell r="C2048" t="str">
            <v>推广账户自动充值</v>
          </cell>
        </row>
        <row r="2048">
          <cell r="H2048" t="str">
            <v>五路口店</v>
          </cell>
          <cell r="I2048">
            <v>46001</v>
          </cell>
          <cell r="J2048">
            <v>200</v>
          </cell>
        </row>
        <row r="2049">
          <cell r="C2049" t="str">
            <v>推广账户自动充值</v>
          </cell>
        </row>
        <row r="2049">
          <cell r="H2049" t="str">
            <v>济南店</v>
          </cell>
          <cell r="I2049">
            <v>46001</v>
          </cell>
          <cell r="J2049">
            <v>200</v>
          </cell>
        </row>
        <row r="2050">
          <cell r="C2050" t="str">
            <v>推广账户自动充值</v>
          </cell>
        </row>
        <row r="2050">
          <cell r="H2050" t="str">
            <v>大坪店</v>
          </cell>
          <cell r="I2050">
            <v>46001</v>
          </cell>
          <cell r="J2050">
            <v>200</v>
          </cell>
        </row>
        <row r="2051">
          <cell r="C2051" t="str">
            <v>推广账户自动充值</v>
          </cell>
        </row>
        <row r="2051">
          <cell r="H2051" t="str">
            <v>凤城二路店</v>
          </cell>
          <cell r="I2051">
            <v>46001</v>
          </cell>
          <cell r="J2051">
            <v>200</v>
          </cell>
        </row>
        <row r="2052">
          <cell r="C2052" t="str">
            <v>推广账户自动充值</v>
          </cell>
        </row>
        <row r="2052">
          <cell r="H2052" t="str">
            <v>金牛店</v>
          </cell>
          <cell r="I2052">
            <v>46001</v>
          </cell>
          <cell r="J2052">
            <v>200</v>
          </cell>
        </row>
        <row r="2053">
          <cell r="C2053" t="str">
            <v>推广账户自动充值</v>
          </cell>
        </row>
        <row r="2053">
          <cell r="H2053" t="str">
            <v>启点店</v>
          </cell>
          <cell r="I2053">
            <v>46001</v>
          </cell>
          <cell r="J2053">
            <v>200</v>
          </cell>
        </row>
        <row r="2054">
          <cell r="C2054" t="str">
            <v>推广账户自动充值</v>
          </cell>
        </row>
        <row r="2054">
          <cell r="H2054" t="str">
            <v>东海店</v>
          </cell>
          <cell r="I2054">
            <v>46001</v>
          </cell>
          <cell r="J2054">
            <v>200</v>
          </cell>
        </row>
        <row r="2055">
          <cell r="C2055" t="str">
            <v>推广账户自动充值</v>
          </cell>
        </row>
        <row r="2055">
          <cell r="H2055" t="str">
            <v>成华店</v>
          </cell>
          <cell r="I2055">
            <v>46001</v>
          </cell>
          <cell r="J2055">
            <v>200</v>
          </cell>
        </row>
        <row r="2056">
          <cell r="C2056" t="str">
            <v>推广账户自动充值</v>
          </cell>
        </row>
        <row r="2056">
          <cell r="H2056" t="str">
            <v>高新店</v>
          </cell>
          <cell r="I2056">
            <v>46001</v>
          </cell>
          <cell r="J2056">
            <v>200</v>
          </cell>
        </row>
        <row r="2057">
          <cell r="C2057" t="str">
            <v>推广账户自动充值</v>
          </cell>
        </row>
        <row r="2057">
          <cell r="H2057" t="str">
            <v>余杭店</v>
          </cell>
          <cell r="I2057">
            <v>46001</v>
          </cell>
          <cell r="J2057">
            <v>200</v>
          </cell>
        </row>
        <row r="2058">
          <cell r="C2058" t="str">
            <v>推广账户自动充值</v>
          </cell>
        </row>
        <row r="2058">
          <cell r="H2058" t="str">
            <v>诚毅店</v>
          </cell>
          <cell r="I2058">
            <v>46001</v>
          </cell>
          <cell r="J2058">
            <v>200</v>
          </cell>
        </row>
        <row r="2059">
          <cell r="C2059" t="str">
            <v>推广账户自动充值</v>
          </cell>
        </row>
        <row r="2059">
          <cell r="H2059" t="str">
            <v>湖里店</v>
          </cell>
          <cell r="I2059">
            <v>46001</v>
          </cell>
          <cell r="J2059">
            <v>200</v>
          </cell>
        </row>
        <row r="2060">
          <cell r="C2060" t="str">
            <v>推广账户自动充值</v>
          </cell>
        </row>
        <row r="2060">
          <cell r="H2060" t="str">
            <v>东新店</v>
          </cell>
          <cell r="I2060">
            <v>46001</v>
          </cell>
          <cell r="J2060">
            <v>200</v>
          </cell>
        </row>
        <row r="2061">
          <cell r="C2061" t="str">
            <v>推广账户自动充值</v>
          </cell>
        </row>
        <row r="2061">
          <cell r="H2061" t="str">
            <v>沙坪坝店</v>
          </cell>
          <cell r="I2061">
            <v>46001</v>
          </cell>
          <cell r="J2061">
            <v>200</v>
          </cell>
        </row>
        <row r="2062">
          <cell r="C2062" t="str">
            <v>推广账户自动充值</v>
          </cell>
        </row>
        <row r="2062">
          <cell r="H2062" t="str">
            <v>鼓楼店</v>
          </cell>
          <cell r="I2062">
            <v>46001</v>
          </cell>
          <cell r="J2062">
            <v>200</v>
          </cell>
        </row>
        <row r="2063">
          <cell r="C2063" t="str">
            <v>推广账户自动充值</v>
          </cell>
        </row>
        <row r="2063">
          <cell r="H2063" t="str">
            <v>官渡店</v>
          </cell>
          <cell r="I2063">
            <v>46001</v>
          </cell>
          <cell r="J2063">
            <v>200</v>
          </cell>
        </row>
        <row r="2064">
          <cell r="C2064" t="str">
            <v>推广账户自动充值</v>
          </cell>
        </row>
        <row r="2064">
          <cell r="H2064" t="str">
            <v>观音桥店</v>
          </cell>
          <cell r="I2064">
            <v>46001</v>
          </cell>
          <cell r="J2064">
            <v>200</v>
          </cell>
        </row>
        <row r="2065">
          <cell r="C2065" t="str">
            <v>推广账户自动充值</v>
          </cell>
        </row>
        <row r="2065">
          <cell r="H2065" t="str">
            <v>凤城二路店</v>
          </cell>
          <cell r="I2065">
            <v>46001</v>
          </cell>
          <cell r="J2065">
            <v>200</v>
          </cell>
        </row>
        <row r="2066">
          <cell r="C2066" t="str">
            <v>推广账户自动充值</v>
          </cell>
        </row>
        <row r="2066">
          <cell r="H2066" t="str">
            <v>黄雁村店</v>
          </cell>
          <cell r="I2066">
            <v>46001</v>
          </cell>
          <cell r="J2066">
            <v>200</v>
          </cell>
        </row>
        <row r="2067">
          <cell r="C2067" t="str">
            <v>推广账户自动充值</v>
          </cell>
        </row>
        <row r="2067">
          <cell r="H2067" t="str">
            <v>五路口店</v>
          </cell>
          <cell r="I2067">
            <v>46001</v>
          </cell>
          <cell r="J2067">
            <v>200</v>
          </cell>
        </row>
        <row r="2068">
          <cell r="C2068" t="str">
            <v>推广账户自动充值</v>
          </cell>
        </row>
        <row r="2068">
          <cell r="H2068" t="str">
            <v>首山店</v>
          </cell>
          <cell r="I2068">
            <v>46001</v>
          </cell>
          <cell r="J2068">
            <v>200</v>
          </cell>
        </row>
        <row r="2069">
          <cell r="C2069" t="str">
            <v>推广账户自动充值</v>
          </cell>
        </row>
        <row r="2069">
          <cell r="H2069" t="str">
            <v>文昌店</v>
          </cell>
          <cell r="I2069">
            <v>46001</v>
          </cell>
          <cell r="J2069">
            <v>200</v>
          </cell>
        </row>
        <row r="2070">
          <cell r="C2070" t="str">
            <v>推广账户自动充值</v>
          </cell>
        </row>
        <row r="2070">
          <cell r="H2070" t="str">
            <v>大坪店</v>
          </cell>
          <cell r="I2070">
            <v>46001</v>
          </cell>
          <cell r="J2070">
            <v>200</v>
          </cell>
        </row>
        <row r="2071">
          <cell r="C2071" t="str">
            <v>推广账户自动充值</v>
          </cell>
        </row>
        <row r="2071">
          <cell r="H2071" t="str">
            <v>五华店</v>
          </cell>
          <cell r="I2071">
            <v>46001</v>
          </cell>
          <cell r="J2071">
            <v>200</v>
          </cell>
        </row>
        <row r="2072">
          <cell r="C2072" t="str">
            <v>推广账户自动充值</v>
          </cell>
        </row>
        <row r="2072">
          <cell r="H2072" t="str">
            <v>百捷店</v>
          </cell>
          <cell r="I2072">
            <v>46001</v>
          </cell>
          <cell r="J2072">
            <v>200</v>
          </cell>
        </row>
        <row r="2073">
          <cell r="C2073" t="str">
            <v>推广账户自动充值</v>
          </cell>
        </row>
        <row r="2073">
          <cell r="H2073" t="str">
            <v>济南店</v>
          </cell>
          <cell r="I2073">
            <v>46001</v>
          </cell>
          <cell r="J2073">
            <v>200</v>
          </cell>
        </row>
        <row r="2074">
          <cell r="C2074" t="str">
            <v>推广账户自动充值</v>
          </cell>
        </row>
        <row r="2074">
          <cell r="H2074" t="str">
            <v>西湖店</v>
          </cell>
          <cell r="I2074">
            <v>46001</v>
          </cell>
          <cell r="J2074">
            <v>200</v>
          </cell>
        </row>
        <row r="2075">
          <cell r="C2075" t="str">
            <v>推广账户自动充值</v>
          </cell>
        </row>
        <row r="2075">
          <cell r="H2075" t="str">
            <v>滨江店</v>
          </cell>
          <cell r="I2075">
            <v>46001</v>
          </cell>
          <cell r="J2075">
            <v>200</v>
          </cell>
        </row>
        <row r="2076">
          <cell r="C2076" t="str">
            <v>推广账户自动充值</v>
          </cell>
        </row>
        <row r="2076">
          <cell r="H2076" t="str">
            <v>西山店</v>
          </cell>
          <cell r="I2076">
            <v>46002</v>
          </cell>
          <cell r="J2076">
            <v>200</v>
          </cell>
        </row>
        <row r="2077">
          <cell r="C2077" t="str">
            <v>推广订单扣款</v>
          </cell>
        </row>
        <row r="2077">
          <cell r="H2077" t="str">
            <v>鼓楼店</v>
          </cell>
          <cell r="I2077">
            <v>46002</v>
          </cell>
          <cell r="J2077">
            <v>-447.85</v>
          </cell>
        </row>
        <row r="2078">
          <cell r="C2078" t="str">
            <v>推广订单扣款</v>
          </cell>
        </row>
        <row r="2078">
          <cell r="H2078" t="str">
            <v>首山店</v>
          </cell>
          <cell r="I2078">
            <v>46002</v>
          </cell>
          <cell r="J2078">
            <v>-330.58</v>
          </cell>
        </row>
        <row r="2079">
          <cell r="C2079" t="str">
            <v>推广订单扣款</v>
          </cell>
        </row>
        <row r="2079">
          <cell r="H2079" t="str">
            <v>西湖店</v>
          </cell>
          <cell r="I2079">
            <v>46002</v>
          </cell>
          <cell r="J2079">
            <v>-234.54</v>
          </cell>
        </row>
        <row r="2080">
          <cell r="C2080" t="str">
            <v>推广订单扣款</v>
          </cell>
        </row>
        <row r="2080">
          <cell r="H2080" t="str">
            <v>洛江店</v>
          </cell>
          <cell r="I2080">
            <v>46002</v>
          </cell>
          <cell r="J2080">
            <v>-62.41</v>
          </cell>
        </row>
        <row r="2081">
          <cell r="C2081" t="str">
            <v>推广订单扣款</v>
          </cell>
        </row>
        <row r="2081">
          <cell r="H2081" t="str">
            <v>长沙店</v>
          </cell>
          <cell r="I2081">
            <v>46002</v>
          </cell>
          <cell r="J2081">
            <v>-171.59</v>
          </cell>
        </row>
        <row r="2082">
          <cell r="C2082" t="str">
            <v>推广订单扣款</v>
          </cell>
        </row>
        <row r="2082">
          <cell r="H2082" t="str">
            <v>海口店</v>
          </cell>
          <cell r="I2082">
            <v>46002</v>
          </cell>
          <cell r="J2082">
            <v>-194.19</v>
          </cell>
        </row>
        <row r="2083">
          <cell r="C2083" t="str">
            <v>推广订单扣款</v>
          </cell>
        </row>
        <row r="2083">
          <cell r="H2083" t="str">
            <v>五路口店</v>
          </cell>
          <cell r="I2083">
            <v>46002</v>
          </cell>
          <cell r="J2083">
            <v>-600</v>
          </cell>
        </row>
        <row r="2084">
          <cell r="C2084" t="str">
            <v>推广订单扣款</v>
          </cell>
        </row>
        <row r="2084">
          <cell r="H2084" t="str">
            <v>五华店</v>
          </cell>
          <cell r="I2084">
            <v>46002</v>
          </cell>
          <cell r="J2084">
            <v>-237.1</v>
          </cell>
        </row>
        <row r="2085">
          <cell r="C2085" t="str">
            <v>推广订单扣款</v>
          </cell>
        </row>
        <row r="2085">
          <cell r="H2085" t="str">
            <v>百丈店</v>
          </cell>
          <cell r="I2085">
            <v>46002</v>
          </cell>
          <cell r="J2085">
            <v>-222.92</v>
          </cell>
        </row>
        <row r="2086">
          <cell r="C2086" t="str">
            <v>推广订单扣款</v>
          </cell>
        </row>
        <row r="2086">
          <cell r="H2086" t="str">
            <v>东新店</v>
          </cell>
          <cell r="I2086">
            <v>46002</v>
          </cell>
          <cell r="J2086">
            <v>-372.39</v>
          </cell>
        </row>
        <row r="2087">
          <cell r="C2087" t="str">
            <v>推广订单扣款</v>
          </cell>
        </row>
        <row r="2087">
          <cell r="H2087" t="str">
            <v>沙坪坝店</v>
          </cell>
          <cell r="I2087">
            <v>46002</v>
          </cell>
          <cell r="J2087">
            <v>-131.6</v>
          </cell>
        </row>
        <row r="2088">
          <cell r="C2088" t="str">
            <v>推广订单扣款</v>
          </cell>
        </row>
        <row r="2088">
          <cell r="H2088" t="str">
            <v>东海店</v>
          </cell>
          <cell r="I2088">
            <v>46002</v>
          </cell>
          <cell r="J2088">
            <v>-122.81</v>
          </cell>
        </row>
        <row r="2089">
          <cell r="C2089" t="str">
            <v>推广订单扣款</v>
          </cell>
        </row>
        <row r="2089">
          <cell r="H2089" t="str">
            <v>官渡店</v>
          </cell>
          <cell r="I2089">
            <v>46002</v>
          </cell>
          <cell r="J2089">
            <v>-321.71</v>
          </cell>
        </row>
        <row r="2090">
          <cell r="C2090" t="str">
            <v>推广订单扣款</v>
          </cell>
        </row>
        <row r="2090">
          <cell r="H2090" t="str">
            <v>文灶店</v>
          </cell>
          <cell r="I2090">
            <v>46002</v>
          </cell>
          <cell r="J2090">
            <v>-133.4</v>
          </cell>
        </row>
        <row r="2091">
          <cell r="C2091" t="str">
            <v>推广订单扣款</v>
          </cell>
        </row>
        <row r="2091">
          <cell r="H2091" t="str">
            <v>启点店</v>
          </cell>
          <cell r="I2091">
            <v>46002</v>
          </cell>
          <cell r="J2091">
            <v>-204.92</v>
          </cell>
        </row>
        <row r="2092">
          <cell r="C2092" t="str">
            <v>推广订单扣款</v>
          </cell>
        </row>
        <row r="2092">
          <cell r="H2092" t="str">
            <v>百捷店</v>
          </cell>
          <cell r="I2092">
            <v>46002</v>
          </cell>
          <cell r="J2092">
            <v>-127.38</v>
          </cell>
        </row>
        <row r="2093">
          <cell r="C2093" t="str">
            <v>推广订单扣款</v>
          </cell>
        </row>
        <row r="2093">
          <cell r="H2093" t="str">
            <v>诚毅店</v>
          </cell>
          <cell r="I2093">
            <v>46002</v>
          </cell>
          <cell r="J2093">
            <v>-237.79</v>
          </cell>
        </row>
        <row r="2094">
          <cell r="C2094" t="str">
            <v>推广订单扣款</v>
          </cell>
        </row>
        <row r="2094">
          <cell r="H2094" t="str">
            <v>黄雁村店</v>
          </cell>
          <cell r="I2094">
            <v>46002</v>
          </cell>
          <cell r="J2094">
            <v>-351.71</v>
          </cell>
        </row>
        <row r="2095">
          <cell r="C2095" t="str">
            <v>推广订单扣款</v>
          </cell>
        </row>
        <row r="2095">
          <cell r="H2095" t="str">
            <v>观桥店</v>
          </cell>
          <cell r="I2095">
            <v>46002</v>
          </cell>
          <cell r="J2095">
            <v>-138.75</v>
          </cell>
        </row>
        <row r="2096">
          <cell r="C2096" t="str">
            <v>推广订单扣款</v>
          </cell>
        </row>
        <row r="2096">
          <cell r="H2096" t="str">
            <v>济南店</v>
          </cell>
          <cell r="I2096">
            <v>46002</v>
          </cell>
          <cell r="J2096">
            <v>-450.64</v>
          </cell>
        </row>
        <row r="2097">
          <cell r="C2097" t="str">
            <v>推广订单扣款</v>
          </cell>
        </row>
        <row r="2097">
          <cell r="H2097" t="str">
            <v>成华店</v>
          </cell>
          <cell r="I2097">
            <v>46002</v>
          </cell>
          <cell r="J2097">
            <v>-36.57</v>
          </cell>
        </row>
        <row r="2098">
          <cell r="C2098" t="str">
            <v>推广订单扣款</v>
          </cell>
        </row>
        <row r="2098">
          <cell r="H2098" t="str">
            <v>大坪店</v>
          </cell>
          <cell r="I2098">
            <v>46002</v>
          </cell>
          <cell r="J2098">
            <v>-396.42</v>
          </cell>
        </row>
        <row r="2099">
          <cell r="C2099" t="str">
            <v>推广订单扣款</v>
          </cell>
        </row>
        <row r="2099">
          <cell r="H2099" t="str">
            <v>文昌店</v>
          </cell>
          <cell r="I2099">
            <v>46002</v>
          </cell>
          <cell r="J2099">
            <v>-225.71</v>
          </cell>
        </row>
        <row r="2100">
          <cell r="C2100" t="str">
            <v>推广订单扣款</v>
          </cell>
        </row>
        <row r="2100">
          <cell r="H2100" t="str">
            <v>金牛店</v>
          </cell>
          <cell r="I2100">
            <v>46002</v>
          </cell>
          <cell r="J2100">
            <v>-80.65</v>
          </cell>
        </row>
        <row r="2101">
          <cell r="C2101" t="str">
            <v>推广订单扣款</v>
          </cell>
        </row>
        <row r="2101">
          <cell r="H2101" t="str">
            <v>高新店</v>
          </cell>
          <cell r="I2101">
            <v>46002</v>
          </cell>
          <cell r="J2101">
            <v>-289.26</v>
          </cell>
        </row>
        <row r="2102">
          <cell r="C2102" t="str">
            <v>推广订单扣款</v>
          </cell>
        </row>
        <row r="2102">
          <cell r="H2102" t="str">
            <v>观音桥店</v>
          </cell>
          <cell r="I2102">
            <v>46002</v>
          </cell>
          <cell r="J2102">
            <v>-543.84</v>
          </cell>
        </row>
        <row r="2103">
          <cell r="C2103" t="str">
            <v>推广订单扣款</v>
          </cell>
        </row>
        <row r="2103">
          <cell r="H2103" t="str">
            <v>湖里店</v>
          </cell>
          <cell r="I2103">
            <v>46002</v>
          </cell>
          <cell r="J2103">
            <v>-237.97</v>
          </cell>
        </row>
        <row r="2104">
          <cell r="C2104" t="str">
            <v>推广订单扣款</v>
          </cell>
        </row>
        <row r="2104">
          <cell r="H2104" t="str">
            <v>西山店</v>
          </cell>
          <cell r="I2104">
            <v>46002</v>
          </cell>
          <cell r="J2104">
            <v>-209.62</v>
          </cell>
        </row>
        <row r="2105">
          <cell r="C2105" t="str">
            <v>推广订单扣款</v>
          </cell>
        </row>
        <row r="2105">
          <cell r="H2105" t="str">
            <v>余杭店</v>
          </cell>
          <cell r="I2105">
            <v>46002</v>
          </cell>
          <cell r="J2105">
            <v>-193.63</v>
          </cell>
        </row>
        <row r="2106">
          <cell r="C2106" t="str">
            <v>推广订单扣款</v>
          </cell>
        </row>
        <row r="2106">
          <cell r="H2106" t="str">
            <v>滨江店</v>
          </cell>
          <cell r="I2106">
            <v>46002</v>
          </cell>
          <cell r="J2106">
            <v>-231.46</v>
          </cell>
        </row>
        <row r="2107">
          <cell r="C2107" t="str">
            <v>推广订单扣款</v>
          </cell>
        </row>
        <row r="2107">
          <cell r="H2107" t="str">
            <v>武侯店</v>
          </cell>
          <cell r="I2107">
            <v>46002</v>
          </cell>
          <cell r="J2107">
            <v>-43.11</v>
          </cell>
        </row>
        <row r="2108">
          <cell r="C2108" t="str">
            <v>推广订单扣款</v>
          </cell>
        </row>
        <row r="2108">
          <cell r="H2108" t="str">
            <v>华信店</v>
          </cell>
          <cell r="I2108">
            <v>46002</v>
          </cell>
          <cell r="J2108">
            <v>-180</v>
          </cell>
        </row>
        <row r="2109">
          <cell r="C2109" t="str">
            <v>推广订单扣款</v>
          </cell>
        </row>
        <row r="2109">
          <cell r="H2109" t="str">
            <v>首南店</v>
          </cell>
          <cell r="I2109">
            <v>46002</v>
          </cell>
          <cell r="J2109">
            <v>-300</v>
          </cell>
        </row>
        <row r="2110">
          <cell r="C2110" t="str">
            <v>推广订单扣款</v>
          </cell>
        </row>
        <row r="2110">
          <cell r="H2110" t="str">
            <v>青羊店</v>
          </cell>
          <cell r="I2110">
            <v>46002</v>
          </cell>
          <cell r="J2110">
            <v>-56.95</v>
          </cell>
        </row>
        <row r="2111">
          <cell r="C2111" t="str">
            <v>推广订单扣款</v>
          </cell>
        </row>
        <row r="2111">
          <cell r="H2111" t="str">
            <v>凤城二路店</v>
          </cell>
          <cell r="I2111">
            <v>46002</v>
          </cell>
          <cell r="J2111">
            <v>-627.9</v>
          </cell>
        </row>
        <row r="2112">
          <cell r="C2112" t="str">
            <v>推广账户自动充值</v>
          </cell>
        </row>
        <row r="2112">
          <cell r="H2112" t="str">
            <v>观音桥店</v>
          </cell>
          <cell r="I2112">
            <v>46002</v>
          </cell>
          <cell r="J2112">
            <v>200</v>
          </cell>
        </row>
        <row r="2113">
          <cell r="C2113" t="str">
            <v>推广账户自动充值</v>
          </cell>
        </row>
        <row r="2113">
          <cell r="H2113" t="str">
            <v>凤城二路店</v>
          </cell>
          <cell r="I2113">
            <v>46002</v>
          </cell>
          <cell r="J2113">
            <v>200</v>
          </cell>
        </row>
        <row r="2114">
          <cell r="C2114" t="str">
            <v>推广账户自动充值</v>
          </cell>
        </row>
        <row r="2114">
          <cell r="H2114" t="str">
            <v>东新店</v>
          </cell>
          <cell r="I2114">
            <v>46002</v>
          </cell>
          <cell r="J2114">
            <v>200</v>
          </cell>
        </row>
        <row r="2115">
          <cell r="C2115" t="str">
            <v>推广账户自动充值</v>
          </cell>
        </row>
        <row r="2115">
          <cell r="H2115" t="str">
            <v>五路口店</v>
          </cell>
          <cell r="I2115">
            <v>46002</v>
          </cell>
          <cell r="J2115">
            <v>200</v>
          </cell>
        </row>
        <row r="2116">
          <cell r="C2116" t="str">
            <v>推广账户自动充值</v>
          </cell>
        </row>
        <row r="2116">
          <cell r="H2116" t="str">
            <v>鼓楼店</v>
          </cell>
          <cell r="I2116">
            <v>46002</v>
          </cell>
          <cell r="J2116">
            <v>200</v>
          </cell>
        </row>
        <row r="2117">
          <cell r="C2117" t="str">
            <v>推广账户自动充值</v>
          </cell>
        </row>
        <row r="2117">
          <cell r="H2117" t="str">
            <v>华信店</v>
          </cell>
          <cell r="I2117">
            <v>46002</v>
          </cell>
          <cell r="J2117">
            <v>200</v>
          </cell>
        </row>
        <row r="2118">
          <cell r="C2118" t="str">
            <v>推广账户自动充值</v>
          </cell>
        </row>
        <row r="2118">
          <cell r="H2118" t="str">
            <v>首南店</v>
          </cell>
          <cell r="I2118">
            <v>46002</v>
          </cell>
          <cell r="J2118">
            <v>200</v>
          </cell>
        </row>
        <row r="2119">
          <cell r="C2119" t="str">
            <v>推广账户自动充值</v>
          </cell>
        </row>
        <row r="2119">
          <cell r="H2119" t="str">
            <v>长沙店</v>
          </cell>
          <cell r="I2119">
            <v>46002</v>
          </cell>
          <cell r="J2119">
            <v>200</v>
          </cell>
        </row>
        <row r="2120">
          <cell r="C2120" t="str">
            <v>推广账户自动充值</v>
          </cell>
        </row>
        <row r="2120">
          <cell r="H2120" t="str">
            <v>官渡店</v>
          </cell>
          <cell r="I2120">
            <v>46002</v>
          </cell>
          <cell r="J2120">
            <v>200</v>
          </cell>
        </row>
        <row r="2121">
          <cell r="C2121" t="str">
            <v>推广账户自动充值</v>
          </cell>
        </row>
        <row r="2121">
          <cell r="H2121" t="str">
            <v>观桥店</v>
          </cell>
          <cell r="I2121">
            <v>46002</v>
          </cell>
          <cell r="J2121">
            <v>200</v>
          </cell>
        </row>
        <row r="2122">
          <cell r="C2122" t="str">
            <v>推广订单扣款</v>
          </cell>
        </row>
        <row r="2122">
          <cell r="H2122" t="str">
            <v>鼓楼店</v>
          </cell>
          <cell r="I2122">
            <v>46003</v>
          </cell>
          <cell r="J2122">
            <v>-289.96</v>
          </cell>
        </row>
        <row r="2123">
          <cell r="C2123" t="str">
            <v>推广订单扣款</v>
          </cell>
        </row>
        <row r="2123">
          <cell r="H2123" t="str">
            <v>首山店</v>
          </cell>
          <cell r="I2123">
            <v>46003</v>
          </cell>
          <cell r="J2123">
            <v>-211.35</v>
          </cell>
        </row>
        <row r="2124">
          <cell r="C2124" t="str">
            <v>推广订单扣款</v>
          </cell>
        </row>
        <row r="2124">
          <cell r="H2124" t="str">
            <v>西湖店</v>
          </cell>
          <cell r="I2124">
            <v>46003</v>
          </cell>
          <cell r="J2124">
            <v>-249.18</v>
          </cell>
        </row>
        <row r="2125">
          <cell r="C2125" t="str">
            <v>推广订单扣款</v>
          </cell>
        </row>
        <row r="2125">
          <cell r="H2125" t="str">
            <v>长沙店</v>
          </cell>
          <cell r="I2125">
            <v>46003</v>
          </cell>
          <cell r="J2125">
            <v>-191.86</v>
          </cell>
        </row>
        <row r="2126">
          <cell r="C2126" t="str">
            <v>推广订单扣款</v>
          </cell>
        </row>
        <row r="2126">
          <cell r="H2126" t="str">
            <v>海口店</v>
          </cell>
          <cell r="I2126">
            <v>46003</v>
          </cell>
          <cell r="J2126">
            <v>-196.8</v>
          </cell>
        </row>
        <row r="2127">
          <cell r="C2127" t="str">
            <v>推广订单扣款</v>
          </cell>
        </row>
        <row r="2127">
          <cell r="H2127" t="str">
            <v>五路口店</v>
          </cell>
          <cell r="I2127">
            <v>46003</v>
          </cell>
          <cell r="J2127">
            <v>-362.02</v>
          </cell>
        </row>
        <row r="2128">
          <cell r="C2128" t="str">
            <v>推广订单扣款</v>
          </cell>
        </row>
        <row r="2128">
          <cell r="H2128" t="str">
            <v>五华店</v>
          </cell>
          <cell r="I2128">
            <v>46003</v>
          </cell>
          <cell r="J2128">
            <v>-188.72</v>
          </cell>
        </row>
        <row r="2129">
          <cell r="C2129" t="str">
            <v>推广订单扣款</v>
          </cell>
        </row>
        <row r="2129">
          <cell r="H2129" t="str">
            <v>百丈店</v>
          </cell>
          <cell r="I2129">
            <v>46003</v>
          </cell>
          <cell r="J2129">
            <v>-167.16</v>
          </cell>
        </row>
        <row r="2130">
          <cell r="C2130" t="str">
            <v>推广订单扣款</v>
          </cell>
        </row>
        <row r="2130">
          <cell r="H2130" t="str">
            <v>东新店</v>
          </cell>
          <cell r="I2130">
            <v>46003</v>
          </cell>
          <cell r="J2130">
            <v>-361.68</v>
          </cell>
        </row>
        <row r="2131">
          <cell r="C2131" t="str">
            <v>推广订单扣款</v>
          </cell>
        </row>
        <row r="2131">
          <cell r="H2131" t="str">
            <v>沙坪坝店</v>
          </cell>
          <cell r="I2131">
            <v>46003</v>
          </cell>
          <cell r="J2131">
            <v>-132.81</v>
          </cell>
        </row>
        <row r="2132">
          <cell r="C2132" t="str">
            <v>推广订单扣款</v>
          </cell>
        </row>
        <row r="2132">
          <cell r="H2132" t="str">
            <v>东海店</v>
          </cell>
          <cell r="I2132">
            <v>46003</v>
          </cell>
          <cell r="J2132">
            <v>-131.54</v>
          </cell>
        </row>
        <row r="2133">
          <cell r="C2133" t="str">
            <v>推广订单扣款</v>
          </cell>
        </row>
        <row r="2133">
          <cell r="H2133" t="str">
            <v>官渡店</v>
          </cell>
          <cell r="I2133">
            <v>46003</v>
          </cell>
          <cell r="J2133">
            <v>-380.55</v>
          </cell>
        </row>
        <row r="2134">
          <cell r="C2134" t="str">
            <v>推广订单扣款</v>
          </cell>
        </row>
        <row r="2134">
          <cell r="H2134" t="str">
            <v>文灶店</v>
          </cell>
          <cell r="I2134">
            <v>46003</v>
          </cell>
          <cell r="J2134">
            <v>-156.85</v>
          </cell>
        </row>
        <row r="2135">
          <cell r="C2135" t="str">
            <v>推广订单扣款</v>
          </cell>
        </row>
        <row r="2135">
          <cell r="H2135" t="str">
            <v>启点店</v>
          </cell>
          <cell r="I2135">
            <v>46003</v>
          </cell>
          <cell r="J2135">
            <v>-219.78</v>
          </cell>
        </row>
        <row r="2136">
          <cell r="C2136" t="str">
            <v>推广订单扣款</v>
          </cell>
        </row>
        <row r="2136">
          <cell r="H2136" t="str">
            <v>百捷店</v>
          </cell>
          <cell r="I2136">
            <v>46003</v>
          </cell>
          <cell r="J2136">
            <v>-150.94</v>
          </cell>
        </row>
        <row r="2137">
          <cell r="C2137" t="str">
            <v>推广订单扣款</v>
          </cell>
        </row>
        <row r="2137">
          <cell r="H2137" t="str">
            <v>诚毅店</v>
          </cell>
          <cell r="I2137">
            <v>46003</v>
          </cell>
          <cell r="J2137">
            <v>-180.85</v>
          </cell>
        </row>
        <row r="2138">
          <cell r="C2138" t="str">
            <v>推广订单扣款</v>
          </cell>
        </row>
        <row r="2138">
          <cell r="H2138" t="str">
            <v>观桥店</v>
          </cell>
          <cell r="I2138">
            <v>46003</v>
          </cell>
          <cell r="J2138">
            <v>-99.06</v>
          </cell>
        </row>
        <row r="2139">
          <cell r="C2139" t="str">
            <v>推广订单扣款</v>
          </cell>
        </row>
        <row r="2139">
          <cell r="H2139" t="str">
            <v>成华店</v>
          </cell>
          <cell r="I2139">
            <v>46003</v>
          </cell>
          <cell r="J2139">
            <v>-48.25</v>
          </cell>
        </row>
        <row r="2140">
          <cell r="C2140" t="str">
            <v>推广订单扣款</v>
          </cell>
        </row>
        <row r="2140">
          <cell r="H2140" t="str">
            <v>黄雁村店</v>
          </cell>
          <cell r="I2140">
            <v>46003</v>
          </cell>
          <cell r="J2140">
            <v>-266.84</v>
          </cell>
        </row>
        <row r="2141">
          <cell r="C2141" t="str">
            <v>推广订单扣款</v>
          </cell>
        </row>
        <row r="2141">
          <cell r="H2141" t="str">
            <v>济南店</v>
          </cell>
          <cell r="I2141">
            <v>46003</v>
          </cell>
          <cell r="J2141">
            <v>-215.39</v>
          </cell>
        </row>
        <row r="2142">
          <cell r="C2142" t="str">
            <v>推广订单扣款</v>
          </cell>
        </row>
        <row r="2142">
          <cell r="H2142" t="str">
            <v>大坪店</v>
          </cell>
          <cell r="I2142">
            <v>46003</v>
          </cell>
          <cell r="J2142">
            <v>-388.14</v>
          </cell>
        </row>
        <row r="2143">
          <cell r="C2143" t="str">
            <v>推广订单扣款</v>
          </cell>
        </row>
        <row r="2143">
          <cell r="H2143" t="str">
            <v>文昌店</v>
          </cell>
          <cell r="I2143">
            <v>46003</v>
          </cell>
          <cell r="J2143">
            <v>-206.01</v>
          </cell>
        </row>
        <row r="2144">
          <cell r="C2144" t="str">
            <v>推广订单扣款</v>
          </cell>
        </row>
        <row r="2144">
          <cell r="H2144" t="str">
            <v>金牛店</v>
          </cell>
          <cell r="I2144">
            <v>46003</v>
          </cell>
          <cell r="J2144">
            <v>-138.19</v>
          </cell>
        </row>
        <row r="2145">
          <cell r="C2145" t="str">
            <v>推广订单扣款</v>
          </cell>
        </row>
        <row r="2145">
          <cell r="H2145" t="str">
            <v>高新店</v>
          </cell>
          <cell r="I2145">
            <v>46003</v>
          </cell>
          <cell r="J2145">
            <v>-151.38</v>
          </cell>
        </row>
        <row r="2146">
          <cell r="C2146" t="str">
            <v>推广订单扣款</v>
          </cell>
        </row>
        <row r="2146">
          <cell r="H2146" t="str">
            <v>观音桥店</v>
          </cell>
          <cell r="I2146">
            <v>46003</v>
          </cell>
          <cell r="J2146">
            <v>-324.2</v>
          </cell>
        </row>
        <row r="2147">
          <cell r="C2147" t="str">
            <v>推广订单扣款</v>
          </cell>
        </row>
        <row r="2147">
          <cell r="H2147" t="str">
            <v>湖里店</v>
          </cell>
          <cell r="I2147">
            <v>46003</v>
          </cell>
          <cell r="J2147">
            <v>-211.99</v>
          </cell>
        </row>
        <row r="2148">
          <cell r="C2148" t="str">
            <v>推广订单扣款</v>
          </cell>
        </row>
        <row r="2148">
          <cell r="H2148" t="str">
            <v>西山店</v>
          </cell>
          <cell r="I2148">
            <v>46003</v>
          </cell>
          <cell r="J2148">
            <v>-167.41</v>
          </cell>
        </row>
        <row r="2149">
          <cell r="C2149" t="str">
            <v>推广订单扣款</v>
          </cell>
        </row>
        <row r="2149">
          <cell r="H2149" t="str">
            <v>余杭店</v>
          </cell>
          <cell r="I2149">
            <v>46003</v>
          </cell>
          <cell r="J2149">
            <v>-184.48</v>
          </cell>
        </row>
        <row r="2150">
          <cell r="C2150" t="str">
            <v>推广订单扣款</v>
          </cell>
        </row>
        <row r="2150">
          <cell r="H2150" t="str">
            <v>武侯店</v>
          </cell>
          <cell r="I2150">
            <v>46003</v>
          </cell>
          <cell r="J2150">
            <v>-46.62</v>
          </cell>
        </row>
        <row r="2151">
          <cell r="C2151" t="str">
            <v>推广订单扣款</v>
          </cell>
        </row>
        <row r="2151">
          <cell r="H2151" t="str">
            <v>华信店</v>
          </cell>
          <cell r="I2151">
            <v>46003</v>
          </cell>
          <cell r="J2151">
            <v>-180</v>
          </cell>
        </row>
        <row r="2152">
          <cell r="C2152" t="str">
            <v>推广订单扣款</v>
          </cell>
        </row>
        <row r="2152">
          <cell r="H2152" t="str">
            <v>青羊店</v>
          </cell>
          <cell r="I2152">
            <v>46003</v>
          </cell>
          <cell r="J2152">
            <v>-85.5</v>
          </cell>
        </row>
        <row r="2153">
          <cell r="C2153" t="str">
            <v>推广订单扣款</v>
          </cell>
        </row>
        <row r="2153">
          <cell r="H2153" t="str">
            <v>滨江店</v>
          </cell>
          <cell r="I2153">
            <v>46003</v>
          </cell>
          <cell r="J2153">
            <v>-5.54</v>
          </cell>
        </row>
        <row r="2154">
          <cell r="C2154" t="str">
            <v>推广订单扣款</v>
          </cell>
        </row>
        <row r="2154">
          <cell r="H2154" t="str">
            <v>首南店</v>
          </cell>
          <cell r="I2154">
            <v>46003</v>
          </cell>
          <cell r="J2154">
            <v>-269.85</v>
          </cell>
        </row>
        <row r="2155">
          <cell r="C2155" t="str">
            <v>推广订单扣款</v>
          </cell>
        </row>
        <row r="2155">
          <cell r="H2155" t="str">
            <v>凤城二路店</v>
          </cell>
          <cell r="I2155">
            <v>46003</v>
          </cell>
          <cell r="J2155">
            <v>-417.43</v>
          </cell>
        </row>
        <row r="2156">
          <cell r="C2156" t="str">
            <v>推广账户自动充值</v>
          </cell>
        </row>
        <row r="2156">
          <cell r="H2156" t="str">
            <v>黄雁村店</v>
          </cell>
          <cell r="I2156">
            <v>46003</v>
          </cell>
          <cell r="J2156">
            <v>200</v>
          </cell>
        </row>
        <row r="2157">
          <cell r="C2157" t="str">
            <v>推广账户自动充值</v>
          </cell>
        </row>
        <row r="2157">
          <cell r="H2157" t="str">
            <v>凤城二路店</v>
          </cell>
          <cell r="I2157">
            <v>46003</v>
          </cell>
          <cell r="J2157">
            <v>200</v>
          </cell>
        </row>
        <row r="2158">
          <cell r="C2158" t="str">
            <v>推广账户自动充值</v>
          </cell>
        </row>
        <row r="2158">
          <cell r="H2158" t="str">
            <v>百捷店</v>
          </cell>
          <cell r="I2158">
            <v>46003</v>
          </cell>
          <cell r="J2158">
            <v>200</v>
          </cell>
        </row>
        <row r="2159">
          <cell r="C2159" t="str">
            <v>推广账户自动充值</v>
          </cell>
        </row>
        <row r="2159">
          <cell r="H2159" t="str">
            <v>华信店</v>
          </cell>
          <cell r="I2159">
            <v>46003</v>
          </cell>
          <cell r="J2159">
            <v>200</v>
          </cell>
        </row>
        <row r="2160">
          <cell r="C2160" t="str">
            <v>推广账户自动充值</v>
          </cell>
        </row>
        <row r="2160">
          <cell r="H2160" t="str">
            <v>沙坪坝店</v>
          </cell>
          <cell r="I2160">
            <v>46003</v>
          </cell>
          <cell r="J2160">
            <v>200</v>
          </cell>
        </row>
        <row r="2161">
          <cell r="C2161" t="str">
            <v>推广账户自动充值</v>
          </cell>
        </row>
        <row r="2161">
          <cell r="H2161" t="str">
            <v>西山店</v>
          </cell>
          <cell r="I2161">
            <v>46003</v>
          </cell>
          <cell r="J2161">
            <v>200</v>
          </cell>
        </row>
        <row r="2162">
          <cell r="C2162" t="str">
            <v>推广账户自动充值</v>
          </cell>
        </row>
        <row r="2162">
          <cell r="H2162" t="str">
            <v>东新店</v>
          </cell>
          <cell r="I2162">
            <v>46003</v>
          </cell>
          <cell r="J2162">
            <v>200</v>
          </cell>
        </row>
        <row r="2163">
          <cell r="C2163" t="str">
            <v>推广账户自动充值</v>
          </cell>
        </row>
        <row r="2163">
          <cell r="H2163" t="str">
            <v>金牛店</v>
          </cell>
          <cell r="I2163">
            <v>46003</v>
          </cell>
          <cell r="J2163">
            <v>200</v>
          </cell>
        </row>
        <row r="2164">
          <cell r="C2164" t="str">
            <v>推广账户自动充值</v>
          </cell>
        </row>
        <row r="2164">
          <cell r="H2164" t="str">
            <v>长沙店</v>
          </cell>
          <cell r="I2164">
            <v>46003</v>
          </cell>
          <cell r="J2164">
            <v>200</v>
          </cell>
        </row>
        <row r="2165">
          <cell r="C2165" t="str">
            <v>推广账户自动充值</v>
          </cell>
        </row>
        <row r="2165">
          <cell r="H2165" t="str">
            <v>青羊店</v>
          </cell>
          <cell r="I2165">
            <v>46003</v>
          </cell>
          <cell r="J2165">
            <v>200</v>
          </cell>
        </row>
        <row r="2166">
          <cell r="C2166" t="str">
            <v>推广账户自动充值</v>
          </cell>
        </row>
        <row r="2166">
          <cell r="H2166" t="str">
            <v>海口店</v>
          </cell>
          <cell r="I2166">
            <v>46003</v>
          </cell>
          <cell r="J2166">
            <v>200</v>
          </cell>
        </row>
        <row r="2167">
          <cell r="C2167" t="str">
            <v>推广账户自动充值</v>
          </cell>
        </row>
        <row r="2167">
          <cell r="H2167" t="str">
            <v>观音桥店</v>
          </cell>
          <cell r="I2167">
            <v>46003</v>
          </cell>
          <cell r="J2167">
            <v>200</v>
          </cell>
        </row>
        <row r="2168">
          <cell r="C2168" t="str">
            <v>推广账户自动充值</v>
          </cell>
        </row>
        <row r="2168">
          <cell r="H2168" t="str">
            <v>余杭店</v>
          </cell>
          <cell r="I2168">
            <v>46003</v>
          </cell>
          <cell r="J2168">
            <v>200</v>
          </cell>
        </row>
        <row r="2169">
          <cell r="C2169" t="str">
            <v>推广账户自动充值</v>
          </cell>
        </row>
        <row r="2169">
          <cell r="H2169" t="str">
            <v>诚毅店</v>
          </cell>
          <cell r="I2169">
            <v>46003</v>
          </cell>
          <cell r="J2169">
            <v>200</v>
          </cell>
        </row>
        <row r="2170">
          <cell r="C2170" t="str">
            <v>推广账户自动充值</v>
          </cell>
        </row>
        <row r="2170">
          <cell r="H2170" t="str">
            <v>百丈店</v>
          </cell>
          <cell r="I2170">
            <v>46003</v>
          </cell>
          <cell r="J2170">
            <v>200</v>
          </cell>
        </row>
        <row r="2171">
          <cell r="C2171" t="str">
            <v>推广账户自动充值</v>
          </cell>
        </row>
        <row r="2171">
          <cell r="H2171" t="str">
            <v>湖里店</v>
          </cell>
          <cell r="I2171">
            <v>46003</v>
          </cell>
          <cell r="J2171">
            <v>200</v>
          </cell>
        </row>
        <row r="2172">
          <cell r="C2172" t="str">
            <v>推广账户自动充值</v>
          </cell>
        </row>
        <row r="2172">
          <cell r="H2172" t="str">
            <v>启点店</v>
          </cell>
          <cell r="I2172">
            <v>46003</v>
          </cell>
          <cell r="J2172">
            <v>200</v>
          </cell>
        </row>
        <row r="2173">
          <cell r="C2173" t="str">
            <v>推广账户自动充值</v>
          </cell>
        </row>
        <row r="2173">
          <cell r="H2173" t="str">
            <v>首南店</v>
          </cell>
          <cell r="I2173">
            <v>46003</v>
          </cell>
          <cell r="J2173">
            <v>200</v>
          </cell>
        </row>
        <row r="2174">
          <cell r="C2174" t="str">
            <v>推广账户自动充值</v>
          </cell>
        </row>
        <row r="2174">
          <cell r="H2174" t="str">
            <v>鼓楼店</v>
          </cell>
          <cell r="I2174">
            <v>46003</v>
          </cell>
          <cell r="J2174">
            <v>200</v>
          </cell>
        </row>
        <row r="2175">
          <cell r="C2175" t="str">
            <v>推广账户自动充值</v>
          </cell>
        </row>
        <row r="2175">
          <cell r="H2175" t="str">
            <v>五路口店</v>
          </cell>
          <cell r="I2175">
            <v>46003</v>
          </cell>
          <cell r="J2175">
            <v>200</v>
          </cell>
        </row>
        <row r="2176">
          <cell r="C2176" t="str">
            <v>推广账户自动充值</v>
          </cell>
        </row>
        <row r="2176">
          <cell r="H2176" t="str">
            <v>凤城二路店</v>
          </cell>
          <cell r="I2176">
            <v>46003</v>
          </cell>
          <cell r="J2176">
            <v>200</v>
          </cell>
        </row>
        <row r="2177">
          <cell r="C2177" t="str">
            <v>推广账户自动充值</v>
          </cell>
        </row>
        <row r="2177">
          <cell r="H2177" t="str">
            <v>武侯店</v>
          </cell>
          <cell r="I2177">
            <v>46003</v>
          </cell>
          <cell r="J2177">
            <v>200</v>
          </cell>
        </row>
        <row r="2178">
          <cell r="C2178" t="str">
            <v>推广账户自动充值</v>
          </cell>
        </row>
        <row r="2178">
          <cell r="H2178" t="str">
            <v>大坪店</v>
          </cell>
          <cell r="I2178">
            <v>46003</v>
          </cell>
          <cell r="J2178">
            <v>200</v>
          </cell>
        </row>
        <row r="2179">
          <cell r="C2179" t="str">
            <v>推广账户自动充值</v>
          </cell>
        </row>
        <row r="2179">
          <cell r="H2179" t="str">
            <v>西湖店</v>
          </cell>
          <cell r="I2179">
            <v>46003</v>
          </cell>
          <cell r="J2179">
            <v>200</v>
          </cell>
        </row>
        <row r="2180">
          <cell r="C2180" t="str">
            <v>推广账户自动充值</v>
          </cell>
        </row>
        <row r="2180">
          <cell r="H2180" t="str">
            <v>官渡店</v>
          </cell>
          <cell r="I2180">
            <v>46003</v>
          </cell>
          <cell r="J2180">
            <v>200</v>
          </cell>
        </row>
        <row r="2181">
          <cell r="C2181" t="str">
            <v>推广账户自动充值</v>
          </cell>
        </row>
        <row r="2181">
          <cell r="H2181" t="str">
            <v>高新店</v>
          </cell>
          <cell r="I2181">
            <v>46003</v>
          </cell>
          <cell r="J2181">
            <v>200</v>
          </cell>
        </row>
        <row r="2182">
          <cell r="C2182" t="str">
            <v>推广账户自动充值</v>
          </cell>
        </row>
        <row r="2182">
          <cell r="H2182" t="str">
            <v>首山店</v>
          </cell>
          <cell r="I2182">
            <v>46003</v>
          </cell>
          <cell r="J2182">
            <v>200</v>
          </cell>
        </row>
        <row r="2183">
          <cell r="C2183" t="str">
            <v>推广账户自动充值</v>
          </cell>
        </row>
        <row r="2183">
          <cell r="H2183" t="str">
            <v>济南店</v>
          </cell>
          <cell r="I2183">
            <v>46003</v>
          </cell>
          <cell r="J2183">
            <v>200</v>
          </cell>
        </row>
        <row r="2184">
          <cell r="C2184" t="str">
            <v>推广账户自动充值</v>
          </cell>
        </row>
        <row r="2184">
          <cell r="H2184" t="str">
            <v>文灶店</v>
          </cell>
          <cell r="I2184">
            <v>46003</v>
          </cell>
          <cell r="J2184">
            <v>200</v>
          </cell>
        </row>
        <row r="2185">
          <cell r="C2185" t="str">
            <v>推广账户自动充值</v>
          </cell>
        </row>
        <row r="2185">
          <cell r="H2185" t="str">
            <v>五华店</v>
          </cell>
          <cell r="I2185">
            <v>46003</v>
          </cell>
          <cell r="J2185">
            <v>200</v>
          </cell>
        </row>
        <row r="2186">
          <cell r="C2186" t="str">
            <v>推广订单扣款</v>
          </cell>
        </row>
        <row r="2186">
          <cell r="H2186" t="str">
            <v>鼓楼店</v>
          </cell>
          <cell r="I2186">
            <v>46004</v>
          </cell>
          <cell r="J2186">
            <v>-215.6</v>
          </cell>
        </row>
        <row r="2187">
          <cell r="C2187" t="str">
            <v>推广订单扣款</v>
          </cell>
        </row>
        <row r="2187">
          <cell r="H2187" t="str">
            <v>首山店</v>
          </cell>
          <cell r="I2187">
            <v>46004</v>
          </cell>
          <cell r="J2187">
            <v>-141.96</v>
          </cell>
        </row>
        <row r="2188">
          <cell r="C2188" t="str">
            <v>推广订单扣款</v>
          </cell>
        </row>
        <row r="2188">
          <cell r="H2188" t="str">
            <v>西湖店</v>
          </cell>
          <cell r="I2188">
            <v>46004</v>
          </cell>
          <cell r="J2188">
            <v>-197.1</v>
          </cell>
        </row>
        <row r="2189">
          <cell r="C2189" t="str">
            <v>推广订单扣款</v>
          </cell>
        </row>
        <row r="2189">
          <cell r="H2189" t="str">
            <v>长沙店</v>
          </cell>
          <cell r="I2189">
            <v>46004</v>
          </cell>
          <cell r="J2189">
            <v>-94.41</v>
          </cell>
        </row>
        <row r="2190">
          <cell r="C2190" t="str">
            <v>推广订单扣款</v>
          </cell>
        </row>
        <row r="2190">
          <cell r="H2190" t="str">
            <v>五路口店</v>
          </cell>
          <cell r="I2190">
            <v>46004</v>
          </cell>
          <cell r="J2190">
            <v>-134.11</v>
          </cell>
        </row>
        <row r="2191">
          <cell r="C2191" t="str">
            <v>推广订单扣款</v>
          </cell>
        </row>
        <row r="2191">
          <cell r="H2191" t="str">
            <v>海口店</v>
          </cell>
          <cell r="I2191">
            <v>46004</v>
          </cell>
          <cell r="J2191">
            <v>-200</v>
          </cell>
        </row>
        <row r="2192">
          <cell r="C2192" t="str">
            <v>推广订单扣款</v>
          </cell>
        </row>
        <row r="2192">
          <cell r="H2192" t="str">
            <v>五华店</v>
          </cell>
          <cell r="I2192">
            <v>46004</v>
          </cell>
          <cell r="J2192">
            <v>-205.81</v>
          </cell>
        </row>
        <row r="2193">
          <cell r="C2193" t="str">
            <v>推广订单扣款</v>
          </cell>
        </row>
        <row r="2193">
          <cell r="H2193" t="str">
            <v>百丈店</v>
          </cell>
          <cell r="I2193">
            <v>46004</v>
          </cell>
          <cell r="J2193">
            <v>-152.33</v>
          </cell>
        </row>
        <row r="2194">
          <cell r="C2194" t="str">
            <v>推广订单扣款</v>
          </cell>
        </row>
        <row r="2194">
          <cell r="H2194" t="str">
            <v>东新店</v>
          </cell>
          <cell r="I2194">
            <v>46004</v>
          </cell>
          <cell r="J2194">
            <v>-238.84</v>
          </cell>
        </row>
        <row r="2195">
          <cell r="C2195" t="str">
            <v>推广订单扣款</v>
          </cell>
        </row>
        <row r="2195">
          <cell r="H2195" t="str">
            <v>沙坪坝店</v>
          </cell>
          <cell r="I2195">
            <v>46004</v>
          </cell>
          <cell r="J2195">
            <v>-99.84</v>
          </cell>
        </row>
        <row r="2196">
          <cell r="C2196" t="str">
            <v>推广订单扣款</v>
          </cell>
        </row>
        <row r="2196">
          <cell r="H2196" t="str">
            <v>东海店</v>
          </cell>
          <cell r="I2196">
            <v>46004</v>
          </cell>
          <cell r="J2196">
            <v>-103.85</v>
          </cell>
        </row>
        <row r="2197">
          <cell r="C2197" t="str">
            <v>推广订单扣款</v>
          </cell>
        </row>
        <row r="2197">
          <cell r="H2197" t="str">
            <v>官渡店</v>
          </cell>
          <cell r="I2197">
            <v>46004</v>
          </cell>
          <cell r="J2197">
            <v>-125.44</v>
          </cell>
        </row>
        <row r="2198">
          <cell r="C2198" t="str">
            <v>推广订单扣款</v>
          </cell>
        </row>
        <row r="2198">
          <cell r="H2198" t="str">
            <v>文灶店</v>
          </cell>
          <cell r="I2198">
            <v>46004</v>
          </cell>
          <cell r="J2198">
            <v>-93.45</v>
          </cell>
        </row>
        <row r="2199">
          <cell r="C2199" t="str">
            <v>推广订单扣款</v>
          </cell>
        </row>
        <row r="2199">
          <cell r="H2199" t="str">
            <v>启点店</v>
          </cell>
          <cell r="I2199">
            <v>46004</v>
          </cell>
          <cell r="J2199">
            <v>-119.37</v>
          </cell>
        </row>
        <row r="2200">
          <cell r="C2200" t="str">
            <v>推广订单扣款</v>
          </cell>
        </row>
        <row r="2200">
          <cell r="H2200" t="str">
            <v>诚毅店</v>
          </cell>
          <cell r="I2200">
            <v>46004</v>
          </cell>
          <cell r="J2200">
            <v>-200</v>
          </cell>
        </row>
        <row r="2201">
          <cell r="C2201" t="str">
            <v>推广订单扣款</v>
          </cell>
        </row>
        <row r="2201">
          <cell r="H2201" t="str">
            <v>百捷店</v>
          </cell>
          <cell r="I2201">
            <v>46004</v>
          </cell>
          <cell r="J2201">
            <v>-133.23</v>
          </cell>
        </row>
        <row r="2202">
          <cell r="C2202" t="str">
            <v>推广订单扣款</v>
          </cell>
        </row>
        <row r="2202">
          <cell r="H2202" t="str">
            <v>观桥店</v>
          </cell>
          <cell r="I2202">
            <v>46004</v>
          </cell>
          <cell r="J2202">
            <v>-132.97</v>
          </cell>
        </row>
        <row r="2203">
          <cell r="C2203" t="str">
            <v>推广订单扣款</v>
          </cell>
        </row>
        <row r="2203">
          <cell r="H2203" t="str">
            <v>成华店</v>
          </cell>
          <cell r="I2203">
            <v>46004</v>
          </cell>
          <cell r="J2203">
            <v>-40.15</v>
          </cell>
        </row>
        <row r="2204">
          <cell r="C2204" t="str">
            <v>推广订单扣款</v>
          </cell>
        </row>
        <row r="2204">
          <cell r="H2204" t="str">
            <v>黄雁村店</v>
          </cell>
          <cell r="I2204">
            <v>46004</v>
          </cell>
          <cell r="J2204">
            <v>-200.15</v>
          </cell>
        </row>
        <row r="2205">
          <cell r="C2205" t="str">
            <v>推广订单扣款</v>
          </cell>
        </row>
        <row r="2205">
          <cell r="H2205" t="str">
            <v>济南店</v>
          </cell>
          <cell r="I2205">
            <v>46004</v>
          </cell>
          <cell r="J2205">
            <v>-194.46</v>
          </cell>
        </row>
        <row r="2206">
          <cell r="C2206" t="str">
            <v>推广订单扣款</v>
          </cell>
        </row>
        <row r="2206">
          <cell r="H2206" t="str">
            <v>大坪店</v>
          </cell>
          <cell r="I2206">
            <v>46004</v>
          </cell>
          <cell r="J2206">
            <v>-222.37</v>
          </cell>
        </row>
        <row r="2207">
          <cell r="C2207" t="str">
            <v>推广订单扣款</v>
          </cell>
        </row>
        <row r="2207">
          <cell r="H2207" t="str">
            <v>文昌店</v>
          </cell>
          <cell r="I2207">
            <v>46004</v>
          </cell>
          <cell r="J2207">
            <v>-135.23</v>
          </cell>
        </row>
        <row r="2208">
          <cell r="C2208" t="str">
            <v>推广订单扣款</v>
          </cell>
        </row>
        <row r="2208">
          <cell r="H2208" t="str">
            <v>金牛店</v>
          </cell>
          <cell r="I2208">
            <v>46004</v>
          </cell>
          <cell r="J2208">
            <v>-82.87</v>
          </cell>
        </row>
        <row r="2209">
          <cell r="C2209" t="str">
            <v>推广订单扣款</v>
          </cell>
        </row>
        <row r="2209">
          <cell r="H2209" t="str">
            <v>高新店</v>
          </cell>
          <cell r="I2209">
            <v>46004</v>
          </cell>
          <cell r="J2209">
            <v>-135.18</v>
          </cell>
        </row>
        <row r="2210">
          <cell r="C2210" t="str">
            <v>推广订单扣款</v>
          </cell>
        </row>
        <row r="2210">
          <cell r="H2210" t="str">
            <v>湖里店</v>
          </cell>
          <cell r="I2210">
            <v>46004</v>
          </cell>
          <cell r="J2210">
            <v>-106.44</v>
          </cell>
        </row>
        <row r="2211">
          <cell r="C2211" t="str">
            <v>推广订单扣款</v>
          </cell>
        </row>
        <row r="2211">
          <cell r="H2211" t="str">
            <v>观音桥店</v>
          </cell>
          <cell r="I2211">
            <v>46004</v>
          </cell>
          <cell r="J2211">
            <v>-310.53</v>
          </cell>
        </row>
        <row r="2212">
          <cell r="C2212" t="str">
            <v>推广订单扣款</v>
          </cell>
        </row>
        <row r="2212">
          <cell r="H2212" t="str">
            <v>武侯店</v>
          </cell>
          <cell r="I2212">
            <v>46004</v>
          </cell>
          <cell r="J2212">
            <v>-60.1</v>
          </cell>
        </row>
        <row r="2213">
          <cell r="C2213" t="str">
            <v>推广订单扣款</v>
          </cell>
        </row>
        <row r="2213">
          <cell r="H2213" t="str">
            <v>华信店</v>
          </cell>
          <cell r="I2213">
            <v>46004</v>
          </cell>
          <cell r="J2213">
            <v>-180</v>
          </cell>
        </row>
        <row r="2214">
          <cell r="C2214" t="str">
            <v>推广订单扣款</v>
          </cell>
        </row>
        <row r="2214">
          <cell r="H2214" t="str">
            <v>青羊店</v>
          </cell>
          <cell r="I2214">
            <v>46004</v>
          </cell>
          <cell r="J2214">
            <v>-82.84</v>
          </cell>
        </row>
        <row r="2215">
          <cell r="C2215" t="str">
            <v>推广订单扣款</v>
          </cell>
        </row>
        <row r="2215">
          <cell r="H2215" t="str">
            <v>西山店</v>
          </cell>
          <cell r="I2215">
            <v>46004</v>
          </cell>
          <cell r="J2215">
            <v>-231.58</v>
          </cell>
        </row>
        <row r="2216">
          <cell r="C2216" t="str">
            <v>推广订单扣款</v>
          </cell>
        </row>
        <row r="2216">
          <cell r="H2216" t="str">
            <v>余杭店</v>
          </cell>
          <cell r="I2216">
            <v>46004</v>
          </cell>
          <cell r="J2216">
            <v>-183.43</v>
          </cell>
        </row>
        <row r="2217">
          <cell r="C2217" t="str">
            <v>推广订单扣款</v>
          </cell>
        </row>
        <row r="2217">
          <cell r="H2217" t="str">
            <v>首南店</v>
          </cell>
          <cell r="I2217">
            <v>46004</v>
          </cell>
          <cell r="J2217">
            <v>-201.58</v>
          </cell>
        </row>
        <row r="2218">
          <cell r="C2218" t="str">
            <v>推广订单扣款</v>
          </cell>
        </row>
        <row r="2218">
          <cell r="H2218" t="str">
            <v>凤城二路店</v>
          </cell>
          <cell r="I2218">
            <v>46004</v>
          </cell>
          <cell r="J2218">
            <v>-320.63</v>
          </cell>
        </row>
        <row r="2219">
          <cell r="C2219" t="str">
            <v>推广账户自动充值</v>
          </cell>
        </row>
        <row r="2219">
          <cell r="H2219" t="str">
            <v>华信店</v>
          </cell>
          <cell r="I2219">
            <v>46004</v>
          </cell>
          <cell r="J2219">
            <v>200</v>
          </cell>
        </row>
        <row r="2220">
          <cell r="C2220" t="str">
            <v>推广账户自动充值</v>
          </cell>
        </row>
        <row r="2220">
          <cell r="H2220" t="str">
            <v>西山店</v>
          </cell>
          <cell r="I2220">
            <v>46004</v>
          </cell>
          <cell r="J2220">
            <v>200</v>
          </cell>
        </row>
        <row r="2221">
          <cell r="C2221" t="str">
            <v>推广账户自动充值</v>
          </cell>
        </row>
        <row r="2221">
          <cell r="H2221" t="str">
            <v>观桥店</v>
          </cell>
          <cell r="I2221">
            <v>46004</v>
          </cell>
          <cell r="J2221">
            <v>200</v>
          </cell>
        </row>
        <row r="2222">
          <cell r="C2222" t="str">
            <v>推广账户自动充值</v>
          </cell>
        </row>
        <row r="2222">
          <cell r="H2222" t="str">
            <v>观音桥店</v>
          </cell>
          <cell r="I2222">
            <v>46004</v>
          </cell>
          <cell r="J2222">
            <v>200</v>
          </cell>
        </row>
        <row r="2223">
          <cell r="C2223" t="str">
            <v>推广账户自动充值</v>
          </cell>
        </row>
        <row r="2223">
          <cell r="H2223" t="str">
            <v>黄雁村店</v>
          </cell>
          <cell r="I2223">
            <v>46004</v>
          </cell>
          <cell r="J2223">
            <v>200</v>
          </cell>
        </row>
        <row r="2224">
          <cell r="C2224" t="str">
            <v>推广账户自动充值</v>
          </cell>
        </row>
        <row r="2224">
          <cell r="H2224" t="str">
            <v>东新店</v>
          </cell>
          <cell r="I2224">
            <v>46004</v>
          </cell>
          <cell r="J2224">
            <v>200</v>
          </cell>
        </row>
        <row r="2225">
          <cell r="C2225" t="str">
            <v>推广账户自动充值</v>
          </cell>
        </row>
        <row r="2225">
          <cell r="H2225" t="str">
            <v>凤城二路店</v>
          </cell>
          <cell r="I2225">
            <v>46004</v>
          </cell>
          <cell r="J2225">
            <v>200</v>
          </cell>
        </row>
        <row r="2226">
          <cell r="C2226" t="str">
            <v>推广账户自动充值</v>
          </cell>
        </row>
        <row r="2226">
          <cell r="H2226" t="str">
            <v>海口店</v>
          </cell>
          <cell r="I2226">
            <v>46004</v>
          </cell>
          <cell r="J2226">
            <v>200</v>
          </cell>
        </row>
        <row r="2227">
          <cell r="C2227" t="str">
            <v>推广账户自动充值</v>
          </cell>
        </row>
        <row r="2227">
          <cell r="H2227" t="str">
            <v>五路口店</v>
          </cell>
          <cell r="I2227">
            <v>46004</v>
          </cell>
          <cell r="J2227">
            <v>200</v>
          </cell>
        </row>
        <row r="2228">
          <cell r="C2228" t="str">
            <v>推广账户自动充值</v>
          </cell>
        </row>
        <row r="2228">
          <cell r="H2228" t="str">
            <v>启点店</v>
          </cell>
          <cell r="I2228">
            <v>46004</v>
          </cell>
          <cell r="J2228">
            <v>200</v>
          </cell>
        </row>
        <row r="2229">
          <cell r="C2229" t="str">
            <v>推广账户自动充值</v>
          </cell>
        </row>
        <row r="2229">
          <cell r="H2229" t="str">
            <v>文昌店</v>
          </cell>
          <cell r="I2229">
            <v>46004</v>
          </cell>
          <cell r="J2229">
            <v>200</v>
          </cell>
        </row>
        <row r="2230">
          <cell r="C2230" t="str">
            <v>推广账户自动充值</v>
          </cell>
        </row>
        <row r="2230">
          <cell r="H2230" t="str">
            <v>鼓楼店</v>
          </cell>
          <cell r="I2230">
            <v>46004</v>
          </cell>
          <cell r="J2230">
            <v>200</v>
          </cell>
        </row>
        <row r="2231">
          <cell r="C2231" t="str">
            <v>推广账户自动充值</v>
          </cell>
        </row>
        <row r="2231">
          <cell r="H2231" t="str">
            <v>观音桥店</v>
          </cell>
          <cell r="I2231">
            <v>46004</v>
          </cell>
          <cell r="J2231">
            <v>200</v>
          </cell>
        </row>
        <row r="2232">
          <cell r="C2232" t="str">
            <v>推广账户自动充值</v>
          </cell>
        </row>
        <row r="2232">
          <cell r="H2232" t="str">
            <v>诚毅店</v>
          </cell>
          <cell r="I2232">
            <v>46004</v>
          </cell>
          <cell r="J2232">
            <v>200</v>
          </cell>
        </row>
        <row r="2233">
          <cell r="C2233" t="str">
            <v>推广账户自动充值</v>
          </cell>
        </row>
        <row r="2233">
          <cell r="H2233" t="str">
            <v>西山店</v>
          </cell>
          <cell r="I2233">
            <v>46004</v>
          </cell>
          <cell r="J2233">
            <v>200</v>
          </cell>
        </row>
        <row r="2234">
          <cell r="C2234" t="str">
            <v>推广账户自动充值</v>
          </cell>
        </row>
        <row r="2234">
          <cell r="H2234" t="str">
            <v>首南店</v>
          </cell>
          <cell r="I2234">
            <v>46004</v>
          </cell>
          <cell r="J2234">
            <v>200</v>
          </cell>
        </row>
        <row r="2235">
          <cell r="C2235" t="str">
            <v>推广账户自动充值</v>
          </cell>
        </row>
        <row r="2235">
          <cell r="H2235" t="str">
            <v>济南店</v>
          </cell>
          <cell r="I2235">
            <v>46004</v>
          </cell>
          <cell r="J2235">
            <v>200</v>
          </cell>
        </row>
        <row r="2236">
          <cell r="C2236" t="str">
            <v>推广账户自动充值</v>
          </cell>
        </row>
        <row r="2236">
          <cell r="H2236" t="str">
            <v>东海店</v>
          </cell>
          <cell r="I2236">
            <v>46004</v>
          </cell>
          <cell r="J2236">
            <v>200</v>
          </cell>
        </row>
        <row r="2237">
          <cell r="C2237" t="str">
            <v>推广账户自动充值</v>
          </cell>
        </row>
        <row r="2237">
          <cell r="H2237" t="str">
            <v>余杭店</v>
          </cell>
          <cell r="I2237">
            <v>46004</v>
          </cell>
          <cell r="J2237">
            <v>200</v>
          </cell>
        </row>
        <row r="2238">
          <cell r="C2238" t="str">
            <v>推广账户自动充值</v>
          </cell>
        </row>
        <row r="2238">
          <cell r="H2238" t="str">
            <v>金牛店</v>
          </cell>
          <cell r="I2238">
            <v>46004</v>
          </cell>
          <cell r="J2238">
            <v>200</v>
          </cell>
        </row>
        <row r="2239">
          <cell r="C2239" t="str">
            <v>推广账户自动充值</v>
          </cell>
        </row>
        <row r="2239">
          <cell r="H2239" t="str">
            <v>洛江店</v>
          </cell>
          <cell r="I2239">
            <v>46004</v>
          </cell>
          <cell r="J2239">
            <v>200</v>
          </cell>
        </row>
        <row r="2240">
          <cell r="C2240" t="str">
            <v>推广账户自动充值</v>
          </cell>
        </row>
        <row r="2240">
          <cell r="H2240" t="str">
            <v>成华店</v>
          </cell>
          <cell r="I2240">
            <v>46004</v>
          </cell>
          <cell r="J2240">
            <v>200</v>
          </cell>
        </row>
        <row r="2241">
          <cell r="C2241" t="str">
            <v>推广订单扣款</v>
          </cell>
        </row>
        <row r="2241">
          <cell r="H2241" t="str">
            <v>鼓楼店</v>
          </cell>
          <cell r="I2241">
            <v>46005</v>
          </cell>
          <cell r="J2241">
            <v>-198.84</v>
          </cell>
        </row>
        <row r="2242">
          <cell r="C2242" t="str">
            <v>推广订单扣款</v>
          </cell>
        </row>
        <row r="2242">
          <cell r="H2242" t="str">
            <v>首山店</v>
          </cell>
          <cell r="I2242">
            <v>46005</v>
          </cell>
          <cell r="J2242">
            <v>-148.3</v>
          </cell>
        </row>
        <row r="2243">
          <cell r="C2243" t="str">
            <v>推广订单扣款</v>
          </cell>
        </row>
        <row r="2243">
          <cell r="H2243" t="str">
            <v>西湖店</v>
          </cell>
          <cell r="I2243">
            <v>46005</v>
          </cell>
          <cell r="J2243">
            <v>-116.85</v>
          </cell>
        </row>
        <row r="2244">
          <cell r="C2244" t="str">
            <v>推广订单扣款</v>
          </cell>
        </row>
        <row r="2244">
          <cell r="H2244" t="str">
            <v>洛江店</v>
          </cell>
          <cell r="I2244">
            <v>46005</v>
          </cell>
          <cell r="J2244">
            <v>-15.69</v>
          </cell>
        </row>
        <row r="2245">
          <cell r="C2245" t="str">
            <v>推广订单扣款</v>
          </cell>
        </row>
        <row r="2245">
          <cell r="H2245" t="str">
            <v>长沙店</v>
          </cell>
          <cell r="I2245">
            <v>46005</v>
          </cell>
          <cell r="J2245">
            <v>-150.99</v>
          </cell>
        </row>
        <row r="2246">
          <cell r="C2246" t="str">
            <v>推广订单扣款</v>
          </cell>
        </row>
        <row r="2246">
          <cell r="H2246" t="str">
            <v>五路口店</v>
          </cell>
          <cell r="I2246">
            <v>46005</v>
          </cell>
          <cell r="J2246">
            <v>-236.4</v>
          </cell>
        </row>
        <row r="2247">
          <cell r="C2247" t="str">
            <v>推广订单扣款</v>
          </cell>
        </row>
        <row r="2247">
          <cell r="H2247" t="str">
            <v>海口店</v>
          </cell>
          <cell r="I2247">
            <v>46005</v>
          </cell>
          <cell r="J2247">
            <v>-200</v>
          </cell>
        </row>
        <row r="2248">
          <cell r="C2248" t="str">
            <v>推广订单扣款</v>
          </cell>
        </row>
        <row r="2248">
          <cell r="H2248" t="str">
            <v>五华店</v>
          </cell>
          <cell r="I2248">
            <v>46005</v>
          </cell>
          <cell r="J2248">
            <v>-142.18</v>
          </cell>
        </row>
        <row r="2249">
          <cell r="C2249" t="str">
            <v>推广订单扣款</v>
          </cell>
        </row>
        <row r="2249">
          <cell r="H2249" t="str">
            <v>百丈店</v>
          </cell>
          <cell r="I2249">
            <v>46005</v>
          </cell>
          <cell r="J2249">
            <v>-123.19</v>
          </cell>
        </row>
        <row r="2250">
          <cell r="C2250" t="str">
            <v>推广订单扣款</v>
          </cell>
        </row>
        <row r="2250">
          <cell r="H2250" t="str">
            <v>东新店</v>
          </cell>
          <cell r="I2250">
            <v>46005</v>
          </cell>
          <cell r="J2250">
            <v>-197.08</v>
          </cell>
        </row>
        <row r="2251">
          <cell r="C2251" t="str">
            <v>推广订单扣款</v>
          </cell>
        </row>
        <row r="2251">
          <cell r="H2251" t="str">
            <v>沙坪坝店</v>
          </cell>
          <cell r="I2251">
            <v>46005</v>
          </cell>
          <cell r="J2251">
            <v>-80.34</v>
          </cell>
        </row>
        <row r="2252">
          <cell r="C2252" t="str">
            <v>推广订单扣款</v>
          </cell>
        </row>
        <row r="2252">
          <cell r="H2252" t="str">
            <v>东海店</v>
          </cell>
          <cell r="I2252">
            <v>46005</v>
          </cell>
          <cell r="J2252">
            <v>-91.93</v>
          </cell>
        </row>
        <row r="2253">
          <cell r="C2253" t="str">
            <v>推广订单扣款</v>
          </cell>
        </row>
        <row r="2253">
          <cell r="H2253" t="str">
            <v>官渡店</v>
          </cell>
          <cell r="I2253">
            <v>46005</v>
          </cell>
          <cell r="J2253">
            <v>-144.31</v>
          </cell>
        </row>
        <row r="2254">
          <cell r="C2254" t="str">
            <v>推广订单扣款</v>
          </cell>
        </row>
        <row r="2254">
          <cell r="H2254" t="str">
            <v>文灶店</v>
          </cell>
          <cell r="I2254">
            <v>46005</v>
          </cell>
          <cell r="J2254">
            <v>-111.3</v>
          </cell>
        </row>
        <row r="2255">
          <cell r="C2255" t="str">
            <v>推广订单扣款</v>
          </cell>
        </row>
        <row r="2255">
          <cell r="H2255" t="str">
            <v>启点店</v>
          </cell>
          <cell r="I2255">
            <v>46005</v>
          </cell>
          <cell r="J2255">
            <v>-177.53</v>
          </cell>
        </row>
        <row r="2256">
          <cell r="C2256" t="str">
            <v>推广订单扣款</v>
          </cell>
        </row>
        <row r="2256">
          <cell r="H2256" t="str">
            <v>诚毅店</v>
          </cell>
          <cell r="I2256">
            <v>46005</v>
          </cell>
          <cell r="J2256">
            <v>-139.41</v>
          </cell>
        </row>
        <row r="2257">
          <cell r="C2257" t="str">
            <v>推广订单扣款</v>
          </cell>
        </row>
        <row r="2257">
          <cell r="H2257" t="str">
            <v>百捷店</v>
          </cell>
          <cell r="I2257">
            <v>46005</v>
          </cell>
          <cell r="J2257">
            <v>-46.65</v>
          </cell>
        </row>
        <row r="2258">
          <cell r="C2258" t="str">
            <v>推广订单扣款</v>
          </cell>
        </row>
        <row r="2258">
          <cell r="H2258" t="str">
            <v>观桥店</v>
          </cell>
          <cell r="I2258">
            <v>46005</v>
          </cell>
          <cell r="J2258">
            <v>-66.09</v>
          </cell>
        </row>
        <row r="2259">
          <cell r="C2259" t="str">
            <v>推广订单扣款</v>
          </cell>
        </row>
        <row r="2259">
          <cell r="H2259" t="str">
            <v>成华店</v>
          </cell>
          <cell r="I2259">
            <v>46005</v>
          </cell>
          <cell r="J2259">
            <v>-95.89</v>
          </cell>
        </row>
        <row r="2260">
          <cell r="C2260" t="str">
            <v>推广订单扣款</v>
          </cell>
        </row>
        <row r="2260">
          <cell r="H2260" t="str">
            <v>济南店</v>
          </cell>
          <cell r="I2260">
            <v>46005</v>
          </cell>
          <cell r="J2260">
            <v>-219.12</v>
          </cell>
        </row>
        <row r="2261">
          <cell r="C2261" t="str">
            <v>推广订单扣款</v>
          </cell>
        </row>
        <row r="2261">
          <cell r="H2261" t="str">
            <v>黄雁村店</v>
          </cell>
          <cell r="I2261">
            <v>46005</v>
          </cell>
          <cell r="J2261">
            <v>-197.93</v>
          </cell>
        </row>
        <row r="2262">
          <cell r="C2262" t="str">
            <v>推广订单扣款</v>
          </cell>
        </row>
        <row r="2262">
          <cell r="H2262" t="str">
            <v>大坪店</v>
          </cell>
          <cell r="I2262">
            <v>46005</v>
          </cell>
          <cell r="J2262">
            <v>-134.5</v>
          </cell>
        </row>
        <row r="2263">
          <cell r="C2263" t="str">
            <v>推广订单扣款</v>
          </cell>
        </row>
        <row r="2263">
          <cell r="H2263" t="str">
            <v>文昌店</v>
          </cell>
          <cell r="I2263">
            <v>46005</v>
          </cell>
          <cell r="J2263">
            <v>-109.66</v>
          </cell>
        </row>
        <row r="2264">
          <cell r="C2264" t="str">
            <v>推广订单扣款</v>
          </cell>
        </row>
        <row r="2264">
          <cell r="H2264" t="str">
            <v>金牛店</v>
          </cell>
          <cell r="I2264">
            <v>46005</v>
          </cell>
          <cell r="J2264">
            <v>-150</v>
          </cell>
        </row>
        <row r="2265">
          <cell r="C2265" t="str">
            <v>推广订单扣款</v>
          </cell>
        </row>
        <row r="2265">
          <cell r="H2265" t="str">
            <v>高新店</v>
          </cell>
          <cell r="I2265">
            <v>46005</v>
          </cell>
          <cell r="J2265">
            <v>-118.61</v>
          </cell>
        </row>
        <row r="2266">
          <cell r="C2266" t="str">
            <v>推广订单扣款</v>
          </cell>
        </row>
        <row r="2266">
          <cell r="H2266" t="str">
            <v>湖里店</v>
          </cell>
          <cell r="I2266">
            <v>46005</v>
          </cell>
          <cell r="J2266">
            <v>-137.51</v>
          </cell>
        </row>
        <row r="2267">
          <cell r="C2267" t="str">
            <v>推广订单扣款</v>
          </cell>
        </row>
        <row r="2267">
          <cell r="H2267" t="str">
            <v>观音桥店</v>
          </cell>
          <cell r="I2267">
            <v>46005</v>
          </cell>
          <cell r="J2267">
            <v>-365.58</v>
          </cell>
        </row>
        <row r="2268">
          <cell r="C2268" t="str">
            <v>推广订单扣款</v>
          </cell>
        </row>
        <row r="2268">
          <cell r="H2268" t="str">
            <v>武侯店</v>
          </cell>
          <cell r="I2268">
            <v>46005</v>
          </cell>
          <cell r="J2268">
            <v>-40.55</v>
          </cell>
        </row>
        <row r="2269">
          <cell r="C2269" t="str">
            <v>推广订单扣款</v>
          </cell>
        </row>
        <row r="2269">
          <cell r="H2269" t="str">
            <v>华信店</v>
          </cell>
          <cell r="I2269">
            <v>46005</v>
          </cell>
          <cell r="J2269">
            <v>-172.13</v>
          </cell>
        </row>
        <row r="2270">
          <cell r="C2270" t="str">
            <v>推广订单扣款</v>
          </cell>
        </row>
        <row r="2270">
          <cell r="H2270" t="str">
            <v>青羊店</v>
          </cell>
          <cell r="I2270">
            <v>46005</v>
          </cell>
          <cell r="J2270">
            <v>-54.88</v>
          </cell>
        </row>
        <row r="2271">
          <cell r="C2271" t="str">
            <v>推广订单扣款</v>
          </cell>
        </row>
        <row r="2271">
          <cell r="H2271" t="str">
            <v>西山店</v>
          </cell>
          <cell r="I2271">
            <v>46005</v>
          </cell>
          <cell r="J2271">
            <v>-319.7</v>
          </cell>
        </row>
        <row r="2272">
          <cell r="C2272" t="str">
            <v>推广订单扣款</v>
          </cell>
        </row>
        <row r="2272">
          <cell r="H2272" t="str">
            <v>余杭店</v>
          </cell>
          <cell r="I2272">
            <v>46005</v>
          </cell>
          <cell r="J2272">
            <v>-136.65</v>
          </cell>
        </row>
        <row r="2273">
          <cell r="C2273" t="str">
            <v>推广订单扣款</v>
          </cell>
        </row>
        <row r="2273">
          <cell r="H2273" t="str">
            <v>首南店</v>
          </cell>
          <cell r="I2273">
            <v>46005</v>
          </cell>
          <cell r="J2273">
            <v>-193.41</v>
          </cell>
        </row>
        <row r="2274">
          <cell r="C2274" t="str">
            <v>推广订单扣款</v>
          </cell>
        </row>
        <row r="2274">
          <cell r="H2274" t="str">
            <v>凤城二路店</v>
          </cell>
          <cell r="I2274">
            <v>46005</v>
          </cell>
          <cell r="J2274">
            <v>-284.53</v>
          </cell>
        </row>
        <row r="2275">
          <cell r="C2275" t="str">
            <v>推广账户自动充值</v>
          </cell>
        </row>
        <row r="2275">
          <cell r="H2275" t="str">
            <v>湖里店</v>
          </cell>
          <cell r="I2275">
            <v>46005</v>
          </cell>
          <cell r="J2275">
            <v>200</v>
          </cell>
        </row>
        <row r="2276">
          <cell r="C2276" t="str">
            <v>推广账户自动充值</v>
          </cell>
        </row>
        <row r="2276">
          <cell r="H2276" t="str">
            <v>凤城二路店</v>
          </cell>
          <cell r="I2276">
            <v>46005</v>
          </cell>
          <cell r="J2276">
            <v>200</v>
          </cell>
        </row>
        <row r="2277">
          <cell r="C2277" t="str">
            <v>推广账户自动充值</v>
          </cell>
        </row>
        <row r="2277">
          <cell r="H2277" t="str">
            <v>长沙店</v>
          </cell>
          <cell r="I2277">
            <v>46005</v>
          </cell>
          <cell r="J2277">
            <v>200</v>
          </cell>
        </row>
        <row r="2278">
          <cell r="C2278" t="str">
            <v>推广账户自动充值</v>
          </cell>
        </row>
        <row r="2278">
          <cell r="H2278" t="str">
            <v>百丈店</v>
          </cell>
          <cell r="I2278">
            <v>46005</v>
          </cell>
          <cell r="J2278">
            <v>200</v>
          </cell>
        </row>
        <row r="2279">
          <cell r="C2279" t="str">
            <v>推广账户自动充值</v>
          </cell>
        </row>
        <row r="2279">
          <cell r="H2279" t="str">
            <v>黄雁村店</v>
          </cell>
          <cell r="I2279">
            <v>46005</v>
          </cell>
          <cell r="J2279">
            <v>200</v>
          </cell>
        </row>
        <row r="2280">
          <cell r="C2280" t="str">
            <v>推广账户自动充值</v>
          </cell>
        </row>
        <row r="2280">
          <cell r="H2280" t="str">
            <v>华信店</v>
          </cell>
          <cell r="I2280">
            <v>46005</v>
          </cell>
          <cell r="J2280">
            <v>200</v>
          </cell>
        </row>
        <row r="2281">
          <cell r="C2281" t="str">
            <v>推广账户自动充值</v>
          </cell>
        </row>
        <row r="2281">
          <cell r="H2281" t="str">
            <v>五路口店</v>
          </cell>
          <cell r="I2281">
            <v>46005</v>
          </cell>
          <cell r="J2281">
            <v>200</v>
          </cell>
        </row>
        <row r="2282">
          <cell r="C2282" t="str">
            <v>推广账户自动充值</v>
          </cell>
        </row>
        <row r="2282">
          <cell r="H2282" t="str">
            <v>首山店</v>
          </cell>
          <cell r="I2282">
            <v>46005</v>
          </cell>
          <cell r="J2282">
            <v>200</v>
          </cell>
        </row>
        <row r="2283">
          <cell r="C2283" t="str">
            <v>推广账户自动充值</v>
          </cell>
        </row>
        <row r="2283">
          <cell r="H2283" t="str">
            <v>高新店</v>
          </cell>
          <cell r="I2283">
            <v>46005</v>
          </cell>
          <cell r="J2283">
            <v>200</v>
          </cell>
        </row>
        <row r="2284">
          <cell r="C2284" t="str">
            <v>推广账户自动充值</v>
          </cell>
        </row>
        <row r="2284">
          <cell r="H2284" t="str">
            <v>东新店</v>
          </cell>
          <cell r="I2284">
            <v>46005</v>
          </cell>
          <cell r="J2284">
            <v>200</v>
          </cell>
        </row>
        <row r="2285">
          <cell r="C2285" t="str">
            <v>推广账户自动充值</v>
          </cell>
        </row>
        <row r="2285">
          <cell r="H2285" t="str">
            <v>滨江店</v>
          </cell>
          <cell r="I2285">
            <v>46005</v>
          </cell>
          <cell r="J2285">
            <v>200</v>
          </cell>
        </row>
        <row r="2286">
          <cell r="C2286" t="str">
            <v>推广订单扣款</v>
          </cell>
        </row>
        <row r="2286">
          <cell r="H2286" t="str">
            <v>华信店</v>
          </cell>
          <cell r="I2286">
            <v>46006</v>
          </cell>
          <cell r="J2286">
            <v>-180</v>
          </cell>
        </row>
        <row r="2287">
          <cell r="C2287" t="str">
            <v>推广订单扣款</v>
          </cell>
        </row>
        <row r="2287">
          <cell r="H2287" t="str">
            <v>湖里店</v>
          </cell>
          <cell r="I2287">
            <v>46006</v>
          </cell>
          <cell r="J2287">
            <v>-224.15</v>
          </cell>
        </row>
        <row r="2288">
          <cell r="C2288" t="str">
            <v>推广订单扣款</v>
          </cell>
        </row>
        <row r="2288">
          <cell r="H2288" t="str">
            <v>东新店</v>
          </cell>
          <cell r="I2288">
            <v>46006</v>
          </cell>
          <cell r="J2288">
            <v>-250.97</v>
          </cell>
        </row>
        <row r="2289">
          <cell r="C2289" t="str">
            <v>推广订单扣款</v>
          </cell>
        </row>
        <row r="2289">
          <cell r="H2289" t="str">
            <v>启点店</v>
          </cell>
          <cell r="I2289">
            <v>46006</v>
          </cell>
          <cell r="J2289">
            <v>-183.21</v>
          </cell>
        </row>
        <row r="2290">
          <cell r="C2290" t="str">
            <v>推广订单扣款</v>
          </cell>
        </row>
        <row r="2290">
          <cell r="H2290" t="str">
            <v>高新店</v>
          </cell>
          <cell r="I2290">
            <v>46006</v>
          </cell>
          <cell r="J2290">
            <v>-191.72</v>
          </cell>
        </row>
        <row r="2291">
          <cell r="C2291" t="str">
            <v>推广订单扣款</v>
          </cell>
        </row>
        <row r="2291">
          <cell r="H2291" t="str">
            <v>成华店</v>
          </cell>
          <cell r="I2291">
            <v>46006</v>
          </cell>
          <cell r="J2291">
            <v>-80.03</v>
          </cell>
        </row>
        <row r="2292">
          <cell r="C2292" t="str">
            <v>推广订单扣款</v>
          </cell>
        </row>
        <row r="2292">
          <cell r="H2292" t="str">
            <v>金牛店</v>
          </cell>
          <cell r="I2292">
            <v>46006</v>
          </cell>
          <cell r="J2292">
            <v>-126.26</v>
          </cell>
        </row>
        <row r="2293">
          <cell r="C2293" t="str">
            <v>推广订单扣款</v>
          </cell>
        </row>
        <row r="2293">
          <cell r="H2293" t="str">
            <v>西山店</v>
          </cell>
          <cell r="I2293">
            <v>46006</v>
          </cell>
          <cell r="J2293">
            <v>-203.7</v>
          </cell>
        </row>
        <row r="2294">
          <cell r="C2294" t="str">
            <v>推广订单扣款</v>
          </cell>
        </row>
        <row r="2294">
          <cell r="H2294" t="str">
            <v>沙坪坝店</v>
          </cell>
          <cell r="I2294">
            <v>46006</v>
          </cell>
          <cell r="J2294">
            <v>-63.96</v>
          </cell>
        </row>
        <row r="2295">
          <cell r="C2295" t="str">
            <v>推广账户自动充值</v>
          </cell>
        </row>
        <row r="2295">
          <cell r="H2295" t="str">
            <v>凤城二路店</v>
          </cell>
          <cell r="I2295">
            <v>46006</v>
          </cell>
          <cell r="J2295">
            <v>200</v>
          </cell>
        </row>
        <row r="2296">
          <cell r="C2296" t="str">
            <v>推广订单扣款</v>
          </cell>
        </row>
        <row r="2296">
          <cell r="H2296" t="str">
            <v>凤城二路店</v>
          </cell>
          <cell r="I2296">
            <v>46006</v>
          </cell>
          <cell r="J2296">
            <v>-353.82</v>
          </cell>
        </row>
        <row r="2297">
          <cell r="C2297" t="str">
            <v>推广订单扣款</v>
          </cell>
        </row>
        <row r="2297">
          <cell r="H2297" t="str">
            <v>大坪店</v>
          </cell>
          <cell r="I2297">
            <v>46006</v>
          </cell>
          <cell r="J2297">
            <v>-146.64</v>
          </cell>
        </row>
        <row r="2298">
          <cell r="C2298" t="str">
            <v>推广订单扣款</v>
          </cell>
        </row>
        <row r="2298">
          <cell r="H2298" t="str">
            <v>五华店</v>
          </cell>
          <cell r="I2298">
            <v>46006</v>
          </cell>
          <cell r="J2298">
            <v>-135.05</v>
          </cell>
        </row>
        <row r="2299">
          <cell r="C2299" t="str">
            <v>推广订单扣款</v>
          </cell>
        </row>
        <row r="2299">
          <cell r="H2299" t="str">
            <v>官渡店</v>
          </cell>
          <cell r="I2299">
            <v>46006</v>
          </cell>
          <cell r="J2299">
            <v>-145.21</v>
          </cell>
        </row>
        <row r="2300">
          <cell r="C2300" t="str">
            <v>推广账户自动充值</v>
          </cell>
        </row>
        <row r="2300">
          <cell r="H2300" t="str">
            <v>百捷店</v>
          </cell>
          <cell r="I2300">
            <v>46006</v>
          </cell>
          <cell r="J2300">
            <v>200</v>
          </cell>
        </row>
        <row r="2301">
          <cell r="C2301" t="str">
            <v>推广订单扣款</v>
          </cell>
        </row>
        <row r="2301">
          <cell r="H2301" t="str">
            <v>百捷店</v>
          </cell>
          <cell r="I2301">
            <v>46006</v>
          </cell>
          <cell r="J2301">
            <v>-75.2</v>
          </cell>
        </row>
        <row r="2302">
          <cell r="C2302" t="str">
            <v>推广订单扣款</v>
          </cell>
        </row>
        <row r="2302">
          <cell r="H2302" t="str">
            <v>济南店</v>
          </cell>
          <cell r="I2302">
            <v>46006</v>
          </cell>
          <cell r="J2302">
            <v>-183.87</v>
          </cell>
        </row>
        <row r="2303">
          <cell r="C2303" t="str">
            <v>推广订单扣款</v>
          </cell>
        </row>
        <row r="2303">
          <cell r="H2303" t="str">
            <v>观音桥店</v>
          </cell>
          <cell r="I2303">
            <v>46006</v>
          </cell>
          <cell r="J2303">
            <v>-256.33</v>
          </cell>
        </row>
        <row r="2304">
          <cell r="C2304" t="str">
            <v>推广订单扣款</v>
          </cell>
        </row>
        <row r="2304">
          <cell r="H2304" t="str">
            <v>长沙店</v>
          </cell>
          <cell r="I2304">
            <v>46006</v>
          </cell>
          <cell r="J2304">
            <v>-124.35</v>
          </cell>
        </row>
        <row r="2305">
          <cell r="C2305" t="str">
            <v>推广订单扣款</v>
          </cell>
        </row>
        <row r="2305">
          <cell r="H2305" t="str">
            <v>洛江店</v>
          </cell>
          <cell r="I2305">
            <v>46006</v>
          </cell>
          <cell r="J2305">
            <v>-37.7</v>
          </cell>
        </row>
        <row r="2306">
          <cell r="C2306" t="str">
            <v>推广订单扣款</v>
          </cell>
        </row>
        <row r="2306">
          <cell r="H2306" t="str">
            <v>五路口店</v>
          </cell>
          <cell r="I2306">
            <v>46006</v>
          </cell>
          <cell r="J2306">
            <v>-280.99</v>
          </cell>
        </row>
        <row r="2307">
          <cell r="C2307" t="str">
            <v>推广账户自动充值</v>
          </cell>
        </row>
        <row r="2307">
          <cell r="H2307" t="str">
            <v>青羊店</v>
          </cell>
          <cell r="I2307">
            <v>46006</v>
          </cell>
          <cell r="J2307">
            <v>200</v>
          </cell>
        </row>
        <row r="2308">
          <cell r="C2308" t="str">
            <v>推广订单扣款</v>
          </cell>
        </row>
        <row r="2308">
          <cell r="H2308" t="str">
            <v>青羊店</v>
          </cell>
          <cell r="I2308">
            <v>46006</v>
          </cell>
          <cell r="J2308">
            <v>-77.17</v>
          </cell>
        </row>
        <row r="2309">
          <cell r="C2309" t="str">
            <v>推广订单扣款</v>
          </cell>
        </row>
        <row r="2309">
          <cell r="H2309" t="str">
            <v>武侯店</v>
          </cell>
          <cell r="I2309">
            <v>46006</v>
          </cell>
          <cell r="J2309">
            <v>-79.55</v>
          </cell>
        </row>
        <row r="2310">
          <cell r="C2310" t="str">
            <v>推广订单扣款</v>
          </cell>
        </row>
        <row r="2310">
          <cell r="H2310" t="str">
            <v>鼓楼店</v>
          </cell>
          <cell r="I2310">
            <v>46006</v>
          </cell>
          <cell r="J2310">
            <v>-170.91</v>
          </cell>
        </row>
        <row r="2311">
          <cell r="C2311" t="str">
            <v>推广账户自动充值</v>
          </cell>
        </row>
        <row r="2311">
          <cell r="H2311" t="str">
            <v>黄雁村店</v>
          </cell>
          <cell r="I2311">
            <v>46006</v>
          </cell>
          <cell r="J2311">
            <v>200</v>
          </cell>
        </row>
        <row r="2312">
          <cell r="C2312" t="str">
            <v>推广订单扣款</v>
          </cell>
        </row>
        <row r="2312">
          <cell r="H2312" t="str">
            <v>黄雁村店</v>
          </cell>
          <cell r="I2312">
            <v>46006</v>
          </cell>
          <cell r="J2312">
            <v>-229.44</v>
          </cell>
        </row>
        <row r="2313">
          <cell r="C2313" t="str">
            <v>推广订单扣款</v>
          </cell>
        </row>
        <row r="2313">
          <cell r="H2313" t="str">
            <v>西湖店</v>
          </cell>
          <cell r="I2313">
            <v>46006</v>
          </cell>
          <cell r="J2313">
            <v>-127.96</v>
          </cell>
        </row>
        <row r="2314">
          <cell r="C2314" t="str">
            <v>推广订单扣款</v>
          </cell>
        </row>
        <row r="2314">
          <cell r="H2314" t="str">
            <v>百丈店</v>
          </cell>
          <cell r="I2314">
            <v>46006</v>
          </cell>
          <cell r="J2314">
            <v>-119.82</v>
          </cell>
        </row>
        <row r="2315">
          <cell r="C2315" t="str">
            <v>推广订单扣款</v>
          </cell>
        </row>
        <row r="2315">
          <cell r="H2315" t="str">
            <v>文昌店</v>
          </cell>
          <cell r="I2315">
            <v>46006</v>
          </cell>
          <cell r="J2315">
            <v>-180.52</v>
          </cell>
        </row>
        <row r="2316">
          <cell r="C2316" t="str">
            <v>推广订单扣款</v>
          </cell>
        </row>
        <row r="2316">
          <cell r="H2316" t="str">
            <v>观桥店</v>
          </cell>
          <cell r="I2316">
            <v>46006</v>
          </cell>
          <cell r="J2316">
            <v>-44.81</v>
          </cell>
        </row>
        <row r="2317">
          <cell r="C2317" t="str">
            <v>推广订单扣款</v>
          </cell>
        </row>
        <row r="2317">
          <cell r="H2317" t="str">
            <v>海口店</v>
          </cell>
          <cell r="I2317">
            <v>46006</v>
          </cell>
          <cell r="J2317">
            <v>-200</v>
          </cell>
        </row>
        <row r="2318">
          <cell r="C2318" t="str">
            <v>推广账户自动充值</v>
          </cell>
        </row>
        <row r="2318">
          <cell r="H2318" t="str">
            <v>诚毅店</v>
          </cell>
          <cell r="I2318">
            <v>46006</v>
          </cell>
          <cell r="J2318">
            <v>200</v>
          </cell>
        </row>
        <row r="2319">
          <cell r="C2319" t="str">
            <v>推广订单扣款</v>
          </cell>
        </row>
        <row r="2319">
          <cell r="H2319" t="str">
            <v>诚毅店</v>
          </cell>
          <cell r="I2319">
            <v>46006</v>
          </cell>
          <cell r="J2319">
            <v>-158.43</v>
          </cell>
        </row>
        <row r="2320">
          <cell r="C2320" t="str">
            <v>推广订单扣款</v>
          </cell>
        </row>
        <row r="2320">
          <cell r="H2320" t="str">
            <v>首山店</v>
          </cell>
          <cell r="I2320">
            <v>46006</v>
          </cell>
          <cell r="J2320">
            <v>-145.11</v>
          </cell>
        </row>
        <row r="2321">
          <cell r="C2321" t="str">
            <v>推广订单扣款</v>
          </cell>
        </row>
        <row r="2321">
          <cell r="H2321" t="str">
            <v>首南店</v>
          </cell>
          <cell r="I2321">
            <v>46006</v>
          </cell>
          <cell r="J2321">
            <v>-195.92</v>
          </cell>
        </row>
        <row r="2322">
          <cell r="C2322" t="str">
            <v>推广账户自动充值</v>
          </cell>
        </row>
        <row r="2322">
          <cell r="H2322" t="str">
            <v>余杭店</v>
          </cell>
          <cell r="I2322">
            <v>46006</v>
          </cell>
          <cell r="J2322">
            <v>200</v>
          </cell>
        </row>
        <row r="2323">
          <cell r="C2323" t="str">
            <v>推广订单扣款</v>
          </cell>
        </row>
        <row r="2323">
          <cell r="H2323" t="str">
            <v>余杭店</v>
          </cell>
          <cell r="I2323">
            <v>46006</v>
          </cell>
          <cell r="J2323">
            <v>-145.85</v>
          </cell>
        </row>
        <row r="2324">
          <cell r="C2324" t="str">
            <v>推广订单扣款</v>
          </cell>
        </row>
        <row r="2324">
          <cell r="H2324" t="str">
            <v>东海店</v>
          </cell>
          <cell r="I2324">
            <v>46006</v>
          </cell>
          <cell r="J2324">
            <v>-108.35</v>
          </cell>
        </row>
        <row r="2325">
          <cell r="C2325" t="str">
            <v>推广订单扣款</v>
          </cell>
        </row>
        <row r="2325">
          <cell r="H2325" t="str">
            <v>文灶店</v>
          </cell>
          <cell r="I2325">
            <v>46006</v>
          </cell>
          <cell r="J2325">
            <v>-132.37</v>
          </cell>
        </row>
        <row r="2326">
          <cell r="C2326" t="str">
            <v>推广订单扣款</v>
          </cell>
        </row>
        <row r="2326">
          <cell r="H2326" t="str">
            <v>滨江店</v>
          </cell>
          <cell r="I2326">
            <v>46006</v>
          </cell>
          <cell r="J2326">
            <v>-200</v>
          </cell>
        </row>
        <row r="2327">
          <cell r="C2327" t="str">
            <v>推广订单扣款</v>
          </cell>
        </row>
        <row r="2327">
          <cell r="H2327" t="str">
            <v>湖里店</v>
          </cell>
          <cell r="I2327">
            <v>46007</v>
          </cell>
          <cell r="J2327">
            <v>-207.07</v>
          </cell>
        </row>
        <row r="2328">
          <cell r="C2328" t="str">
            <v>推广订单扣款</v>
          </cell>
        </row>
        <row r="2328">
          <cell r="H2328" t="str">
            <v>东新店</v>
          </cell>
          <cell r="I2328">
            <v>46007</v>
          </cell>
          <cell r="J2328">
            <v>-162.74</v>
          </cell>
        </row>
        <row r="2329">
          <cell r="C2329" t="str">
            <v>推广订单扣款</v>
          </cell>
        </row>
        <row r="2329">
          <cell r="H2329" t="str">
            <v>启点店</v>
          </cell>
          <cell r="I2329">
            <v>46007</v>
          </cell>
          <cell r="J2329">
            <v>-114.75</v>
          </cell>
        </row>
        <row r="2330">
          <cell r="C2330" t="str">
            <v>推广订单扣款</v>
          </cell>
        </row>
        <row r="2330">
          <cell r="H2330" t="str">
            <v>高新店</v>
          </cell>
          <cell r="I2330">
            <v>46007</v>
          </cell>
          <cell r="J2330">
            <v>-153.55</v>
          </cell>
        </row>
        <row r="2331">
          <cell r="C2331" t="str">
            <v>推广订单扣款</v>
          </cell>
        </row>
        <row r="2331">
          <cell r="H2331" t="str">
            <v>成华店</v>
          </cell>
          <cell r="I2331">
            <v>46007</v>
          </cell>
          <cell r="J2331">
            <v>-104.32</v>
          </cell>
        </row>
        <row r="2332">
          <cell r="C2332" t="str">
            <v>推广订单扣款</v>
          </cell>
        </row>
        <row r="2332">
          <cell r="H2332" t="str">
            <v>金牛店</v>
          </cell>
          <cell r="I2332">
            <v>46007</v>
          </cell>
          <cell r="J2332">
            <v>-178.23</v>
          </cell>
        </row>
        <row r="2333">
          <cell r="C2333" t="str">
            <v>推广订单扣款</v>
          </cell>
        </row>
        <row r="2333">
          <cell r="H2333" t="str">
            <v>西山店</v>
          </cell>
          <cell r="I2333">
            <v>46007</v>
          </cell>
          <cell r="J2333">
            <v>-137.26</v>
          </cell>
        </row>
        <row r="2334">
          <cell r="C2334" t="str">
            <v>推广订单扣款</v>
          </cell>
        </row>
        <row r="2334">
          <cell r="H2334" t="str">
            <v>沙坪坝店</v>
          </cell>
          <cell r="I2334">
            <v>46007</v>
          </cell>
          <cell r="J2334">
            <v>-110.62</v>
          </cell>
        </row>
        <row r="2335">
          <cell r="C2335" t="str">
            <v>推广订单扣款</v>
          </cell>
        </row>
        <row r="2335">
          <cell r="H2335" t="str">
            <v>凤城二路店</v>
          </cell>
          <cell r="I2335">
            <v>46007</v>
          </cell>
          <cell r="J2335">
            <v>-399.78</v>
          </cell>
        </row>
        <row r="2336">
          <cell r="C2336" t="str">
            <v>推广订单扣款</v>
          </cell>
        </row>
        <row r="2336">
          <cell r="H2336" t="str">
            <v>大坪店</v>
          </cell>
          <cell r="I2336">
            <v>46007</v>
          </cell>
          <cell r="J2336">
            <v>-225.45</v>
          </cell>
        </row>
        <row r="2337">
          <cell r="C2337" t="str">
            <v>推广订单扣款</v>
          </cell>
        </row>
        <row r="2337">
          <cell r="H2337" t="str">
            <v>五华店</v>
          </cell>
          <cell r="I2337">
            <v>46007</v>
          </cell>
          <cell r="J2337">
            <v>-137.95</v>
          </cell>
        </row>
        <row r="2338">
          <cell r="C2338" t="str">
            <v>推广订单扣款</v>
          </cell>
        </row>
        <row r="2338">
          <cell r="H2338" t="str">
            <v>官渡店</v>
          </cell>
          <cell r="I2338">
            <v>46007</v>
          </cell>
          <cell r="J2338">
            <v>-151.2</v>
          </cell>
        </row>
        <row r="2339">
          <cell r="C2339" t="str">
            <v>推广订单扣款</v>
          </cell>
        </row>
        <row r="2339">
          <cell r="H2339" t="str">
            <v>百捷店</v>
          </cell>
          <cell r="I2339">
            <v>46007</v>
          </cell>
          <cell r="J2339">
            <v>-75.65</v>
          </cell>
        </row>
        <row r="2340">
          <cell r="C2340" t="str">
            <v>推广订单扣款</v>
          </cell>
        </row>
        <row r="2340">
          <cell r="H2340" t="str">
            <v>济南店</v>
          </cell>
          <cell r="I2340">
            <v>46007</v>
          </cell>
          <cell r="J2340">
            <v>-236.03</v>
          </cell>
        </row>
        <row r="2341">
          <cell r="C2341" t="str">
            <v>推广订单扣款</v>
          </cell>
        </row>
        <row r="2341">
          <cell r="H2341" t="str">
            <v>观音桥店</v>
          </cell>
          <cell r="I2341">
            <v>46007</v>
          </cell>
          <cell r="J2341">
            <v>-423.03</v>
          </cell>
        </row>
        <row r="2342">
          <cell r="C2342" t="str">
            <v>推广订单扣款</v>
          </cell>
        </row>
        <row r="2342">
          <cell r="H2342" t="str">
            <v>长沙店</v>
          </cell>
          <cell r="I2342">
            <v>46007</v>
          </cell>
          <cell r="J2342">
            <v>-120.33</v>
          </cell>
        </row>
        <row r="2343">
          <cell r="C2343" t="str">
            <v>推广订单扣款</v>
          </cell>
        </row>
        <row r="2343">
          <cell r="H2343" t="str">
            <v>洛江店</v>
          </cell>
          <cell r="I2343">
            <v>46007</v>
          </cell>
          <cell r="J2343">
            <v>-23.94</v>
          </cell>
        </row>
        <row r="2344">
          <cell r="C2344" t="str">
            <v>推广订单扣款</v>
          </cell>
        </row>
        <row r="2344">
          <cell r="H2344" t="str">
            <v>五路口店</v>
          </cell>
          <cell r="I2344">
            <v>46007</v>
          </cell>
          <cell r="J2344">
            <v>-344.33</v>
          </cell>
        </row>
        <row r="2345">
          <cell r="C2345" t="str">
            <v>推广订单扣款</v>
          </cell>
        </row>
        <row r="2345">
          <cell r="H2345" t="str">
            <v>青羊店</v>
          </cell>
          <cell r="I2345">
            <v>46007</v>
          </cell>
          <cell r="J2345">
            <v>-85.3</v>
          </cell>
        </row>
        <row r="2346">
          <cell r="C2346" t="str">
            <v>推广订单扣款</v>
          </cell>
        </row>
        <row r="2346">
          <cell r="H2346" t="str">
            <v>武侯店</v>
          </cell>
          <cell r="I2346">
            <v>46007</v>
          </cell>
          <cell r="J2346">
            <v>-83.68</v>
          </cell>
        </row>
        <row r="2347">
          <cell r="C2347" t="str">
            <v>推广订单扣款</v>
          </cell>
        </row>
        <row r="2347">
          <cell r="H2347" t="str">
            <v>鼓楼店</v>
          </cell>
          <cell r="I2347">
            <v>46007</v>
          </cell>
          <cell r="J2347">
            <v>-180.11</v>
          </cell>
        </row>
        <row r="2348">
          <cell r="C2348" t="str">
            <v>推广订单扣款</v>
          </cell>
        </row>
        <row r="2348">
          <cell r="H2348" t="str">
            <v>黄雁村店</v>
          </cell>
          <cell r="I2348">
            <v>46007</v>
          </cell>
          <cell r="J2348">
            <v>-246.15</v>
          </cell>
        </row>
        <row r="2349">
          <cell r="C2349" t="str">
            <v>推广订单扣款</v>
          </cell>
        </row>
        <row r="2349">
          <cell r="H2349" t="str">
            <v>西湖店</v>
          </cell>
          <cell r="I2349">
            <v>46007</v>
          </cell>
          <cell r="J2349">
            <v>-154.27</v>
          </cell>
        </row>
        <row r="2350">
          <cell r="C2350" t="str">
            <v>推广订单扣款</v>
          </cell>
        </row>
        <row r="2350">
          <cell r="H2350" t="str">
            <v>百丈店</v>
          </cell>
          <cell r="I2350">
            <v>46007</v>
          </cell>
          <cell r="J2350">
            <v>-152.22</v>
          </cell>
        </row>
        <row r="2351">
          <cell r="C2351" t="str">
            <v>推广订单扣款</v>
          </cell>
        </row>
        <row r="2351">
          <cell r="H2351" t="str">
            <v>文昌店</v>
          </cell>
          <cell r="I2351">
            <v>46007</v>
          </cell>
          <cell r="J2351">
            <v>-131.56</v>
          </cell>
        </row>
        <row r="2352">
          <cell r="C2352" t="str">
            <v>推广订单扣款</v>
          </cell>
        </row>
        <row r="2352">
          <cell r="H2352" t="str">
            <v>观桥店</v>
          </cell>
          <cell r="I2352">
            <v>46007</v>
          </cell>
          <cell r="J2352">
            <v>-41.74</v>
          </cell>
        </row>
        <row r="2353">
          <cell r="C2353" t="str">
            <v>推广订单扣款</v>
          </cell>
        </row>
        <row r="2353">
          <cell r="H2353" t="str">
            <v>海口店</v>
          </cell>
          <cell r="I2353">
            <v>46007</v>
          </cell>
          <cell r="J2353">
            <v>-200</v>
          </cell>
        </row>
        <row r="2354">
          <cell r="C2354" t="str">
            <v>推广账户自动充值</v>
          </cell>
        </row>
        <row r="2354">
          <cell r="H2354" t="str">
            <v>诚毅店</v>
          </cell>
          <cell r="I2354">
            <v>46007</v>
          </cell>
          <cell r="J2354">
            <v>200</v>
          </cell>
        </row>
        <row r="2355">
          <cell r="C2355" t="str">
            <v>推广订单扣款</v>
          </cell>
        </row>
        <row r="2355">
          <cell r="H2355" t="str">
            <v>诚毅店</v>
          </cell>
          <cell r="I2355">
            <v>46007</v>
          </cell>
          <cell r="J2355">
            <v>-201.21</v>
          </cell>
        </row>
        <row r="2356">
          <cell r="C2356" t="str">
            <v>推广订单扣款</v>
          </cell>
        </row>
        <row r="2356">
          <cell r="H2356" t="str">
            <v>首山店</v>
          </cell>
          <cell r="I2356">
            <v>46007</v>
          </cell>
          <cell r="J2356">
            <v>-147.92</v>
          </cell>
        </row>
        <row r="2357">
          <cell r="C2357" t="str">
            <v>推广订单扣款</v>
          </cell>
        </row>
        <row r="2357">
          <cell r="H2357" t="str">
            <v>首南店</v>
          </cell>
          <cell r="I2357">
            <v>46007</v>
          </cell>
          <cell r="J2357">
            <v>-250.63</v>
          </cell>
        </row>
        <row r="2358">
          <cell r="C2358" t="str">
            <v>推广订单扣款</v>
          </cell>
        </row>
        <row r="2358">
          <cell r="H2358" t="str">
            <v>余杭店</v>
          </cell>
          <cell r="I2358">
            <v>46007</v>
          </cell>
          <cell r="J2358">
            <v>-129.73</v>
          </cell>
        </row>
        <row r="2359">
          <cell r="C2359" t="str">
            <v>推广订单扣款</v>
          </cell>
        </row>
        <row r="2359">
          <cell r="H2359" t="str">
            <v>东海店</v>
          </cell>
          <cell r="I2359">
            <v>46007</v>
          </cell>
          <cell r="J2359">
            <v>-121.53</v>
          </cell>
        </row>
        <row r="2360">
          <cell r="C2360" t="str">
            <v>推广订单扣款</v>
          </cell>
        </row>
        <row r="2360">
          <cell r="H2360" t="str">
            <v>文灶店</v>
          </cell>
          <cell r="I2360">
            <v>46007</v>
          </cell>
          <cell r="J2360">
            <v>-162.06</v>
          </cell>
        </row>
        <row r="2361">
          <cell r="C2361" t="str">
            <v>推广订单扣款</v>
          </cell>
        </row>
        <row r="2361">
          <cell r="H2361" t="str">
            <v>滨江店</v>
          </cell>
          <cell r="I2361">
            <v>46007</v>
          </cell>
          <cell r="J2361">
            <v>-227.36</v>
          </cell>
        </row>
        <row r="2362">
          <cell r="C2362" t="str">
            <v>推广订单扣款</v>
          </cell>
        </row>
        <row r="2362">
          <cell r="H2362" t="str">
            <v>华信店</v>
          </cell>
          <cell r="I2362">
            <v>46007</v>
          </cell>
          <cell r="J2362">
            <v>-180</v>
          </cell>
        </row>
        <row r="2363">
          <cell r="C2363" t="str">
            <v>推广订单扣款</v>
          </cell>
        </row>
        <row r="2363">
          <cell r="H2363" t="str">
            <v>湖里店</v>
          </cell>
          <cell r="I2363">
            <v>46008</v>
          </cell>
          <cell r="J2363">
            <v>-136.76</v>
          </cell>
        </row>
        <row r="2364">
          <cell r="C2364" t="str">
            <v>推广订单扣款</v>
          </cell>
        </row>
        <row r="2364">
          <cell r="H2364" t="str">
            <v>东新店</v>
          </cell>
          <cell r="I2364">
            <v>46008</v>
          </cell>
          <cell r="J2364">
            <v>-195.05</v>
          </cell>
        </row>
        <row r="2365">
          <cell r="C2365" t="str">
            <v>推广订单扣款</v>
          </cell>
        </row>
        <row r="2365">
          <cell r="H2365" t="str">
            <v>启点店</v>
          </cell>
          <cell r="I2365">
            <v>46008</v>
          </cell>
          <cell r="J2365">
            <v>-123.56</v>
          </cell>
        </row>
        <row r="2366">
          <cell r="C2366" t="str">
            <v>推广订单扣款</v>
          </cell>
        </row>
        <row r="2366">
          <cell r="H2366" t="str">
            <v>高新店</v>
          </cell>
          <cell r="I2366">
            <v>46008</v>
          </cell>
          <cell r="J2366">
            <v>-158.9</v>
          </cell>
        </row>
        <row r="2367">
          <cell r="C2367" t="str">
            <v>推广订单扣款</v>
          </cell>
        </row>
        <row r="2367">
          <cell r="H2367" t="str">
            <v>成华店</v>
          </cell>
          <cell r="I2367">
            <v>46008</v>
          </cell>
          <cell r="J2367">
            <v>-61.85</v>
          </cell>
        </row>
        <row r="2368">
          <cell r="C2368" t="str">
            <v>推广订单扣款</v>
          </cell>
        </row>
        <row r="2368">
          <cell r="H2368" t="str">
            <v>金牛店</v>
          </cell>
          <cell r="I2368">
            <v>46008</v>
          </cell>
          <cell r="J2368">
            <v>-66.82</v>
          </cell>
        </row>
        <row r="2369">
          <cell r="C2369" t="str">
            <v>推广订单扣款</v>
          </cell>
        </row>
        <row r="2369">
          <cell r="H2369" t="str">
            <v>西山店</v>
          </cell>
          <cell r="I2369">
            <v>46008</v>
          </cell>
          <cell r="J2369">
            <v>-203.61</v>
          </cell>
        </row>
        <row r="2370">
          <cell r="C2370" t="str">
            <v>推广订单扣款</v>
          </cell>
        </row>
        <row r="2370">
          <cell r="H2370" t="str">
            <v>沙坪坝店</v>
          </cell>
          <cell r="I2370">
            <v>46008</v>
          </cell>
          <cell r="J2370">
            <v>-74.82</v>
          </cell>
        </row>
        <row r="2371">
          <cell r="C2371" t="str">
            <v>推广订单扣款</v>
          </cell>
        </row>
        <row r="2371">
          <cell r="H2371" t="str">
            <v>凤城二路店</v>
          </cell>
          <cell r="I2371">
            <v>46008</v>
          </cell>
          <cell r="J2371">
            <v>-315.36</v>
          </cell>
        </row>
        <row r="2372">
          <cell r="C2372" t="str">
            <v>推广订单扣款</v>
          </cell>
        </row>
        <row r="2372">
          <cell r="H2372" t="str">
            <v>大坪店</v>
          </cell>
          <cell r="I2372">
            <v>46008</v>
          </cell>
          <cell r="J2372">
            <v>-224.13</v>
          </cell>
        </row>
        <row r="2373">
          <cell r="C2373" t="str">
            <v>推广订单扣款</v>
          </cell>
        </row>
        <row r="2373">
          <cell r="H2373" t="str">
            <v>五华店</v>
          </cell>
          <cell r="I2373">
            <v>46008</v>
          </cell>
          <cell r="J2373">
            <v>-154.2</v>
          </cell>
        </row>
        <row r="2374">
          <cell r="C2374" t="str">
            <v>推广订单扣款</v>
          </cell>
        </row>
        <row r="2374">
          <cell r="H2374" t="str">
            <v>官渡店</v>
          </cell>
          <cell r="I2374">
            <v>46008</v>
          </cell>
          <cell r="J2374">
            <v>-171</v>
          </cell>
        </row>
        <row r="2375">
          <cell r="C2375" t="str">
            <v>推广订单扣款</v>
          </cell>
        </row>
        <row r="2375">
          <cell r="H2375" t="str">
            <v>百捷店</v>
          </cell>
          <cell r="I2375">
            <v>46008</v>
          </cell>
          <cell r="J2375">
            <v>-119.62</v>
          </cell>
        </row>
        <row r="2376">
          <cell r="C2376" t="str">
            <v>推广订单扣款</v>
          </cell>
        </row>
        <row r="2376">
          <cell r="H2376" t="str">
            <v>济南店</v>
          </cell>
          <cell r="I2376">
            <v>46008</v>
          </cell>
          <cell r="J2376">
            <v>-162.4</v>
          </cell>
        </row>
        <row r="2377">
          <cell r="C2377" t="str">
            <v>推广订单扣款</v>
          </cell>
        </row>
        <row r="2377">
          <cell r="H2377" t="str">
            <v>观音桥店</v>
          </cell>
          <cell r="I2377">
            <v>46008</v>
          </cell>
          <cell r="J2377">
            <v>-440.8</v>
          </cell>
        </row>
        <row r="2378">
          <cell r="C2378" t="str">
            <v>推广订单扣款</v>
          </cell>
        </row>
        <row r="2378">
          <cell r="H2378" t="str">
            <v>长沙店</v>
          </cell>
          <cell r="I2378">
            <v>46008</v>
          </cell>
          <cell r="J2378">
            <v>-123.31</v>
          </cell>
        </row>
        <row r="2379">
          <cell r="C2379" t="str">
            <v>推广订单扣款</v>
          </cell>
        </row>
        <row r="2379">
          <cell r="H2379" t="str">
            <v>洛江店</v>
          </cell>
          <cell r="I2379">
            <v>46008</v>
          </cell>
          <cell r="J2379">
            <v>-32.41</v>
          </cell>
        </row>
        <row r="2380">
          <cell r="C2380" t="str">
            <v>推广订单扣款</v>
          </cell>
        </row>
        <row r="2380">
          <cell r="H2380" t="str">
            <v>五路口店</v>
          </cell>
          <cell r="I2380">
            <v>46008</v>
          </cell>
          <cell r="J2380">
            <v>-213.84</v>
          </cell>
        </row>
        <row r="2381">
          <cell r="C2381" t="str">
            <v>推广订单扣款</v>
          </cell>
        </row>
        <row r="2381">
          <cell r="H2381" t="str">
            <v>青羊店</v>
          </cell>
          <cell r="I2381">
            <v>46008</v>
          </cell>
          <cell r="J2381">
            <v>-87.2</v>
          </cell>
        </row>
        <row r="2382">
          <cell r="C2382" t="str">
            <v>推广订单扣款</v>
          </cell>
        </row>
        <row r="2382">
          <cell r="H2382" t="str">
            <v>武侯店</v>
          </cell>
          <cell r="I2382">
            <v>46008</v>
          </cell>
          <cell r="J2382">
            <v>-21.84</v>
          </cell>
        </row>
        <row r="2383">
          <cell r="C2383" t="str">
            <v>推广订单扣款</v>
          </cell>
        </row>
        <row r="2383">
          <cell r="H2383" t="str">
            <v>鼓楼店</v>
          </cell>
          <cell r="I2383">
            <v>46008</v>
          </cell>
          <cell r="J2383">
            <v>-172.54</v>
          </cell>
        </row>
        <row r="2384">
          <cell r="C2384" t="str">
            <v>推广订单扣款</v>
          </cell>
        </row>
        <row r="2384">
          <cell r="H2384" t="str">
            <v>黄雁村店</v>
          </cell>
          <cell r="I2384">
            <v>46008</v>
          </cell>
          <cell r="J2384">
            <v>-244.82</v>
          </cell>
        </row>
        <row r="2385">
          <cell r="C2385" t="str">
            <v>推广订单扣款</v>
          </cell>
        </row>
        <row r="2385">
          <cell r="H2385" t="str">
            <v>西湖店</v>
          </cell>
          <cell r="I2385">
            <v>46008</v>
          </cell>
          <cell r="J2385">
            <v>-147.22</v>
          </cell>
        </row>
        <row r="2386">
          <cell r="C2386" t="str">
            <v>推广订单扣款</v>
          </cell>
        </row>
        <row r="2386">
          <cell r="H2386" t="str">
            <v>百丈店</v>
          </cell>
          <cell r="I2386">
            <v>46008</v>
          </cell>
          <cell r="J2386">
            <v>-91.88</v>
          </cell>
        </row>
        <row r="2387">
          <cell r="C2387" t="str">
            <v>推广订单扣款</v>
          </cell>
        </row>
        <row r="2387">
          <cell r="H2387" t="str">
            <v>文昌店</v>
          </cell>
          <cell r="I2387">
            <v>46008</v>
          </cell>
          <cell r="J2387">
            <v>-129.93</v>
          </cell>
        </row>
        <row r="2388">
          <cell r="C2388" t="str">
            <v>推广订单扣款</v>
          </cell>
        </row>
        <row r="2388">
          <cell r="H2388" t="str">
            <v>观桥店</v>
          </cell>
          <cell r="I2388">
            <v>46008</v>
          </cell>
          <cell r="J2388">
            <v>-131.39</v>
          </cell>
        </row>
        <row r="2389">
          <cell r="C2389" t="str">
            <v>推广订单扣款</v>
          </cell>
        </row>
        <row r="2389">
          <cell r="H2389" t="str">
            <v>海口店</v>
          </cell>
          <cell r="I2389">
            <v>46008</v>
          </cell>
          <cell r="J2389">
            <v>-200</v>
          </cell>
        </row>
        <row r="2390">
          <cell r="C2390" t="str">
            <v>推广订单扣款</v>
          </cell>
        </row>
        <row r="2390">
          <cell r="H2390" t="str">
            <v>诚毅店</v>
          </cell>
          <cell r="I2390">
            <v>46008</v>
          </cell>
          <cell r="J2390">
            <v>-120.14</v>
          </cell>
        </row>
        <row r="2391">
          <cell r="C2391" t="str">
            <v>推广订单扣款</v>
          </cell>
        </row>
        <row r="2391">
          <cell r="H2391" t="str">
            <v>首山店</v>
          </cell>
          <cell r="I2391">
            <v>46008</v>
          </cell>
          <cell r="J2391">
            <v>-153.23</v>
          </cell>
        </row>
        <row r="2392">
          <cell r="C2392" t="str">
            <v>推广订单扣款</v>
          </cell>
        </row>
        <row r="2392">
          <cell r="H2392" t="str">
            <v>首南店</v>
          </cell>
          <cell r="I2392">
            <v>46008</v>
          </cell>
          <cell r="J2392">
            <v>-178.23</v>
          </cell>
        </row>
        <row r="2393">
          <cell r="C2393" t="str">
            <v>推广订单扣款</v>
          </cell>
        </row>
        <row r="2393">
          <cell r="H2393" t="str">
            <v>余杭店</v>
          </cell>
          <cell r="I2393">
            <v>46008</v>
          </cell>
          <cell r="J2393">
            <v>-163.24</v>
          </cell>
        </row>
        <row r="2394">
          <cell r="C2394" t="str">
            <v>推广订单扣款</v>
          </cell>
        </row>
        <row r="2394">
          <cell r="H2394" t="str">
            <v>东海店</v>
          </cell>
          <cell r="I2394">
            <v>46008</v>
          </cell>
          <cell r="J2394">
            <v>-159.2</v>
          </cell>
        </row>
        <row r="2395">
          <cell r="C2395" t="str">
            <v>推广账户自动充值</v>
          </cell>
        </row>
        <row r="2395">
          <cell r="H2395" t="str">
            <v>东海店</v>
          </cell>
          <cell r="I2395">
            <v>46008</v>
          </cell>
          <cell r="J2395">
            <v>200</v>
          </cell>
        </row>
        <row r="2396">
          <cell r="C2396" t="str">
            <v>推广订单扣款</v>
          </cell>
        </row>
        <row r="2396">
          <cell r="H2396" t="str">
            <v>文灶店</v>
          </cell>
          <cell r="I2396">
            <v>46008</v>
          </cell>
          <cell r="J2396">
            <v>-211.92</v>
          </cell>
        </row>
        <row r="2397">
          <cell r="C2397" t="str">
            <v>推广订单扣款</v>
          </cell>
        </row>
        <row r="2397">
          <cell r="H2397" t="str">
            <v>滨江店</v>
          </cell>
          <cell r="I2397">
            <v>46008</v>
          </cell>
          <cell r="J2397">
            <v>-134.96</v>
          </cell>
        </row>
        <row r="2398">
          <cell r="C2398" t="str">
            <v>推广订单扣款</v>
          </cell>
        </row>
        <row r="2398">
          <cell r="H2398" t="str">
            <v>华信店</v>
          </cell>
          <cell r="I2398">
            <v>46008</v>
          </cell>
          <cell r="J2398">
            <v>-180</v>
          </cell>
        </row>
        <row r="2399">
          <cell r="C2399" t="str">
            <v>推广订单扣款</v>
          </cell>
        </row>
        <row r="2399">
          <cell r="H2399" t="str">
            <v>华信店</v>
          </cell>
          <cell r="I2399">
            <v>46009</v>
          </cell>
          <cell r="J2399">
            <v>-180</v>
          </cell>
        </row>
        <row r="2400">
          <cell r="C2400" t="str">
            <v>推广订单扣款</v>
          </cell>
        </row>
        <row r="2400">
          <cell r="H2400" t="str">
            <v>湖里店</v>
          </cell>
          <cell r="I2400">
            <v>46009</v>
          </cell>
          <cell r="J2400">
            <v>-203.81</v>
          </cell>
        </row>
        <row r="2401">
          <cell r="C2401" t="str">
            <v>推广订单扣款</v>
          </cell>
        </row>
        <row r="2401">
          <cell r="H2401" t="str">
            <v>东新店</v>
          </cell>
          <cell r="I2401">
            <v>46009</v>
          </cell>
          <cell r="J2401">
            <v>-160.71</v>
          </cell>
        </row>
        <row r="2402">
          <cell r="C2402" t="str">
            <v>推广订单扣款</v>
          </cell>
        </row>
        <row r="2402">
          <cell r="H2402" t="str">
            <v>启点店</v>
          </cell>
          <cell r="I2402">
            <v>46009</v>
          </cell>
          <cell r="J2402">
            <v>-150.45</v>
          </cell>
        </row>
        <row r="2403">
          <cell r="C2403" t="str">
            <v>推广订单扣款</v>
          </cell>
        </row>
        <row r="2403">
          <cell r="H2403" t="str">
            <v>高新店</v>
          </cell>
          <cell r="I2403">
            <v>46009</v>
          </cell>
          <cell r="J2403">
            <v>-150.05</v>
          </cell>
        </row>
        <row r="2404">
          <cell r="C2404" t="str">
            <v>推广订单扣款</v>
          </cell>
        </row>
        <row r="2404">
          <cell r="H2404" t="str">
            <v>成华店</v>
          </cell>
          <cell r="I2404">
            <v>46009</v>
          </cell>
          <cell r="J2404">
            <v>-55.88</v>
          </cell>
        </row>
        <row r="2405">
          <cell r="C2405" t="str">
            <v>推广订单扣款</v>
          </cell>
        </row>
        <row r="2405">
          <cell r="H2405" t="str">
            <v>金牛店</v>
          </cell>
          <cell r="I2405">
            <v>46009</v>
          </cell>
          <cell r="J2405">
            <v>-103.11</v>
          </cell>
        </row>
        <row r="2406">
          <cell r="C2406" t="str">
            <v>推广订单扣款</v>
          </cell>
        </row>
        <row r="2406">
          <cell r="H2406" t="str">
            <v>西山店</v>
          </cell>
          <cell r="I2406">
            <v>46009</v>
          </cell>
          <cell r="J2406">
            <v>-190.17</v>
          </cell>
        </row>
        <row r="2407">
          <cell r="C2407" t="str">
            <v>推广订单扣款</v>
          </cell>
        </row>
        <row r="2407">
          <cell r="H2407" t="str">
            <v>沙坪坝店</v>
          </cell>
          <cell r="I2407">
            <v>46009</v>
          </cell>
          <cell r="J2407">
            <v>-110.06</v>
          </cell>
        </row>
        <row r="2408">
          <cell r="C2408" t="str">
            <v>推广订单扣款</v>
          </cell>
        </row>
        <row r="2408">
          <cell r="H2408" t="str">
            <v>凤城二路店</v>
          </cell>
          <cell r="I2408">
            <v>46009</v>
          </cell>
          <cell r="J2408">
            <v>-309.17</v>
          </cell>
        </row>
        <row r="2409">
          <cell r="C2409" t="str">
            <v>推广订单扣款</v>
          </cell>
        </row>
        <row r="2409">
          <cell r="H2409" t="str">
            <v>大坪店</v>
          </cell>
          <cell r="I2409">
            <v>46009</v>
          </cell>
          <cell r="J2409">
            <v>-72.22</v>
          </cell>
        </row>
        <row r="2410">
          <cell r="C2410" t="str">
            <v>推广订单扣款</v>
          </cell>
        </row>
        <row r="2410">
          <cell r="H2410" t="str">
            <v>五华店</v>
          </cell>
          <cell r="I2410">
            <v>46009</v>
          </cell>
          <cell r="J2410">
            <v>-33.05</v>
          </cell>
        </row>
        <row r="2411">
          <cell r="C2411" t="str">
            <v>推广订单扣款</v>
          </cell>
        </row>
        <row r="2411">
          <cell r="H2411" t="str">
            <v>官渡店</v>
          </cell>
          <cell r="I2411">
            <v>46009</v>
          </cell>
          <cell r="J2411">
            <v>-150.34</v>
          </cell>
        </row>
        <row r="2412">
          <cell r="C2412" t="str">
            <v>推广订单扣款</v>
          </cell>
        </row>
        <row r="2412">
          <cell r="H2412" t="str">
            <v>百捷店</v>
          </cell>
          <cell r="I2412">
            <v>46009</v>
          </cell>
          <cell r="J2412">
            <v>-144.66</v>
          </cell>
        </row>
        <row r="2413">
          <cell r="C2413" t="str">
            <v>推广订单扣款</v>
          </cell>
        </row>
        <row r="2413">
          <cell r="H2413" t="str">
            <v>济南店</v>
          </cell>
          <cell r="I2413">
            <v>46009</v>
          </cell>
          <cell r="J2413">
            <v>-184.25</v>
          </cell>
        </row>
        <row r="2414">
          <cell r="C2414" t="str">
            <v>推广账户自动充值</v>
          </cell>
        </row>
        <row r="2414">
          <cell r="H2414" t="str">
            <v>观音桥店</v>
          </cell>
          <cell r="I2414">
            <v>46009</v>
          </cell>
          <cell r="J2414">
            <v>200</v>
          </cell>
        </row>
        <row r="2415">
          <cell r="C2415" t="str">
            <v>推广订单扣款</v>
          </cell>
        </row>
        <row r="2415">
          <cell r="H2415" t="str">
            <v>观音桥店</v>
          </cell>
          <cell r="I2415">
            <v>46009</v>
          </cell>
          <cell r="J2415">
            <v>-294.15</v>
          </cell>
        </row>
        <row r="2416">
          <cell r="C2416" t="str">
            <v>推广订单扣款</v>
          </cell>
        </row>
        <row r="2416">
          <cell r="H2416" t="str">
            <v>长沙店</v>
          </cell>
          <cell r="I2416">
            <v>46009</v>
          </cell>
          <cell r="J2416">
            <v>-138.02</v>
          </cell>
        </row>
        <row r="2417">
          <cell r="C2417" t="str">
            <v>推广订单扣款</v>
          </cell>
        </row>
        <row r="2417">
          <cell r="H2417" t="str">
            <v>洛江店</v>
          </cell>
          <cell r="I2417">
            <v>46009</v>
          </cell>
          <cell r="J2417">
            <v>-26.05</v>
          </cell>
        </row>
        <row r="2418">
          <cell r="C2418" t="str">
            <v>推广订单扣款</v>
          </cell>
        </row>
        <row r="2418">
          <cell r="H2418" t="str">
            <v>五路口店</v>
          </cell>
          <cell r="I2418">
            <v>46009</v>
          </cell>
          <cell r="J2418">
            <v>-242.95</v>
          </cell>
        </row>
        <row r="2419">
          <cell r="C2419" t="str">
            <v>推广订单扣款</v>
          </cell>
        </row>
        <row r="2419">
          <cell r="H2419" t="str">
            <v>青羊店</v>
          </cell>
          <cell r="I2419">
            <v>46009</v>
          </cell>
          <cell r="J2419">
            <v>-93.74</v>
          </cell>
        </row>
        <row r="2420">
          <cell r="C2420" t="str">
            <v>推广订单扣款</v>
          </cell>
        </row>
        <row r="2420">
          <cell r="H2420" t="str">
            <v>武侯店</v>
          </cell>
          <cell r="I2420">
            <v>46009</v>
          </cell>
          <cell r="J2420">
            <v>-37.62</v>
          </cell>
        </row>
        <row r="2421">
          <cell r="C2421" t="str">
            <v>推广账户自动充值</v>
          </cell>
        </row>
        <row r="2421">
          <cell r="H2421" t="str">
            <v>鼓楼店</v>
          </cell>
          <cell r="I2421">
            <v>46009</v>
          </cell>
          <cell r="J2421">
            <v>200</v>
          </cell>
        </row>
        <row r="2422">
          <cell r="C2422" t="str">
            <v>推广订单扣款</v>
          </cell>
        </row>
        <row r="2422">
          <cell r="H2422" t="str">
            <v>鼓楼店</v>
          </cell>
          <cell r="I2422">
            <v>46009</v>
          </cell>
          <cell r="J2422">
            <v>-175.84</v>
          </cell>
        </row>
        <row r="2423">
          <cell r="C2423" t="str">
            <v>推广订单扣款</v>
          </cell>
        </row>
        <row r="2423">
          <cell r="H2423" t="str">
            <v>黄雁村店</v>
          </cell>
          <cell r="I2423">
            <v>46009</v>
          </cell>
          <cell r="J2423">
            <v>-206.32</v>
          </cell>
        </row>
        <row r="2424">
          <cell r="C2424" t="str">
            <v>推广订单扣款</v>
          </cell>
        </row>
        <row r="2424">
          <cell r="H2424" t="str">
            <v>西湖店</v>
          </cell>
          <cell r="I2424">
            <v>46009</v>
          </cell>
          <cell r="J2424">
            <v>-141.67</v>
          </cell>
        </row>
        <row r="2425">
          <cell r="C2425" t="str">
            <v>推广订单扣款</v>
          </cell>
        </row>
        <row r="2425">
          <cell r="H2425" t="str">
            <v>百丈店</v>
          </cell>
          <cell r="I2425">
            <v>46009</v>
          </cell>
          <cell r="J2425">
            <v>-112.23</v>
          </cell>
        </row>
        <row r="2426">
          <cell r="C2426" t="str">
            <v>推广订单扣款</v>
          </cell>
        </row>
        <row r="2426">
          <cell r="H2426" t="str">
            <v>文昌店</v>
          </cell>
          <cell r="I2426">
            <v>46009</v>
          </cell>
          <cell r="J2426">
            <v>-138.44</v>
          </cell>
        </row>
        <row r="2427">
          <cell r="C2427" t="str">
            <v>推广订单扣款</v>
          </cell>
        </row>
        <row r="2427">
          <cell r="H2427" t="str">
            <v>观桥店</v>
          </cell>
          <cell r="I2427">
            <v>46009</v>
          </cell>
          <cell r="J2427">
            <v>-153.62</v>
          </cell>
        </row>
        <row r="2428">
          <cell r="C2428" t="str">
            <v>推广订单扣款</v>
          </cell>
        </row>
        <row r="2428">
          <cell r="H2428" t="str">
            <v>海口店</v>
          </cell>
          <cell r="I2428">
            <v>46009</v>
          </cell>
          <cell r="J2428">
            <v>-200</v>
          </cell>
        </row>
        <row r="2429">
          <cell r="C2429" t="str">
            <v>推广订单扣款</v>
          </cell>
        </row>
        <row r="2429">
          <cell r="H2429" t="str">
            <v>诚毅店</v>
          </cell>
          <cell r="I2429">
            <v>46009</v>
          </cell>
          <cell r="J2429">
            <v>-149.95</v>
          </cell>
        </row>
        <row r="2430">
          <cell r="C2430" t="str">
            <v>推广账户自动充值</v>
          </cell>
        </row>
        <row r="2430">
          <cell r="H2430" t="str">
            <v>首山店</v>
          </cell>
          <cell r="I2430">
            <v>46009</v>
          </cell>
          <cell r="J2430">
            <v>200</v>
          </cell>
        </row>
        <row r="2431">
          <cell r="C2431" t="str">
            <v>推广订单扣款</v>
          </cell>
        </row>
        <row r="2431">
          <cell r="H2431" t="str">
            <v>首山店</v>
          </cell>
          <cell r="I2431">
            <v>46009</v>
          </cell>
          <cell r="J2431">
            <v>-161.18</v>
          </cell>
        </row>
        <row r="2432">
          <cell r="C2432" t="str">
            <v>推广订单扣款</v>
          </cell>
        </row>
        <row r="2432">
          <cell r="H2432" t="str">
            <v>首南店</v>
          </cell>
          <cell r="I2432">
            <v>46009</v>
          </cell>
          <cell r="J2432">
            <v>-149.51</v>
          </cell>
        </row>
        <row r="2433">
          <cell r="C2433" t="str">
            <v>推广订单扣款</v>
          </cell>
        </row>
        <row r="2433">
          <cell r="H2433" t="str">
            <v>余杭店</v>
          </cell>
          <cell r="I2433">
            <v>46009</v>
          </cell>
          <cell r="J2433">
            <v>-107.17</v>
          </cell>
        </row>
        <row r="2434">
          <cell r="C2434" t="str">
            <v>推广账户自动充值</v>
          </cell>
        </row>
        <row r="2434">
          <cell r="H2434" t="str">
            <v>东海店</v>
          </cell>
          <cell r="I2434">
            <v>46009</v>
          </cell>
          <cell r="J2434">
            <v>200</v>
          </cell>
        </row>
        <row r="2435">
          <cell r="C2435" t="str">
            <v>推广订单扣款</v>
          </cell>
        </row>
        <row r="2435">
          <cell r="H2435" t="str">
            <v>东海店</v>
          </cell>
          <cell r="I2435">
            <v>46009</v>
          </cell>
          <cell r="J2435">
            <v>-180</v>
          </cell>
        </row>
        <row r="2436">
          <cell r="C2436" t="str">
            <v>推广订单扣款</v>
          </cell>
        </row>
        <row r="2436">
          <cell r="H2436" t="str">
            <v>文灶店</v>
          </cell>
          <cell r="I2436">
            <v>46009</v>
          </cell>
          <cell r="J2436">
            <v>-162.89</v>
          </cell>
        </row>
        <row r="2437">
          <cell r="C2437" t="str">
            <v>推广订单扣款</v>
          </cell>
        </row>
        <row r="2437">
          <cell r="H2437" t="str">
            <v>滨江店</v>
          </cell>
          <cell r="I2437">
            <v>46009</v>
          </cell>
          <cell r="J2437">
            <v>-116.15</v>
          </cell>
        </row>
        <row r="2438">
          <cell r="C2438" t="str">
            <v>推广订单扣款</v>
          </cell>
        </row>
        <row r="2438">
          <cell r="H2438" t="str">
            <v>鼓楼店</v>
          </cell>
          <cell r="I2438">
            <v>46010</v>
          </cell>
          <cell r="J2438">
            <v>-243.77</v>
          </cell>
        </row>
        <row r="2439">
          <cell r="C2439" t="str">
            <v>推广订单扣款</v>
          </cell>
        </row>
        <row r="2439">
          <cell r="H2439" t="str">
            <v>首山店</v>
          </cell>
          <cell r="I2439">
            <v>46010</v>
          </cell>
          <cell r="J2439">
            <v>-136.18</v>
          </cell>
        </row>
        <row r="2440">
          <cell r="C2440" t="str">
            <v>推广订单扣款</v>
          </cell>
        </row>
        <row r="2440">
          <cell r="H2440" t="str">
            <v>西湖店</v>
          </cell>
          <cell r="I2440">
            <v>46010</v>
          </cell>
          <cell r="J2440">
            <v>-165.37</v>
          </cell>
        </row>
        <row r="2441">
          <cell r="C2441" t="str">
            <v>推广订单扣款</v>
          </cell>
        </row>
        <row r="2441">
          <cell r="H2441" t="str">
            <v>洛江店</v>
          </cell>
          <cell r="I2441">
            <v>46010</v>
          </cell>
          <cell r="J2441">
            <v>-56.21</v>
          </cell>
        </row>
        <row r="2442">
          <cell r="C2442" t="str">
            <v>推广订单扣款</v>
          </cell>
        </row>
        <row r="2442">
          <cell r="H2442" t="str">
            <v>长沙店</v>
          </cell>
          <cell r="I2442">
            <v>46010</v>
          </cell>
          <cell r="J2442">
            <v>-95.96</v>
          </cell>
        </row>
        <row r="2443">
          <cell r="C2443" t="str">
            <v>推广订单扣款</v>
          </cell>
        </row>
        <row r="2443">
          <cell r="H2443" t="str">
            <v>五路口店</v>
          </cell>
          <cell r="I2443">
            <v>46010</v>
          </cell>
          <cell r="J2443">
            <v>-304.53</v>
          </cell>
        </row>
        <row r="2444">
          <cell r="C2444" t="str">
            <v>推广订单扣款</v>
          </cell>
        </row>
        <row r="2444">
          <cell r="H2444" t="str">
            <v>海口店</v>
          </cell>
          <cell r="I2444">
            <v>46010</v>
          </cell>
          <cell r="J2444">
            <v>-200</v>
          </cell>
        </row>
        <row r="2445">
          <cell r="C2445" t="str">
            <v>推广订单扣款</v>
          </cell>
        </row>
        <row r="2445">
          <cell r="H2445" t="str">
            <v>百丈店</v>
          </cell>
          <cell r="I2445">
            <v>46010</v>
          </cell>
          <cell r="J2445">
            <v>-156.67</v>
          </cell>
        </row>
        <row r="2446">
          <cell r="C2446" t="str">
            <v>推广订单扣款</v>
          </cell>
        </row>
        <row r="2446">
          <cell r="H2446" t="str">
            <v>五华店</v>
          </cell>
          <cell r="I2446">
            <v>46010</v>
          </cell>
          <cell r="J2446">
            <v>-131.73</v>
          </cell>
        </row>
        <row r="2447">
          <cell r="C2447" t="str">
            <v>推广订单扣款</v>
          </cell>
        </row>
        <row r="2447">
          <cell r="H2447" t="str">
            <v>东新店</v>
          </cell>
          <cell r="I2447">
            <v>46010</v>
          </cell>
          <cell r="J2447">
            <v>-214.39</v>
          </cell>
        </row>
        <row r="2448">
          <cell r="C2448" t="str">
            <v>推广订单扣款</v>
          </cell>
        </row>
        <row r="2448">
          <cell r="H2448" t="str">
            <v>沙坪坝店</v>
          </cell>
          <cell r="I2448">
            <v>46010</v>
          </cell>
          <cell r="J2448">
            <v>-123.15</v>
          </cell>
        </row>
        <row r="2449">
          <cell r="C2449" t="str">
            <v>推广订单扣款</v>
          </cell>
        </row>
        <row r="2449">
          <cell r="H2449" t="str">
            <v>东海店</v>
          </cell>
          <cell r="I2449">
            <v>46010</v>
          </cell>
          <cell r="J2449">
            <v>-160.07</v>
          </cell>
        </row>
        <row r="2450">
          <cell r="C2450" t="str">
            <v>推广订单扣款</v>
          </cell>
        </row>
        <row r="2450">
          <cell r="H2450" t="str">
            <v>官渡店</v>
          </cell>
          <cell r="I2450">
            <v>46010</v>
          </cell>
          <cell r="J2450">
            <v>-153.48</v>
          </cell>
        </row>
        <row r="2451">
          <cell r="C2451" t="str">
            <v>推广订单扣款</v>
          </cell>
        </row>
        <row r="2451">
          <cell r="H2451" t="str">
            <v>文灶店</v>
          </cell>
          <cell r="I2451">
            <v>46010</v>
          </cell>
          <cell r="J2451">
            <v>-176.44</v>
          </cell>
        </row>
        <row r="2452">
          <cell r="C2452" t="str">
            <v>推广订单扣款</v>
          </cell>
        </row>
        <row r="2452">
          <cell r="H2452" t="str">
            <v>启点店</v>
          </cell>
          <cell r="I2452">
            <v>46010</v>
          </cell>
          <cell r="J2452">
            <v>-168.77</v>
          </cell>
        </row>
        <row r="2453">
          <cell r="C2453" t="str">
            <v>推广订单扣款</v>
          </cell>
        </row>
        <row r="2453">
          <cell r="H2453" t="str">
            <v>百捷店</v>
          </cell>
          <cell r="I2453">
            <v>46010</v>
          </cell>
          <cell r="J2453">
            <v>-189.29</v>
          </cell>
        </row>
        <row r="2454">
          <cell r="C2454" t="str">
            <v>推广订单扣款</v>
          </cell>
        </row>
        <row r="2454">
          <cell r="H2454" t="str">
            <v>诚毅店</v>
          </cell>
          <cell r="I2454">
            <v>46010</v>
          </cell>
          <cell r="J2454">
            <v>-193.32</v>
          </cell>
        </row>
        <row r="2455">
          <cell r="C2455" t="str">
            <v>推广订单扣款</v>
          </cell>
        </row>
        <row r="2455">
          <cell r="H2455" t="str">
            <v>成华店</v>
          </cell>
          <cell r="I2455">
            <v>46010</v>
          </cell>
          <cell r="J2455">
            <v>-98.67</v>
          </cell>
        </row>
        <row r="2456">
          <cell r="C2456" t="str">
            <v>推广订单扣款</v>
          </cell>
        </row>
        <row r="2456">
          <cell r="H2456" t="str">
            <v>济南店</v>
          </cell>
          <cell r="I2456">
            <v>46010</v>
          </cell>
          <cell r="J2456">
            <v>-226.72</v>
          </cell>
        </row>
        <row r="2457">
          <cell r="C2457" t="str">
            <v>推广订单扣款</v>
          </cell>
        </row>
        <row r="2457">
          <cell r="H2457" t="str">
            <v>观桥店</v>
          </cell>
          <cell r="I2457">
            <v>46010</v>
          </cell>
          <cell r="J2457">
            <v>-180.12</v>
          </cell>
        </row>
        <row r="2458">
          <cell r="C2458" t="str">
            <v>推广订单扣款</v>
          </cell>
        </row>
        <row r="2458">
          <cell r="H2458" t="str">
            <v>黄雁村店</v>
          </cell>
          <cell r="I2458">
            <v>46010</v>
          </cell>
          <cell r="J2458">
            <v>-221.72</v>
          </cell>
        </row>
        <row r="2459">
          <cell r="C2459" t="str">
            <v>推广订单扣款</v>
          </cell>
        </row>
        <row r="2459">
          <cell r="H2459" t="str">
            <v>大坪店</v>
          </cell>
          <cell r="I2459">
            <v>46010</v>
          </cell>
          <cell r="J2459">
            <v>-250.55</v>
          </cell>
        </row>
        <row r="2460">
          <cell r="C2460" t="str">
            <v>推广订单扣款</v>
          </cell>
        </row>
        <row r="2460">
          <cell r="H2460" t="str">
            <v>文昌店</v>
          </cell>
          <cell r="I2460">
            <v>46010</v>
          </cell>
          <cell r="J2460">
            <v>-116.87</v>
          </cell>
        </row>
        <row r="2461">
          <cell r="C2461" t="str">
            <v>推广订单扣款</v>
          </cell>
        </row>
        <row r="2461">
          <cell r="H2461" t="str">
            <v>金牛店</v>
          </cell>
          <cell r="I2461">
            <v>46010</v>
          </cell>
          <cell r="J2461">
            <v>-129.37</v>
          </cell>
        </row>
        <row r="2462">
          <cell r="C2462" t="str">
            <v>推广订单扣款</v>
          </cell>
        </row>
        <row r="2462">
          <cell r="H2462" t="str">
            <v>高新店</v>
          </cell>
          <cell r="I2462">
            <v>46010</v>
          </cell>
          <cell r="J2462">
            <v>-109.57</v>
          </cell>
        </row>
        <row r="2463">
          <cell r="C2463" t="str">
            <v>推广订单扣款</v>
          </cell>
        </row>
        <row r="2463">
          <cell r="H2463" t="str">
            <v>湖里店</v>
          </cell>
          <cell r="I2463">
            <v>46010</v>
          </cell>
          <cell r="J2463">
            <v>-167.16</v>
          </cell>
        </row>
        <row r="2464">
          <cell r="C2464" t="str">
            <v>推广订单扣款</v>
          </cell>
        </row>
        <row r="2464">
          <cell r="H2464" t="str">
            <v>观音桥店</v>
          </cell>
          <cell r="I2464">
            <v>46010</v>
          </cell>
          <cell r="J2464">
            <v>-435.94</v>
          </cell>
        </row>
        <row r="2465">
          <cell r="C2465" t="str">
            <v>推广订单扣款</v>
          </cell>
        </row>
        <row r="2465">
          <cell r="H2465" t="str">
            <v>武侯店</v>
          </cell>
          <cell r="I2465">
            <v>46010</v>
          </cell>
          <cell r="J2465">
            <v>-83.94</v>
          </cell>
        </row>
        <row r="2466">
          <cell r="C2466" t="str">
            <v>推广订单扣款</v>
          </cell>
        </row>
        <row r="2466">
          <cell r="H2466" t="str">
            <v>华信店</v>
          </cell>
          <cell r="I2466">
            <v>46010</v>
          </cell>
          <cell r="J2466">
            <v>-180</v>
          </cell>
        </row>
        <row r="2467">
          <cell r="C2467" t="str">
            <v>推广订单扣款</v>
          </cell>
        </row>
        <row r="2467">
          <cell r="H2467" t="str">
            <v>青羊店</v>
          </cell>
          <cell r="I2467">
            <v>46010</v>
          </cell>
          <cell r="J2467">
            <v>-63.2</v>
          </cell>
        </row>
        <row r="2468">
          <cell r="C2468" t="str">
            <v>推广订单扣款</v>
          </cell>
        </row>
        <row r="2468">
          <cell r="H2468" t="str">
            <v>西山店</v>
          </cell>
          <cell r="I2468">
            <v>46010</v>
          </cell>
          <cell r="J2468">
            <v>-193.23</v>
          </cell>
        </row>
        <row r="2469">
          <cell r="C2469" t="str">
            <v>推广订单扣款</v>
          </cell>
        </row>
        <row r="2469">
          <cell r="H2469" t="str">
            <v>余杭店</v>
          </cell>
          <cell r="I2469">
            <v>46010</v>
          </cell>
          <cell r="J2469">
            <v>-185.94</v>
          </cell>
        </row>
        <row r="2470">
          <cell r="C2470" t="str">
            <v>推广订单扣款</v>
          </cell>
        </row>
        <row r="2470">
          <cell r="H2470" t="str">
            <v>滨江店</v>
          </cell>
          <cell r="I2470">
            <v>46010</v>
          </cell>
          <cell r="J2470">
            <v>-177.81</v>
          </cell>
        </row>
        <row r="2471">
          <cell r="C2471" t="str">
            <v>推广订单扣款</v>
          </cell>
        </row>
        <row r="2471">
          <cell r="H2471" t="str">
            <v>首南店</v>
          </cell>
          <cell r="I2471">
            <v>46010</v>
          </cell>
          <cell r="J2471">
            <v>-164.22</v>
          </cell>
        </row>
        <row r="2472">
          <cell r="C2472" t="str">
            <v>推广订单扣款</v>
          </cell>
        </row>
        <row r="2472">
          <cell r="H2472" t="str">
            <v>凤城二路店</v>
          </cell>
          <cell r="I2472">
            <v>46010</v>
          </cell>
          <cell r="J2472">
            <v>-396.32</v>
          </cell>
        </row>
        <row r="2473">
          <cell r="C2473" t="str">
            <v>推广账户自动充值</v>
          </cell>
        </row>
        <row r="2473">
          <cell r="H2473" t="str">
            <v>华信店</v>
          </cell>
          <cell r="I2473">
            <v>46010</v>
          </cell>
          <cell r="J2473">
            <v>200</v>
          </cell>
        </row>
        <row r="2474">
          <cell r="C2474" t="str">
            <v>推广账户自动充值</v>
          </cell>
        </row>
        <row r="2474">
          <cell r="H2474" t="str">
            <v>长沙店</v>
          </cell>
          <cell r="I2474">
            <v>46010</v>
          </cell>
          <cell r="J2474">
            <v>200</v>
          </cell>
        </row>
        <row r="2475">
          <cell r="C2475" t="str">
            <v>推广账户自动充值</v>
          </cell>
        </row>
        <row r="2475">
          <cell r="H2475" t="str">
            <v>百捷店</v>
          </cell>
          <cell r="I2475">
            <v>46010</v>
          </cell>
          <cell r="J2475">
            <v>200</v>
          </cell>
        </row>
        <row r="2476">
          <cell r="C2476" t="str">
            <v>推广账户自动充值</v>
          </cell>
        </row>
        <row r="2476">
          <cell r="H2476" t="str">
            <v>凤城二路店</v>
          </cell>
          <cell r="I2476">
            <v>46010</v>
          </cell>
          <cell r="J2476">
            <v>200</v>
          </cell>
        </row>
        <row r="2477">
          <cell r="C2477" t="str">
            <v>推广账户自动充值</v>
          </cell>
        </row>
        <row r="2477">
          <cell r="H2477" t="str">
            <v>文昌店</v>
          </cell>
          <cell r="I2477">
            <v>46010</v>
          </cell>
          <cell r="J2477">
            <v>200</v>
          </cell>
        </row>
        <row r="2478">
          <cell r="C2478" t="str">
            <v>推广账户自动充值</v>
          </cell>
        </row>
        <row r="2478">
          <cell r="H2478" t="str">
            <v>余杭店</v>
          </cell>
          <cell r="I2478">
            <v>46010</v>
          </cell>
          <cell r="J2478">
            <v>200</v>
          </cell>
        </row>
        <row r="2479">
          <cell r="C2479" t="str">
            <v>推广账户自动充值</v>
          </cell>
        </row>
        <row r="2479">
          <cell r="H2479" t="str">
            <v>海口店</v>
          </cell>
          <cell r="I2479">
            <v>46010</v>
          </cell>
          <cell r="J2479">
            <v>200</v>
          </cell>
        </row>
        <row r="2480">
          <cell r="C2480" t="str">
            <v>推广账户自动充值</v>
          </cell>
        </row>
        <row r="2480">
          <cell r="H2480" t="str">
            <v>东海店</v>
          </cell>
          <cell r="I2480">
            <v>46010</v>
          </cell>
          <cell r="J2480">
            <v>200</v>
          </cell>
        </row>
        <row r="2481">
          <cell r="C2481" t="str">
            <v>推广账户自动充值</v>
          </cell>
        </row>
        <row r="2481">
          <cell r="H2481" t="str">
            <v>五路口店</v>
          </cell>
          <cell r="I2481">
            <v>46010</v>
          </cell>
          <cell r="J2481">
            <v>200</v>
          </cell>
        </row>
        <row r="2482">
          <cell r="C2482" t="str">
            <v>推广账户自动充值</v>
          </cell>
        </row>
        <row r="2482">
          <cell r="H2482" t="str">
            <v>东新店</v>
          </cell>
          <cell r="I2482">
            <v>46010</v>
          </cell>
          <cell r="J2482">
            <v>200</v>
          </cell>
        </row>
        <row r="2483">
          <cell r="C2483" t="str">
            <v>推广账户自动充值</v>
          </cell>
        </row>
        <row r="2483">
          <cell r="H2483" t="str">
            <v>五华店</v>
          </cell>
          <cell r="I2483">
            <v>46010</v>
          </cell>
          <cell r="J2483">
            <v>200</v>
          </cell>
        </row>
        <row r="2484">
          <cell r="C2484" t="str">
            <v>推广账户自动充值</v>
          </cell>
        </row>
        <row r="2484">
          <cell r="H2484" t="str">
            <v>首南店</v>
          </cell>
          <cell r="I2484">
            <v>46010</v>
          </cell>
          <cell r="J2484">
            <v>200</v>
          </cell>
        </row>
        <row r="2485">
          <cell r="C2485" t="str">
            <v>推广账户自动充值</v>
          </cell>
        </row>
        <row r="2485">
          <cell r="H2485" t="str">
            <v>洛江店</v>
          </cell>
          <cell r="I2485">
            <v>46010</v>
          </cell>
          <cell r="J2485">
            <v>200</v>
          </cell>
        </row>
        <row r="2486">
          <cell r="C2486" t="str">
            <v>推广账户自动充值</v>
          </cell>
        </row>
        <row r="2486">
          <cell r="H2486" t="str">
            <v>黄雁村店</v>
          </cell>
          <cell r="I2486">
            <v>46010</v>
          </cell>
          <cell r="J2486">
            <v>200</v>
          </cell>
        </row>
        <row r="2487">
          <cell r="C2487" t="str">
            <v>推广账户自动充值</v>
          </cell>
        </row>
        <row r="2487">
          <cell r="H2487" t="str">
            <v>观音桥店</v>
          </cell>
          <cell r="I2487">
            <v>46010</v>
          </cell>
          <cell r="J2487">
            <v>200</v>
          </cell>
        </row>
        <row r="2488">
          <cell r="C2488" t="str">
            <v>推广账户自动充值</v>
          </cell>
        </row>
        <row r="2488">
          <cell r="H2488" t="str">
            <v>官渡店</v>
          </cell>
          <cell r="I2488">
            <v>46010</v>
          </cell>
          <cell r="J2488">
            <v>200</v>
          </cell>
        </row>
        <row r="2489">
          <cell r="C2489" t="str">
            <v>推广账户自动充值</v>
          </cell>
        </row>
        <row r="2489">
          <cell r="H2489" t="str">
            <v>大坪店</v>
          </cell>
          <cell r="I2489">
            <v>46010</v>
          </cell>
          <cell r="J2489">
            <v>200</v>
          </cell>
        </row>
        <row r="2490">
          <cell r="C2490" t="str">
            <v>推广账户自动充值</v>
          </cell>
        </row>
        <row r="2490">
          <cell r="H2490" t="str">
            <v>西湖店</v>
          </cell>
          <cell r="I2490">
            <v>46010</v>
          </cell>
          <cell r="J2490">
            <v>200</v>
          </cell>
        </row>
        <row r="2491">
          <cell r="C2491" t="str">
            <v>推广账户自动充值</v>
          </cell>
        </row>
        <row r="2491">
          <cell r="H2491" t="str">
            <v>首山店</v>
          </cell>
          <cell r="I2491">
            <v>46010</v>
          </cell>
          <cell r="J2491">
            <v>200</v>
          </cell>
        </row>
        <row r="2492">
          <cell r="C2492" t="str">
            <v>推广账户自动充值</v>
          </cell>
        </row>
        <row r="2492">
          <cell r="H2492" t="str">
            <v>湖里店</v>
          </cell>
          <cell r="I2492">
            <v>46010</v>
          </cell>
          <cell r="J2492">
            <v>200</v>
          </cell>
        </row>
        <row r="2493">
          <cell r="C2493" t="str">
            <v>推广账户自动充值</v>
          </cell>
        </row>
        <row r="2493">
          <cell r="H2493" t="str">
            <v>诚毅店</v>
          </cell>
          <cell r="I2493">
            <v>46010</v>
          </cell>
          <cell r="J2493">
            <v>200</v>
          </cell>
        </row>
        <row r="2494">
          <cell r="C2494" t="str">
            <v>推广账户自动充值</v>
          </cell>
        </row>
        <row r="2494">
          <cell r="H2494" t="str">
            <v>武侯店</v>
          </cell>
          <cell r="I2494">
            <v>46010</v>
          </cell>
          <cell r="J2494">
            <v>200</v>
          </cell>
        </row>
        <row r="2495">
          <cell r="C2495" t="str">
            <v>推广账户自动充值</v>
          </cell>
        </row>
        <row r="2495">
          <cell r="H2495" t="str">
            <v>凤城二路店</v>
          </cell>
          <cell r="I2495">
            <v>46010</v>
          </cell>
          <cell r="J2495">
            <v>200</v>
          </cell>
        </row>
        <row r="2496">
          <cell r="C2496" t="str">
            <v>推广账户自动充值</v>
          </cell>
        </row>
        <row r="2496">
          <cell r="H2496" t="str">
            <v>高新店</v>
          </cell>
          <cell r="I2496">
            <v>46010</v>
          </cell>
          <cell r="J2496">
            <v>200</v>
          </cell>
        </row>
        <row r="2497">
          <cell r="C2497" t="str">
            <v>推广账户自动充值</v>
          </cell>
        </row>
        <row r="2497">
          <cell r="H2497" t="str">
            <v>青羊店</v>
          </cell>
          <cell r="I2497">
            <v>46010</v>
          </cell>
          <cell r="J2497">
            <v>200</v>
          </cell>
        </row>
        <row r="2498">
          <cell r="C2498" t="str">
            <v>推广账户自动充值</v>
          </cell>
        </row>
        <row r="2498">
          <cell r="H2498" t="str">
            <v>鼓楼店</v>
          </cell>
          <cell r="I2498">
            <v>46010</v>
          </cell>
          <cell r="J2498">
            <v>200</v>
          </cell>
        </row>
        <row r="2499">
          <cell r="C2499" t="str">
            <v>推广账户自动充值</v>
          </cell>
        </row>
        <row r="2499">
          <cell r="H2499" t="str">
            <v>观音桥店</v>
          </cell>
          <cell r="I2499">
            <v>46010</v>
          </cell>
          <cell r="J2499">
            <v>200</v>
          </cell>
        </row>
        <row r="2500">
          <cell r="C2500" t="str">
            <v>推广账户自动充值</v>
          </cell>
        </row>
        <row r="2500">
          <cell r="H2500" t="str">
            <v>滨江店</v>
          </cell>
          <cell r="I2500">
            <v>46010</v>
          </cell>
          <cell r="J2500">
            <v>200</v>
          </cell>
        </row>
        <row r="2501">
          <cell r="C2501" t="str">
            <v>推广账户自动充值</v>
          </cell>
        </row>
        <row r="2501">
          <cell r="H2501" t="str">
            <v>西山店</v>
          </cell>
          <cell r="I2501">
            <v>46010</v>
          </cell>
          <cell r="J2501">
            <v>200</v>
          </cell>
        </row>
        <row r="2502">
          <cell r="C2502" t="str">
            <v>推广订单扣款</v>
          </cell>
        </row>
        <row r="2502">
          <cell r="H2502" t="str">
            <v>鼓楼店</v>
          </cell>
          <cell r="I2502">
            <v>46011</v>
          </cell>
          <cell r="J2502">
            <v>-196.99</v>
          </cell>
        </row>
        <row r="2503">
          <cell r="C2503" t="str">
            <v>推广订单扣款</v>
          </cell>
        </row>
        <row r="2503">
          <cell r="H2503" t="str">
            <v>首山店</v>
          </cell>
          <cell r="I2503">
            <v>46011</v>
          </cell>
          <cell r="J2503">
            <v>-142.94</v>
          </cell>
        </row>
        <row r="2504">
          <cell r="C2504" t="str">
            <v>推广订单扣款</v>
          </cell>
        </row>
        <row r="2504">
          <cell r="H2504" t="str">
            <v>西湖店</v>
          </cell>
          <cell r="I2504">
            <v>46011</v>
          </cell>
          <cell r="J2504">
            <v>-162.55</v>
          </cell>
        </row>
        <row r="2505">
          <cell r="C2505" t="str">
            <v>推广订单扣款</v>
          </cell>
        </row>
        <row r="2505">
          <cell r="H2505" t="str">
            <v>洛江店</v>
          </cell>
          <cell r="I2505">
            <v>46011</v>
          </cell>
          <cell r="J2505">
            <v>-58.52</v>
          </cell>
        </row>
        <row r="2506">
          <cell r="C2506" t="str">
            <v>推广订单扣款</v>
          </cell>
        </row>
        <row r="2506">
          <cell r="H2506" t="str">
            <v>长沙店</v>
          </cell>
          <cell r="I2506">
            <v>46011</v>
          </cell>
          <cell r="J2506">
            <v>-166.75</v>
          </cell>
        </row>
        <row r="2507">
          <cell r="C2507" t="str">
            <v>推广订单扣款</v>
          </cell>
        </row>
        <row r="2507">
          <cell r="H2507" t="str">
            <v>五路口店</v>
          </cell>
          <cell r="I2507">
            <v>46011</v>
          </cell>
          <cell r="J2507">
            <v>-266.26</v>
          </cell>
        </row>
        <row r="2508">
          <cell r="C2508" t="str">
            <v>推广订单扣款</v>
          </cell>
        </row>
        <row r="2508">
          <cell r="H2508" t="str">
            <v>百丈店</v>
          </cell>
          <cell r="I2508">
            <v>46011</v>
          </cell>
          <cell r="J2508">
            <v>-117.93</v>
          </cell>
        </row>
        <row r="2509">
          <cell r="C2509" t="str">
            <v>推广订单扣款</v>
          </cell>
        </row>
        <row r="2509">
          <cell r="H2509" t="str">
            <v>海口店</v>
          </cell>
          <cell r="I2509">
            <v>46011</v>
          </cell>
          <cell r="J2509">
            <v>-200</v>
          </cell>
        </row>
        <row r="2510">
          <cell r="C2510" t="str">
            <v>推广订单扣款</v>
          </cell>
        </row>
        <row r="2510">
          <cell r="H2510" t="str">
            <v>五华店</v>
          </cell>
          <cell r="I2510">
            <v>46011</v>
          </cell>
          <cell r="J2510">
            <v>-151.45</v>
          </cell>
        </row>
        <row r="2511">
          <cell r="C2511" t="str">
            <v>推广订单扣款</v>
          </cell>
        </row>
        <row r="2511">
          <cell r="H2511" t="str">
            <v>东新店</v>
          </cell>
          <cell r="I2511">
            <v>46011</v>
          </cell>
          <cell r="J2511">
            <v>-228.36</v>
          </cell>
        </row>
        <row r="2512">
          <cell r="C2512" t="str">
            <v>推广订单扣款</v>
          </cell>
        </row>
        <row r="2512">
          <cell r="H2512" t="str">
            <v>沙坪坝店</v>
          </cell>
          <cell r="I2512">
            <v>46011</v>
          </cell>
          <cell r="J2512">
            <v>-101</v>
          </cell>
        </row>
        <row r="2513">
          <cell r="C2513" t="str">
            <v>推广订单扣款</v>
          </cell>
        </row>
        <row r="2513">
          <cell r="H2513" t="str">
            <v>东海店</v>
          </cell>
          <cell r="I2513">
            <v>46011</v>
          </cell>
          <cell r="J2513">
            <v>-180</v>
          </cell>
        </row>
        <row r="2514">
          <cell r="C2514" t="str">
            <v>推广订单扣款</v>
          </cell>
        </row>
        <row r="2514">
          <cell r="H2514" t="str">
            <v>官渡店</v>
          </cell>
          <cell r="I2514">
            <v>46011</v>
          </cell>
          <cell r="J2514">
            <v>-153.51</v>
          </cell>
        </row>
        <row r="2515">
          <cell r="C2515" t="str">
            <v>推广订单扣款</v>
          </cell>
        </row>
        <row r="2515">
          <cell r="H2515" t="str">
            <v>文灶店</v>
          </cell>
          <cell r="I2515">
            <v>46011</v>
          </cell>
          <cell r="J2515">
            <v>-169</v>
          </cell>
        </row>
        <row r="2516">
          <cell r="C2516" t="str">
            <v>推广订单扣款</v>
          </cell>
        </row>
        <row r="2516">
          <cell r="H2516" t="str">
            <v>百捷店</v>
          </cell>
          <cell r="I2516">
            <v>46011</v>
          </cell>
          <cell r="J2516">
            <v>-119.58</v>
          </cell>
        </row>
        <row r="2517">
          <cell r="C2517" t="str">
            <v>推广订单扣款</v>
          </cell>
        </row>
        <row r="2517">
          <cell r="H2517" t="str">
            <v>启点店</v>
          </cell>
          <cell r="I2517">
            <v>46011</v>
          </cell>
          <cell r="J2517">
            <v>-158.58</v>
          </cell>
        </row>
        <row r="2518">
          <cell r="C2518" t="str">
            <v>推广订单扣款</v>
          </cell>
        </row>
        <row r="2518">
          <cell r="H2518" t="str">
            <v>诚毅店</v>
          </cell>
          <cell r="I2518">
            <v>46011</v>
          </cell>
          <cell r="J2518">
            <v>-195.07</v>
          </cell>
        </row>
        <row r="2519">
          <cell r="C2519" t="str">
            <v>推广订单扣款</v>
          </cell>
        </row>
        <row r="2519">
          <cell r="H2519" t="str">
            <v>成华店</v>
          </cell>
          <cell r="I2519">
            <v>46011</v>
          </cell>
          <cell r="J2519">
            <v>-124.1</v>
          </cell>
        </row>
        <row r="2520">
          <cell r="C2520" t="str">
            <v>推广订单扣款</v>
          </cell>
        </row>
        <row r="2520">
          <cell r="H2520" t="str">
            <v>黄雁村店</v>
          </cell>
          <cell r="I2520">
            <v>46011</v>
          </cell>
          <cell r="J2520">
            <v>-222.1</v>
          </cell>
        </row>
        <row r="2521">
          <cell r="C2521" t="str">
            <v>推广订单扣款</v>
          </cell>
        </row>
        <row r="2521">
          <cell r="H2521" t="str">
            <v>观桥店</v>
          </cell>
          <cell r="I2521">
            <v>46011</v>
          </cell>
          <cell r="J2521">
            <v>-175.15</v>
          </cell>
        </row>
        <row r="2522">
          <cell r="C2522" t="str">
            <v>推广订单扣款</v>
          </cell>
        </row>
        <row r="2522">
          <cell r="H2522" t="str">
            <v>济南店</v>
          </cell>
          <cell r="I2522">
            <v>46011</v>
          </cell>
          <cell r="J2522">
            <v>-153.53</v>
          </cell>
        </row>
        <row r="2523">
          <cell r="C2523" t="str">
            <v>推广订单扣款</v>
          </cell>
        </row>
        <row r="2523">
          <cell r="H2523" t="str">
            <v>大坪店</v>
          </cell>
          <cell r="I2523">
            <v>46011</v>
          </cell>
          <cell r="J2523">
            <v>-236.36</v>
          </cell>
        </row>
        <row r="2524">
          <cell r="C2524" t="str">
            <v>推广订单扣款</v>
          </cell>
        </row>
        <row r="2524">
          <cell r="H2524" t="str">
            <v>文昌店</v>
          </cell>
          <cell r="I2524">
            <v>46011</v>
          </cell>
          <cell r="J2524">
            <v>-106.93</v>
          </cell>
        </row>
        <row r="2525">
          <cell r="C2525" t="str">
            <v>推广订单扣款</v>
          </cell>
        </row>
        <row r="2525">
          <cell r="H2525" t="str">
            <v>金牛店</v>
          </cell>
          <cell r="I2525">
            <v>46011</v>
          </cell>
          <cell r="J2525">
            <v>-120.71</v>
          </cell>
        </row>
        <row r="2526">
          <cell r="C2526" t="str">
            <v>推广订单扣款</v>
          </cell>
        </row>
        <row r="2526">
          <cell r="H2526" t="str">
            <v>武侯店</v>
          </cell>
          <cell r="I2526">
            <v>46011</v>
          </cell>
          <cell r="J2526">
            <v>-56.92</v>
          </cell>
        </row>
        <row r="2527">
          <cell r="C2527" t="str">
            <v>推广订单扣款</v>
          </cell>
        </row>
        <row r="2527">
          <cell r="H2527" t="str">
            <v>高新店</v>
          </cell>
          <cell r="I2527">
            <v>46011</v>
          </cell>
          <cell r="J2527">
            <v>-116.55</v>
          </cell>
        </row>
        <row r="2528">
          <cell r="C2528" t="str">
            <v>推广订单扣款</v>
          </cell>
        </row>
        <row r="2528">
          <cell r="H2528" t="str">
            <v>华信店</v>
          </cell>
          <cell r="I2528">
            <v>46011</v>
          </cell>
          <cell r="J2528">
            <v>-180</v>
          </cell>
        </row>
        <row r="2529">
          <cell r="C2529" t="str">
            <v>推广订单扣款</v>
          </cell>
        </row>
        <row r="2529">
          <cell r="H2529" t="str">
            <v>青羊店</v>
          </cell>
          <cell r="I2529">
            <v>46011</v>
          </cell>
          <cell r="J2529">
            <v>-107.06</v>
          </cell>
        </row>
        <row r="2530">
          <cell r="C2530" t="str">
            <v>推广订单扣款</v>
          </cell>
        </row>
        <row r="2530">
          <cell r="H2530" t="str">
            <v>湖里店</v>
          </cell>
          <cell r="I2530">
            <v>46011</v>
          </cell>
          <cell r="J2530">
            <v>-171.97</v>
          </cell>
        </row>
        <row r="2531">
          <cell r="C2531" t="str">
            <v>推广订单扣款</v>
          </cell>
        </row>
        <row r="2531">
          <cell r="H2531" t="str">
            <v>观音桥店</v>
          </cell>
          <cell r="I2531">
            <v>46011</v>
          </cell>
          <cell r="J2531">
            <v>-424.68</v>
          </cell>
        </row>
        <row r="2532">
          <cell r="C2532" t="str">
            <v>推广订单扣款</v>
          </cell>
        </row>
        <row r="2532">
          <cell r="H2532" t="str">
            <v>西山店</v>
          </cell>
          <cell r="I2532">
            <v>46011</v>
          </cell>
          <cell r="J2532">
            <v>-156.59</v>
          </cell>
        </row>
        <row r="2533">
          <cell r="C2533" t="str">
            <v>推广订单扣款</v>
          </cell>
        </row>
        <row r="2533">
          <cell r="H2533" t="str">
            <v>余杭店</v>
          </cell>
          <cell r="I2533">
            <v>46011</v>
          </cell>
          <cell r="J2533">
            <v>-177.71</v>
          </cell>
        </row>
        <row r="2534">
          <cell r="C2534" t="str">
            <v>推广订单扣款</v>
          </cell>
        </row>
        <row r="2534">
          <cell r="H2534" t="str">
            <v>滨江店</v>
          </cell>
          <cell r="I2534">
            <v>46011</v>
          </cell>
          <cell r="J2534">
            <v>-141.99</v>
          </cell>
        </row>
        <row r="2535">
          <cell r="C2535" t="str">
            <v>推广订单扣款</v>
          </cell>
        </row>
        <row r="2535">
          <cell r="H2535" t="str">
            <v>首南店</v>
          </cell>
          <cell r="I2535">
            <v>46011</v>
          </cell>
          <cell r="J2535">
            <v>-174.4</v>
          </cell>
        </row>
        <row r="2536">
          <cell r="C2536" t="str">
            <v>推广订单扣款</v>
          </cell>
        </row>
        <row r="2536">
          <cell r="H2536" t="str">
            <v>凤城二路店</v>
          </cell>
          <cell r="I2536">
            <v>46011</v>
          </cell>
          <cell r="J2536">
            <v>-334.16</v>
          </cell>
        </row>
        <row r="2537">
          <cell r="C2537" t="str">
            <v>推广账户自动充值</v>
          </cell>
        </row>
        <row r="2537">
          <cell r="H2537" t="str">
            <v>华信店</v>
          </cell>
          <cell r="I2537">
            <v>46011</v>
          </cell>
          <cell r="J2537">
            <v>200</v>
          </cell>
        </row>
        <row r="2538">
          <cell r="C2538" t="str">
            <v>推广账户自动充值</v>
          </cell>
        </row>
        <row r="2538">
          <cell r="H2538" t="str">
            <v>五路口店</v>
          </cell>
          <cell r="I2538">
            <v>46011</v>
          </cell>
          <cell r="J2538">
            <v>200</v>
          </cell>
        </row>
        <row r="2539">
          <cell r="C2539" t="str">
            <v>推广账户自动充值</v>
          </cell>
        </row>
        <row r="2539">
          <cell r="H2539" t="str">
            <v>观桥店</v>
          </cell>
          <cell r="I2539">
            <v>46011</v>
          </cell>
          <cell r="J2539">
            <v>200</v>
          </cell>
        </row>
        <row r="2540">
          <cell r="C2540" t="str">
            <v>推广账户自动充值</v>
          </cell>
        </row>
        <row r="2540">
          <cell r="H2540" t="str">
            <v>济南店</v>
          </cell>
          <cell r="I2540">
            <v>46011</v>
          </cell>
          <cell r="J2540">
            <v>200</v>
          </cell>
        </row>
        <row r="2541">
          <cell r="C2541" t="str">
            <v>推广账户自动充值</v>
          </cell>
        </row>
        <row r="2541">
          <cell r="H2541" t="str">
            <v>余杭店</v>
          </cell>
          <cell r="I2541">
            <v>46011</v>
          </cell>
          <cell r="J2541">
            <v>200</v>
          </cell>
        </row>
        <row r="2542">
          <cell r="C2542" t="str">
            <v>推广账户自动充值</v>
          </cell>
        </row>
        <row r="2542">
          <cell r="H2542" t="str">
            <v>东新店</v>
          </cell>
          <cell r="I2542">
            <v>46011</v>
          </cell>
          <cell r="J2542">
            <v>200</v>
          </cell>
        </row>
        <row r="2543">
          <cell r="C2543" t="str">
            <v>推广账户自动充值</v>
          </cell>
        </row>
        <row r="2543">
          <cell r="H2543" t="str">
            <v>长沙店</v>
          </cell>
          <cell r="I2543">
            <v>46011</v>
          </cell>
          <cell r="J2543">
            <v>200</v>
          </cell>
        </row>
        <row r="2544">
          <cell r="C2544" t="str">
            <v>推广账户自动充值</v>
          </cell>
        </row>
        <row r="2544">
          <cell r="H2544" t="str">
            <v>启点店</v>
          </cell>
          <cell r="I2544">
            <v>46011</v>
          </cell>
          <cell r="J2544">
            <v>200</v>
          </cell>
        </row>
        <row r="2545">
          <cell r="C2545" t="str">
            <v>推广账户自动充值</v>
          </cell>
        </row>
        <row r="2545">
          <cell r="H2545" t="str">
            <v>海口店</v>
          </cell>
          <cell r="I2545">
            <v>46011</v>
          </cell>
          <cell r="J2545">
            <v>200</v>
          </cell>
        </row>
        <row r="2546">
          <cell r="C2546" t="str">
            <v>推广账户自动充值</v>
          </cell>
        </row>
        <row r="2546">
          <cell r="H2546" t="str">
            <v>东海店</v>
          </cell>
          <cell r="I2546">
            <v>46011</v>
          </cell>
          <cell r="J2546">
            <v>200</v>
          </cell>
        </row>
        <row r="2547">
          <cell r="C2547" t="str">
            <v>推广账户自动充值</v>
          </cell>
        </row>
        <row r="2547">
          <cell r="H2547" t="str">
            <v>黄雁村店</v>
          </cell>
          <cell r="I2547">
            <v>46011</v>
          </cell>
          <cell r="J2547">
            <v>200</v>
          </cell>
        </row>
        <row r="2548">
          <cell r="C2548" t="str">
            <v>推广账户自动充值</v>
          </cell>
        </row>
        <row r="2548">
          <cell r="H2548" t="str">
            <v>首南店</v>
          </cell>
          <cell r="I2548">
            <v>46011</v>
          </cell>
          <cell r="J2548">
            <v>200</v>
          </cell>
        </row>
        <row r="2549">
          <cell r="C2549" t="str">
            <v>推广账户自动充值</v>
          </cell>
        </row>
        <row r="2549">
          <cell r="H2549" t="str">
            <v>沙坪坝店</v>
          </cell>
          <cell r="I2549">
            <v>46011</v>
          </cell>
          <cell r="J2549">
            <v>200</v>
          </cell>
        </row>
        <row r="2550">
          <cell r="C2550" t="str">
            <v>推广账户自动充值</v>
          </cell>
        </row>
        <row r="2550">
          <cell r="H2550" t="str">
            <v>观音桥店</v>
          </cell>
          <cell r="I2550">
            <v>46011</v>
          </cell>
          <cell r="J2550">
            <v>200</v>
          </cell>
        </row>
        <row r="2551">
          <cell r="C2551" t="str">
            <v>推广账户自动充值</v>
          </cell>
        </row>
        <row r="2551">
          <cell r="H2551" t="str">
            <v>凤城二路店</v>
          </cell>
          <cell r="I2551">
            <v>46011</v>
          </cell>
          <cell r="J2551">
            <v>200</v>
          </cell>
        </row>
        <row r="2552">
          <cell r="C2552" t="str">
            <v>推广账户自动充值</v>
          </cell>
        </row>
        <row r="2552">
          <cell r="H2552" t="str">
            <v>金牛店</v>
          </cell>
          <cell r="I2552">
            <v>46011</v>
          </cell>
          <cell r="J2552">
            <v>200</v>
          </cell>
        </row>
        <row r="2553">
          <cell r="C2553" t="str">
            <v>推广账户自动充值</v>
          </cell>
        </row>
        <row r="2553">
          <cell r="H2553" t="str">
            <v>大坪店</v>
          </cell>
          <cell r="I2553">
            <v>46011</v>
          </cell>
          <cell r="J2553">
            <v>200</v>
          </cell>
        </row>
        <row r="2554">
          <cell r="C2554" t="str">
            <v>推广账户自动充值</v>
          </cell>
        </row>
        <row r="2554">
          <cell r="H2554" t="str">
            <v>百丈店</v>
          </cell>
          <cell r="I2554">
            <v>46011</v>
          </cell>
          <cell r="J2554">
            <v>200</v>
          </cell>
        </row>
        <row r="2555">
          <cell r="C2555" t="str">
            <v>推广账户自动充值</v>
          </cell>
        </row>
        <row r="2555">
          <cell r="H2555" t="str">
            <v>官渡店</v>
          </cell>
          <cell r="I2555">
            <v>46011</v>
          </cell>
          <cell r="J2555">
            <v>200</v>
          </cell>
        </row>
        <row r="2556">
          <cell r="C2556" t="str">
            <v>推广账户自动充值</v>
          </cell>
        </row>
        <row r="2556">
          <cell r="H2556" t="str">
            <v>诚毅店</v>
          </cell>
          <cell r="I2556">
            <v>46011</v>
          </cell>
          <cell r="J2556">
            <v>200</v>
          </cell>
        </row>
        <row r="2557">
          <cell r="C2557" t="str">
            <v>推广账户自动充值</v>
          </cell>
        </row>
        <row r="2557">
          <cell r="H2557" t="str">
            <v>五路口店</v>
          </cell>
          <cell r="I2557">
            <v>46011</v>
          </cell>
          <cell r="J2557">
            <v>200</v>
          </cell>
        </row>
        <row r="2558">
          <cell r="C2558" t="str">
            <v>推广账户自动充值</v>
          </cell>
        </row>
        <row r="2558">
          <cell r="H2558" t="str">
            <v>西湖店</v>
          </cell>
          <cell r="I2558">
            <v>46011</v>
          </cell>
          <cell r="J2558">
            <v>200</v>
          </cell>
        </row>
        <row r="2559">
          <cell r="C2559" t="str">
            <v>推广账户自动充值</v>
          </cell>
        </row>
        <row r="2559">
          <cell r="H2559" t="str">
            <v>湖里店</v>
          </cell>
          <cell r="I2559">
            <v>46011</v>
          </cell>
          <cell r="J2559">
            <v>200</v>
          </cell>
        </row>
        <row r="2560">
          <cell r="C2560" t="str">
            <v>推广账户自动充值</v>
          </cell>
        </row>
        <row r="2560">
          <cell r="H2560" t="str">
            <v>成华店</v>
          </cell>
          <cell r="I2560">
            <v>46011</v>
          </cell>
          <cell r="J2560">
            <v>200</v>
          </cell>
        </row>
        <row r="2561">
          <cell r="C2561" t="str">
            <v>推广账户自动充值</v>
          </cell>
        </row>
        <row r="2561">
          <cell r="H2561" t="str">
            <v>五华店</v>
          </cell>
          <cell r="I2561">
            <v>46011</v>
          </cell>
          <cell r="J2561">
            <v>200</v>
          </cell>
        </row>
        <row r="2562">
          <cell r="C2562" t="str">
            <v>推广账户自动充值</v>
          </cell>
        </row>
        <row r="2562">
          <cell r="H2562" t="str">
            <v>观音桥店</v>
          </cell>
          <cell r="I2562">
            <v>46011</v>
          </cell>
          <cell r="J2562">
            <v>200</v>
          </cell>
        </row>
        <row r="2563">
          <cell r="C2563" t="str">
            <v>推广订单扣款</v>
          </cell>
        </row>
        <row r="2563">
          <cell r="H2563" t="str">
            <v>鼓楼店</v>
          </cell>
          <cell r="I2563">
            <v>46012</v>
          </cell>
          <cell r="J2563">
            <v>-182.61</v>
          </cell>
        </row>
        <row r="2564">
          <cell r="C2564" t="str">
            <v>推广订单扣款</v>
          </cell>
        </row>
        <row r="2564">
          <cell r="H2564" t="str">
            <v>首山店</v>
          </cell>
          <cell r="I2564">
            <v>46012</v>
          </cell>
          <cell r="J2564">
            <v>-133.84</v>
          </cell>
        </row>
        <row r="2565">
          <cell r="C2565" t="str">
            <v>推广订单扣款</v>
          </cell>
        </row>
        <row r="2565">
          <cell r="H2565" t="str">
            <v>西湖店</v>
          </cell>
          <cell r="I2565">
            <v>46012</v>
          </cell>
          <cell r="J2565">
            <v>-170.63</v>
          </cell>
        </row>
        <row r="2566">
          <cell r="C2566" t="str">
            <v>推广订单扣款</v>
          </cell>
        </row>
        <row r="2566">
          <cell r="H2566" t="str">
            <v>长沙店</v>
          </cell>
          <cell r="I2566">
            <v>46012</v>
          </cell>
          <cell r="J2566">
            <v>-98.94</v>
          </cell>
        </row>
        <row r="2567">
          <cell r="C2567" t="str">
            <v>推广订单扣款</v>
          </cell>
        </row>
        <row r="2567">
          <cell r="H2567" t="str">
            <v>五路口店</v>
          </cell>
          <cell r="I2567">
            <v>46012</v>
          </cell>
          <cell r="J2567">
            <v>-332.79</v>
          </cell>
        </row>
        <row r="2568">
          <cell r="C2568" t="str">
            <v>推广订单扣款</v>
          </cell>
        </row>
        <row r="2568">
          <cell r="H2568" t="str">
            <v>海口店</v>
          </cell>
          <cell r="I2568">
            <v>46012</v>
          </cell>
          <cell r="J2568">
            <v>-200</v>
          </cell>
        </row>
        <row r="2569">
          <cell r="C2569" t="str">
            <v>推广订单扣款</v>
          </cell>
        </row>
        <row r="2569">
          <cell r="H2569" t="str">
            <v>百丈店</v>
          </cell>
          <cell r="I2569">
            <v>46012</v>
          </cell>
          <cell r="J2569">
            <v>-99.87</v>
          </cell>
        </row>
        <row r="2570">
          <cell r="C2570" t="str">
            <v>推广订单扣款</v>
          </cell>
        </row>
        <row r="2570">
          <cell r="H2570" t="str">
            <v>五华店</v>
          </cell>
          <cell r="I2570">
            <v>46012</v>
          </cell>
          <cell r="J2570">
            <v>-122.61</v>
          </cell>
        </row>
        <row r="2571">
          <cell r="C2571" t="str">
            <v>推广订单扣款</v>
          </cell>
        </row>
        <row r="2571">
          <cell r="H2571" t="str">
            <v>东新店</v>
          </cell>
          <cell r="I2571">
            <v>46012</v>
          </cell>
          <cell r="J2571">
            <v>-146.98</v>
          </cell>
        </row>
        <row r="2572">
          <cell r="C2572" t="str">
            <v>推广订单扣款</v>
          </cell>
        </row>
        <row r="2572">
          <cell r="H2572" t="str">
            <v>沙坪坝店</v>
          </cell>
          <cell r="I2572">
            <v>46012</v>
          </cell>
          <cell r="J2572">
            <v>-88.13</v>
          </cell>
        </row>
        <row r="2573">
          <cell r="C2573" t="str">
            <v>推广订单扣款</v>
          </cell>
        </row>
        <row r="2573">
          <cell r="H2573" t="str">
            <v>东海店</v>
          </cell>
          <cell r="I2573">
            <v>46012</v>
          </cell>
          <cell r="J2573">
            <v>-165.01</v>
          </cell>
        </row>
        <row r="2574">
          <cell r="C2574" t="str">
            <v>推广订单扣款</v>
          </cell>
        </row>
        <row r="2574">
          <cell r="H2574" t="str">
            <v>官渡店</v>
          </cell>
          <cell r="I2574">
            <v>46012</v>
          </cell>
          <cell r="J2574">
            <v>-161.01</v>
          </cell>
        </row>
        <row r="2575">
          <cell r="C2575" t="str">
            <v>推广订单扣款</v>
          </cell>
        </row>
        <row r="2575">
          <cell r="H2575" t="str">
            <v>文灶店</v>
          </cell>
          <cell r="I2575">
            <v>46012</v>
          </cell>
          <cell r="J2575">
            <v>-180.89</v>
          </cell>
        </row>
        <row r="2576">
          <cell r="C2576" t="str">
            <v>推广订单扣款</v>
          </cell>
        </row>
        <row r="2576">
          <cell r="H2576" t="str">
            <v>启点店</v>
          </cell>
          <cell r="I2576">
            <v>46012</v>
          </cell>
          <cell r="J2576">
            <v>-84.63</v>
          </cell>
        </row>
        <row r="2577">
          <cell r="C2577" t="str">
            <v>推广订单扣款</v>
          </cell>
        </row>
        <row r="2577">
          <cell r="H2577" t="str">
            <v>百捷店</v>
          </cell>
          <cell r="I2577">
            <v>46012</v>
          </cell>
          <cell r="J2577">
            <v>-57.11</v>
          </cell>
        </row>
        <row r="2578">
          <cell r="C2578" t="str">
            <v>推广订单扣款</v>
          </cell>
        </row>
        <row r="2578">
          <cell r="H2578" t="str">
            <v>诚毅店</v>
          </cell>
          <cell r="I2578">
            <v>46012</v>
          </cell>
          <cell r="J2578">
            <v>-203.02</v>
          </cell>
        </row>
        <row r="2579">
          <cell r="C2579" t="str">
            <v>推广订单扣款</v>
          </cell>
        </row>
        <row r="2579">
          <cell r="H2579" t="str">
            <v>成华店</v>
          </cell>
          <cell r="I2579">
            <v>46012</v>
          </cell>
          <cell r="J2579">
            <v>-94.84</v>
          </cell>
        </row>
        <row r="2580">
          <cell r="C2580" t="str">
            <v>推广订单扣款</v>
          </cell>
        </row>
        <row r="2580">
          <cell r="H2580" t="str">
            <v>观桥店</v>
          </cell>
          <cell r="I2580">
            <v>46012</v>
          </cell>
          <cell r="J2580">
            <v>-125.62</v>
          </cell>
        </row>
        <row r="2581">
          <cell r="C2581" t="str">
            <v>推广订单扣款</v>
          </cell>
        </row>
        <row r="2581">
          <cell r="H2581" t="str">
            <v>黄雁村店</v>
          </cell>
          <cell r="I2581">
            <v>46012</v>
          </cell>
          <cell r="J2581">
            <v>-153.91</v>
          </cell>
        </row>
        <row r="2582">
          <cell r="C2582" t="str">
            <v>推广订单扣款</v>
          </cell>
        </row>
        <row r="2582">
          <cell r="H2582" t="str">
            <v>济南店</v>
          </cell>
          <cell r="I2582">
            <v>46012</v>
          </cell>
          <cell r="J2582">
            <v>-170.47</v>
          </cell>
        </row>
        <row r="2583">
          <cell r="C2583" t="str">
            <v>推广订单扣款</v>
          </cell>
        </row>
        <row r="2583">
          <cell r="H2583" t="str">
            <v>大坪店</v>
          </cell>
          <cell r="I2583">
            <v>46012</v>
          </cell>
          <cell r="J2583">
            <v>-163.04</v>
          </cell>
        </row>
        <row r="2584">
          <cell r="C2584" t="str">
            <v>推广订单扣款</v>
          </cell>
        </row>
        <row r="2584">
          <cell r="H2584" t="str">
            <v>文昌店</v>
          </cell>
          <cell r="I2584">
            <v>46012</v>
          </cell>
          <cell r="J2584">
            <v>-124.37</v>
          </cell>
        </row>
        <row r="2585">
          <cell r="C2585" t="str">
            <v>推广订单扣款</v>
          </cell>
        </row>
        <row r="2585">
          <cell r="H2585" t="str">
            <v>金牛店</v>
          </cell>
          <cell r="I2585">
            <v>46012</v>
          </cell>
          <cell r="J2585">
            <v>-144.12</v>
          </cell>
        </row>
        <row r="2586">
          <cell r="C2586" t="str">
            <v>推广订单扣款</v>
          </cell>
        </row>
        <row r="2586">
          <cell r="H2586" t="str">
            <v>高新店</v>
          </cell>
          <cell r="I2586">
            <v>46012</v>
          </cell>
          <cell r="J2586">
            <v>-149.82</v>
          </cell>
        </row>
        <row r="2587">
          <cell r="C2587" t="str">
            <v>推广订单扣款</v>
          </cell>
        </row>
        <row r="2587">
          <cell r="H2587" t="str">
            <v>武侯店</v>
          </cell>
          <cell r="I2587">
            <v>46012</v>
          </cell>
          <cell r="J2587">
            <v>-55.39</v>
          </cell>
        </row>
        <row r="2588">
          <cell r="C2588" t="str">
            <v>推广订单扣款</v>
          </cell>
        </row>
        <row r="2588">
          <cell r="H2588" t="str">
            <v>华信店</v>
          </cell>
          <cell r="I2588">
            <v>46012</v>
          </cell>
          <cell r="J2588">
            <v>-180</v>
          </cell>
        </row>
        <row r="2589">
          <cell r="C2589" t="str">
            <v>推广订单扣款</v>
          </cell>
        </row>
        <row r="2589">
          <cell r="H2589" t="str">
            <v>青羊店</v>
          </cell>
          <cell r="I2589">
            <v>46012</v>
          </cell>
          <cell r="J2589">
            <v>-81.41</v>
          </cell>
        </row>
        <row r="2590">
          <cell r="C2590" t="str">
            <v>推广订单扣款</v>
          </cell>
        </row>
        <row r="2590">
          <cell r="H2590" t="str">
            <v>湖里店</v>
          </cell>
          <cell r="I2590">
            <v>46012</v>
          </cell>
          <cell r="J2590">
            <v>-111.17</v>
          </cell>
        </row>
        <row r="2591">
          <cell r="C2591" t="str">
            <v>推广订单扣款</v>
          </cell>
        </row>
        <row r="2591">
          <cell r="H2591" t="str">
            <v>观音桥店</v>
          </cell>
          <cell r="I2591">
            <v>46012</v>
          </cell>
          <cell r="J2591">
            <v>-382.13</v>
          </cell>
        </row>
        <row r="2592">
          <cell r="C2592" t="str">
            <v>推广订单扣款</v>
          </cell>
        </row>
        <row r="2592">
          <cell r="H2592" t="str">
            <v>滨江店</v>
          </cell>
          <cell r="I2592">
            <v>46012</v>
          </cell>
          <cell r="J2592">
            <v>-139.69</v>
          </cell>
        </row>
        <row r="2593">
          <cell r="C2593" t="str">
            <v>推广订单扣款</v>
          </cell>
        </row>
        <row r="2593">
          <cell r="H2593" t="str">
            <v>西山店</v>
          </cell>
          <cell r="I2593">
            <v>46012</v>
          </cell>
          <cell r="J2593">
            <v>-160.65</v>
          </cell>
        </row>
        <row r="2594">
          <cell r="C2594" t="str">
            <v>推广订单扣款</v>
          </cell>
        </row>
        <row r="2594">
          <cell r="H2594" t="str">
            <v>余杭店</v>
          </cell>
          <cell r="I2594">
            <v>46012</v>
          </cell>
          <cell r="J2594">
            <v>-211.86</v>
          </cell>
        </row>
        <row r="2595">
          <cell r="C2595" t="str">
            <v>推广订单扣款</v>
          </cell>
        </row>
        <row r="2595">
          <cell r="H2595" t="str">
            <v>首南店</v>
          </cell>
          <cell r="I2595">
            <v>46012</v>
          </cell>
          <cell r="J2595">
            <v>-128.45</v>
          </cell>
        </row>
        <row r="2596">
          <cell r="C2596" t="str">
            <v>推广订单扣款</v>
          </cell>
        </row>
        <row r="2596">
          <cell r="H2596" t="str">
            <v>凤城二路店</v>
          </cell>
          <cell r="I2596">
            <v>46012</v>
          </cell>
          <cell r="J2596">
            <v>-306.56</v>
          </cell>
        </row>
        <row r="2597">
          <cell r="C2597" t="str">
            <v>推广账户自动充值</v>
          </cell>
        </row>
        <row r="2597">
          <cell r="H2597" t="str">
            <v>凤城二路店</v>
          </cell>
          <cell r="I2597">
            <v>46012</v>
          </cell>
          <cell r="J2597">
            <v>200</v>
          </cell>
        </row>
        <row r="2598">
          <cell r="C2598" t="str">
            <v>推广账户自动充值</v>
          </cell>
        </row>
        <row r="2598">
          <cell r="H2598" t="str">
            <v>文昌店</v>
          </cell>
          <cell r="I2598">
            <v>46012</v>
          </cell>
          <cell r="J2598">
            <v>200</v>
          </cell>
        </row>
        <row r="2599">
          <cell r="C2599" t="str">
            <v>推广账户自动充值</v>
          </cell>
        </row>
        <row r="2599">
          <cell r="H2599" t="str">
            <v>鼓楼店</v>
          </cell>
          <cell r="I2599">
            <v>46012</v>
          </cell>
          <cell r="J2599">
            <v>200</v>
          </cell>
        </row>
        <row r="2600">
          <cell r="C2600" t="str">
            <v>推广账户自动充值</v>
          </cell>
        </row>
        <row r="2600">
          <cell r="H2600" t="str">
            <v>首山店</v>
          </cell>
          <cell r="I2600">
            <v>46012</v>
          </cell>
          <cell r="J2600">
            <v>200</v>
          </cell>
        </row>
        <row r="2601">
          <cell r="C2601" t="str">
            <v>推广账户自动充值</v>
          </cell>
        </row>
        <row r="2601">
          <cell r="H2601" t="str">
            <v>西山店</v>
          </cell>
          <cell r="I2601">
            <v>46012</v>
          </cell>
          <cell r="J2601">
            <v>200</v>
          </cell>
        </row>
        <row r="2602">
          <cell r="C2602" t="str">
            <v>推广账户自动充值</v>
          </cell>
        </row>
        <row r="2602">
          <cell r="H2602" t="str">
            <v>高新店</v>
          </cell>
          <cell r="I2602">
            <v>46012</v>
          </cell>
          <cell r="J2602">
            <v>200</v>
          </cell>
        </row>
        <row r="2603">
          <cell r="C2603" t="str">
            <v>推广账户自动充值</v>
          </cell>
        </row>
        <row r="2603">
          <cell r="H2603" t="str">
            <v>余杭店</v>
          </cell>
          <cell r="I2603">
            <v>46012</v>
          </cell>
          <cell r="J2603">
            <v>200</v>
          </cell>
        </row>
        <row r="2604">
          <cell r="C2604" t="str">
            <v>推广账户自动充值</v>
          </cell>
        </row>
        <row r="2604">
          <cell r="H2604" t="str">
            <v>济南店</v>
          </cell>
          <cell r="I2604">
            <v>46012</v>
          </cell>
          <cell r="J2604">
            <v>200</v>
          </cell>
        </row>
        <row r="2605">
          <cell r="C2605" t="str">
            <v>推广账户自动充值</v>
          </cell>
        </row>
        <row r="2605">
          <cell r="H2605" t="str">
            <v>滨江店</v>
          </cell>
          <cell r="I2605">
            <v>46012</v>
          </cell>
          <cell r="J2605">
            <v>200</v>
          </cell>
        </row>
        <row r="2606">
          <cell r="C2606" t="str">
            <v>推广账户自动充值</v>
          </cell>
        </row>
        <row r="2606">
          <cell r="H2606" t="str">
            <v>海口店</v>
          </cell>
          <cell r="I2606">
            <v>46012</v>
          </cell>
          <cell r="J2606">
            <v>200</v>
          </cell>
        </row>
        <row r="2607">
          <cell r="C2607" t="str">
            <v>推广账户自动充值</v>
          </cell>
        </row>
        <row r="2607">
          <cell r="H2607" t="str">
            <v>大坪店</v>
          </cell>
          <cell r="I2607">
            <v>46012</v>
          </cell>
          <cell r="J2607">
            <v>200</v>
          </cell>
        </row>
        <row r="2608">
          <cell r="C2608" t="str">
            <v>推广账户自动充值</v>
          </cell>
        </row>
        <row r="2608">
          <cell r="H2608" t="str">
            <v>五路口店</v>
          </cell>
          <cell r="I2608">
            <v>46012</v>
          </cell>
          <cell r="J2608">
            <v>200</v>
          </cell>
        </row>
        <row r="2609">
          <cell r="C2609" t="str">
            <v>推广订单扣款</v>
          </cell>
        </row>
        <row r="2609">
          <cell r="H2609" t="str">
            <v>湖里店</v>
          </cell>
          <cell r="I2609">
            <v>46013</v>
          </cell>
          <cell r="J2609">
            <v>-200.22</v>
          </cell>
        </row>
        <row r="2610">
          <cell r="C2610" t="str">
            <v>推广订单扣款</v>
          </cell>
        </row>
        <row r="2610">
          <cell r="H2610" t="str">
            <v>东新店</v>
          </cell>
          <cell r="I2610">
            <v>46013</v>
          </cell>
          <cell r="J2610">
            <v>-216.69</v>
          </cell>
        </row>
        <row r="2611">
          <cell r="C2611" t="str">
            <v>推广账户自动充值</v>
          </cell>
        </row>
        <row r="2611">
          <cell r="H2611" t="str">
            <v>启点店</v>
          </cell>
          <cell r="I2611">
            <v>46013</v>
          </cell>
          <cell r="J2611">
            <v>200</v>
          </cell>
        </row>
        <row r="2612">
          <cell r="C2612" t="str">
            <v>推广订单扣款</v>
          </cell>
        </row>
        <row r="2612">
          <cell r="H2612" t="str">
            <v>启点店</v>
          </cell>
          <cell r="I2612">
            <v>46013</v>
          </cell>
          <cell r="J2612">
            <v>-162.03</v>
          </cell>
        </row>
        <row r="2613">
          <cell r="C2613" t="str">
            <v>推广订单扣款</v>
          </cell>
        </row>
        <row r="2613">
          <cell r="H2613" t="str">
            <v>高新店</v>
          </cell>
          <cell r="I2613">
            <v>46013</v>
          </cell>
          <cell r="J2613">
            <v>-161.67</v>
          </cell>
        </row>
        <row r="2614">
          <cell r="C2614" t="str">
            <v>推广订单扣款</v>
          </cell>
        </row>
        <row r="2614">
          <cell r="H2614" t="str">
            <v>成华店</v>
          </cell>
          <cell r="I2614">
            <v>46013</v>
          </cell>
          <cell r="J2614">
            <v>-136.36</v>
          </cell>
        </row>
        <row r="2615">
          <cell r="C2615" t="str">
            <v>推广订单扣款</v>
          </cell>
        </row>
        <row r="2615">
          <cell r="H2615" t="str">
            <v>金牛店</v>
          </cell>
          <cell r="I2615">
            <v>46013</v>
          </cell>
          <cell r="J2615">
            <v>-123.83</v>
          </cell>
        </row>
        <row r="2616">
          <cell r="C2616" t="str">
            <v>推广订单扣款</v>
          </cell>
        </row>
        <row r="2616">
          <cell r="H2616" t="str">
            <v>西山店</v>
          </cell>
          <cell r="I2616">
            <v>46013</v>
          </cell>
          <cell r="J2616">
            <v>-179.45</v>
          </cell>
        </row>
        <row r="2617">
          <cell r="C2617" t="str">
            <v>推广订单扣款</v>
          </cell>
        </row>
        <row r="2617">
          <cell r="H2617" t="str">
            <v>沙坪坝店</v>
          </cell>
          <cell r="I2617">
            <v>46013</v>
          </cell>
          <cell r="J2617">
            <v>-81.67</v>
          </cell>
        </row>
        <row r="2618">
          <cell r="C2618" t="str">
            <v>推广订单扣款</v>
          </cell>
        </row>
        <row r="2618">
          <cell r="H2618" t="str">
            <v>凤城二路店</v>
          </cell>
          <cell r="I2618">
            <v>46013</v>
          </cell>
          <cell r="J2618">
            <v>-392.05</v>
          </cell>
        </row>
        <row r="2619">
          <cell r="C2619" t="str">
            <v>推广订单扣款</v>
          </cell>
        </row>
        <row r="2619">
          <cell r="H2619" t="str">
            <v>大坪店</v>
          </cell>
          <cell r="I2619">
            <v>46013</v>
          </cell>
          <cell r="J2619">
            <v>-334.95</v>
          </cell>
        </row>
        <row r="2620">
          <cell r="C2620" t="str">
            <v>推广订单扣款</v>
          </cell>
        </row>
        <row r="2620">
          <cell r="H2620" t="str">
            <v>五华店</v>
          </cell>
          <cell r="I2620">
            <v>46013</v>
          </cell>
          <cell r="J2620">
            <v>-199.58</v>
          </cell>
        </row>
        <row r="2621">
          <cell r="C2621" t="str">
            <v>推广订单扣款</v>
          </cell>
        </row>
        <row r="2621">
          <cell r="H2621" t="str">
            <v>官渡店</v>
          </cell>
          <cell r="I2621">
            <v>46013</v>
          </cell>
          <cell r="J2621">
            <v>-211.63</v>
          </cell>
        </row>
        <row r="2622">
          <cell r="C2622" t="str">
            <v>推广订单扣款</v>
          </cell>
        </row>
        <row r="2622">
          <cell r="H2622" t="str">
            <v>百捷店</v>
          </cell>
          <cell r="I2622">
            <v>46013</v>
          </cell>
          <cell r="J2622">
            <v>-127.1</v>
          </cell>
        </row>
        <row r="2623">
          <cell r="C2623" t="str">
            <v>推广订单扣款</v>
          </cell>
        </row>
        <row r="2623">
          <cell r="H2623" t="str">
            <v>济南店</v>
          </cell>
          <cell r="I2623">
            <v>46013</v>
          </cell>
          <cell r="J2623">
            <v>-128.31</v>
          </cell>
        </row>
        <row r="2624">
          <cell r="C2624" t="str">
            <v>推广订单扣款</v>
          </cell>
        </row>
        <row r="2624">
          <cell r="H2624" t="str">
            <v>观音桥店</v>
          </cell>
          <cell r="I2624">
            <v>46013</v>
          </cell>
          <cell r="J2624">
            <v>-441.07</v>
          </cell>
        </row>
        <row r="2625">
          <cell r="C2625" t="str">
            <v>推广订单扣款</v>
          </cell>
        </row>
        <row r="2625">
          <cell r="H2625" t="str">
            <v>长沙店</v>
          </cell>
          <cell r="I2625">
            <v>46013</v>
          </cell>
          <cell r="J2625">
            <v>-122.46</v>
          </cell>
        </row>
        <row r="2626">
          <cell r="C2626" t="str">
            <v>推广订单扣款</v>
          </cell>
        </row>
        <row r="2626">
          <cell r="H2626" t="str">
            <v>洛江店</v>
          </cell>
          <cell r="I2626">
            <v>46013</v>
          </cell>
          <cell r="J2626">
            <v>-80.8</v>
          </cell>
        </row>
        <row r="2627">
          <cell r="C2627" t="str">
            <v>推广订单扣款</v>
          </cell>
        </row>
        <row r="2627">
          <cell r="H2627" t="str">
            <v>五路口店</v>
          </cell>
          <cell r="I2627">
            <v>46013</v>
          </cell>
          <cell r="J2627">
            <v>-352.4</v>
          </cell>
        </row>
        <row r="2628">
          <cell r="C2628" t="str">
            <v>推广订单扣款</v>
          </cell>
        </row>
        <row r="2628">
          <cell r="H2628" t="str">
            <v>青羊店</v>
          </cell>
          <cell r="I2628">
            <v>46013</v>
          </cell>
          <cell r="J2628">
            <v>-135.85</v>
          </cell>
        </row>
        <row r="2629">
          <cell r="C2629" t="str">
            <v>推广订单扣款</v>
          </cell>
        </row>
        <row r="2629">
          <cell r="H2629" t="str">
            <v>武侯店</v>
          </cell>
          <cell r="I2629">
            <v>46013</v>
          </cell>
          <cell r="J2629">
            <v>-49.59</v>
          </cell>
        </row>
        <row r="2630">
          <cell r="C2630" t="str">
            <v>推广订单扣款</v>
          </cell>
        </row>
        <row r="2630">
          <cell r="H2630" t="str">
            <v>鼓楼店</v>
          </cell>
          <cell r="I2630">
            <v>46013</v>
          </cell>
          <cell r="J2630">
            <v>-284.07</v>
          </cell>
        </row>
        <row r="2631">
          <cell r="C2631" t="str">
            <v>推广订单扣款</v>
          </cell>
        </row>
        <row r="2631">
          <cell r="H2631" t="str">
            <v>黄雁村店</v>
          </cell>
          <cell r="I2631">
            <v>46013</v>
          </cell>
          <cell r="J2631">
            <v>-234.23</v>
          </cell>
        </row>
        <row r="2632">
          <cell r="C2632" t="str">
            <v>推广订单扣款</v>
          </cell>
        </row>
        <row r="2632">
          <cell r="H2632" t="str">
            <v>西湖店</v>
          </cell>
          <cell r="I2632">
            <v>46013</v>
          </cell>
          <cell r="J2632">
            <v>-208.49</v>
          </cell>
        </row>
        <row r="2633">
          <cell r="C2633" t="str">
            <v>推广订单扣款</v>
          </cell>
        </row>
        <row r="2633">
          <cell r="H2633" t="str">
            <v>百丈店</v>
          </cell>
          <cell r="I2633">
            <v>46013</v>
          </cell>
          <cell r="J2633">
            <v>-175.04</v>
          </cell>
        </row>
        <row r="2634">
          <cell r="C2634" t="str">
            <v>推广订单扣款</v>
          </cell>
        </row>
        <row r="2634">
          <cell r="H2634" t="str">
            <v>文昌店</v>
          </cell>
          <cell r="I2634">
            <v>46013</v>
          </cell>
          <cell r="J2634">
            <v>-157.11</v>
          </cell>
        </row>
        <row r="2635">
          <cell r="C2635" t="str">
            <v>推广订单扣款</v>
          </cell>
        </row>
        <row r="2635">
          <cell r="H2635" t="str">
            <v>观桥店</v>
          </cell>
          <cell r="I2635">
            <v>46013</v>
          </cell>
          <cell r="J2635">
            <v>-133.71</v>
          </cell>
        </row>
        <row r="2636">
          <cell r="C2636" t="str">
            <v>推广订单扣款</v>
          </cell>
        </row>
        <row r="2636">
          <cell r="H2636" t="str">
            <v>海口店</v>
          </cell>
          <cell r="I2636">
            <v>46013</v>
          </cell>
          <cell r="J2636">
            <v>-200</v>
          </cell>
        </row>
        <row r="2637">
          <cell r="C2637" t="str">
            <v>推广订单扣款</v>
          </cell>
        </row>
        <row r="2637">
          <cell r="H2637" t="str">
            <v>诚毅店</v>
          </cell>
          <cell r="I2637">
            <v>46013</v>
          </cell>
          <cell r="J2637">
            <v>-283.17</v>
          </cell>
        </row>
        <row r="2638">
          <cell r="C2638" t="str">
            <v>推广订单扣款</v>
          </cell>
        </row>
        <row r="2638">
          <cell r="H2638" t="str">
            <v>首山店</v>
          </cell>
          <cell r="I2638">
            <v>46013</v>
          </cell>
          <cell r="J2638">
            <v>-151.74</v>
          </cell>
        </row>
        <row r="2639">
          <cell r="C2639" t="str">
            <v>推广订单扣款</v>
          </cell>
        </row>
        <row r="2639">
          <cell r="H2639" t="str">
            <v>首南店</v>
          </cell>
          <cell r="I2639">
            <v>46013</v>
          </cell>
          <cell r="J2639">
            <v>-158.05</v>
          </cell>
        </row>
        <row r="2640">
          <cell r="C2640" t="str">
            <v>推广订单扣款</v>
          </cell>
        </row>
        <row r="2640">
          <cell r="H2640" t="str">
            <v>余杭店</v>
          </cell>
          <cell r="I2640">
            <v>46013</v>
          </cell>
          <cell r="J2640">
            <v>-278.81</v>
          </cell>
        </row>
        <row r="2641">
          <cell r="C2641" t="str">
            <v>推广订单扣款</v>
          </cell>
        </row>
        <row r="2641">
          <cell r="H2641" t="str">
            <v>东海店</v>
          </cell>
          <cell r="I2641">
            <v>46013</v>
          </cell>
          <cell r="J2641">
            <v>-180</v>
          </cell>
        </row>
        <row r="2642">
          <cell r="C2642" t="str">
            <v>推广订单扣款</v>
          </cell>
        </row>
        <row r="2642">
          <cell r="H2642" t="str">
            <v>文灶店</v>
          </cell>
          <cell r="I2642">
            <v>46013</v>
          </cell>
          <cell r="J2642">
            <v>-176.28</v>
          </cell>
        </row>
        <row r="2643">
          <cell r="C2643" t="str">
            <v>推广订单扣款</v>
          </cell>
        </row>
        <row r="2643">
          <cell r="H2643" t="str">
            <v>滨江店</v>
          </cell>
          <cell r="I2643">
            <v>46013</v>
          </cell>
          <cell r="J2643">
            <v>-197.77</v>
          </cell>
        </row>
        <row r="2644">
          <cell r="C2644" t="str">
            <v>推广订单扣款</v>
          </cell>
        </row>
        <row r="2644">
          <cell r="H2644" t="str">
            <v>华信店</v>
          </cell>
          <cell r="I2644">
            <v>46013</v>
          </cell>
          <cell r="J2644">
            <v>-172.7</v>
          </cell>
        </row>
        <row r="2645">
          <cell r="C2645" t="str">
            <v>推广订单扣款</v>
          </cell>
        </row>
        <row r="2645">
          <cell r="H2645" t="str">
            <v>湖里店</v>
          </cell>
          <cell r="I2645">
            <v>46014</v>
          </cell>
          <cell r="J2645">
            <v>-260.83</v>
          </cell>
        </row>
        <row r="2646">
          <cell r="C2646" t="str">
            <v>推广订单扣款</v>
          </cell>
        </row>
        <row r="2646">
          <cell r="H2646" t="str">
            <v>东新店</v>
          </cell>
          <cell r="I2646">
            <v>46014</v>
          </cell>
          <cell r="J2646">
            <v>-266.27</v>
          </cell>
        </row>
        <row r="2647">
          <cell r="C2647" t="str">
            <v>推广订单扣款</v>
          </cell>
        </row>
        <row r="2647">
          <cell r="H2647" t="str">
            <v>启点店</v>
          </cell>
          <cell r="I2647">
            <v>46014</v>
          </cell>
          <cell r="J2647">
            <v>-195.86</v>
          </cell>
        </row>
        <row r="2648">
          <cell r="C2648" t="str">
            <v>推广订单扣款</v>
          </cell>
        </row>
        <row r="2648">
          <cell r="H2648" t="str">
            <v>高新店</v>
          </cell>
          <cell r="I2648">
            <v>46014</v>
          </cell>
          <cell r="J2648">
            <v>-131.01</v>
          </cell>
        </row>
        <row r="2649">
          <cell r="C2649" t="str">
            <v>推广订单扣款</v>
          </cell>
        </row>
        <row r="2649">
          <cell r="H2649" t="str">
            <v>成华店</v>
          </cell>
          <cell r="I2649">
            <v>46014</v>
          </cell>
          <cell r="J2649">
            <v>-104.56</v>
          </cell>
        </row>
        <row r="2650">
          <cell r="C2650" t="str">
            <v>推广订单扣款</v>
          </cell>
        </row>
        <row r="2650">
          <cell r="H2650" t="str">
            <v>金牛店</v>
          </cell>
          <cell r="I2650">
            <v>46014</v>
          </cell>
          <cell r="J2650">
            <v>-100.95</v>
          </cell>
        </row>
        <row r="2651">
          <cell r="C2651" t="str">
            <v>推广订单扣款</v>
          </cell>
        </row>
        <row r="2651">
          <cell r="H2651" t="str">
            <v>西山店</v>
          </cell>
          <cell r="I2651">
            <v>46014</v>
          </cell>
          <cell r="J2651">
            <v>-280.46</v>
          </cell>
        </row>
        <row r="2652">
          <cell r="C2652" t="str">
            <v>推广订单扣款</v>
          </cell>
        </row>
        <row r="2652">
          <cell r="H2652" t="str">
            <v>沙坪坝店</v>
          </cell>
          <cell r="I2652">
            <v>46014</v>
          </cell>
          <cell r="J2652">
            <v>-108.31</v>
          </cell>
        </row>
        <row r="2653">
          <cell r="C2653" t="str">
            <v>推广订单扣款</v>
          </cell>
        </row>
        <row r="2653">
          <cell r="H2653" t="str">
            <v>凤城二路店</v>
          </cell>
          <cell r="I2653">
            <v>46014</v>
          </cell>
          <cell r="J2653">
            <v>-522.95</v>
          </cell>
        </row>
        <row r="2654">
          <cell r="C2654" t="str">
            <v>推广订单扣款</v>
          </cell>
        </row>
        <row r="2654">
          <cell r="H2654" t="str">
            <v>大坪店</v>
          </cell>
          <cell r="I2654">
            <v>46014</v>
          </cell>
          <cell r="J2654">
            <v>-295.35</v>
          </cell>
        </row>
        <row r="2655">
          <cell r="C2655" t="str">
            <v>推广订单扣款</v>
          </cell>
        </row>
        <row r="2655">
          <cell r="H2655" t="str">
            <v>五华店</v>
          </cell>
          <cell r="I2655">
            <v>46014</v>
          </cell>
          <cell r="J2655">
            <v>-207.37</v>
          </cell>
        </row>
        <row r="2656">
          <cell r="C2656" t="str">
            <v>推广订单扣款</v>
          </cell>
        </row>
        <row r="2656">
          <cell r="H2656" t="str">
            <v>官渡店</v>
          </cell>
          <cell r="I2656">
            <v>46014</v>
          </cell>
          <cell r="J2656">
            <v>-207.84</v>
          </cell>
        </row>
        <row r="2657">
          <cell r="C2657" t="str">
            <v>推广订单扣款</v>
          </cell>
        </row>
        <row r="2657">
          <cell r="H2657" t="str">
            <v>百捷店</v>
          </cell>
          <cell r="I2657">
            <v>46014</v>
          </cell>
          <cell r="J2657">
            <v>-194.3</v>
          </cell>
        </row>
        <row r="2658">
          <cell r="C2658" t="str">
            <v>推广订单扣款</v>
          </cell>
        </row>
        <row r="2658">
          <cell r="H2658" t="str">
            <v>济南店</v>
          </cell>
          <cell r="I2658">
            <v>46014</v>
          </cell>
          <cell r="J2658">
            <v>-199.35</v>
          </cell>
        </row>
        <row r="2659">
          <cell r="C2659" t="str">
            <v>推广订单扣款</v>
          </cell>
        </row>
        <row r="2659">
          <cell r="H2659" t="str">
            <v>观音桥店</v>
          </cell>
          <cell r="I2659">
            <v>46014</v>
          </cell>
          <cell r="J2659">
            <v>-391.66</v>
          </cell>
        </row>
        <row r="2660">
          <cell r="C2660" t="str">
            <v>推广订单扣款</v>
          </cell>
        </row>
        <row r="2660">
          <cell r="H2660" t="str">
            <v>长沙店</v>
          </cell>
          <cell r="I2660">
            <v>46014</v>
          </cell>
          <cell r="J2660">
            <v>-143.14</v>
          </cell>
        </row>
        <row r="2661">
          <cell r="C2661" t="str">
            <v>推广订单扣款</v>
          </cell>
        </row>
        <row r="2661">
          <cell r="H2661" t="str">
            <v>洛江店</v>
          </cell>
          <cell r="I2661">
            <v>46014</v>
          </cell>
          <cell r="J2661">
            <v>-38.63</v>
          </cell>
        </row>
        <row r="2662">
          <cell r="C2662" t="str">
            <v>推广订单扣款</v>
          </cell>
        </row>
        <row r="2662">
          <cell r="H2662" t="str">
            <v>五路口店</v>
          </cell>
          <cell r="I2662">
            <v>46014</v>
          </cell>
          <cell r="J2662">
            <v>-413.03</v>
          </cell>
        </row>
        <row r="2663">
          <cell r="C2663" t="str">
            <v>推广订单扣款</v>
          </cell>
        </row>
        <row r="2663">
          <cell r="H2663" t="str">
            <v>青羊店</v>
          </cell>
          <cell r="I2663">
            <v>46014</v>
          </cell>
          <cell r="J2663">
            <v>-95.2</v>
          </cell>
        </row>
        <row r="2664">
          <cell r="C2664" t="str">
            <v>推广订单扣款</v>
          </cell>
        </row>
        <row r="2664">
          <cell r="H2664" t="str">
            <v>武侯店</v>
          </cell>
          <cell r="I2664">
            <v>46014</v>
          </cell>
          <cell r="J2664">
            <v>-81.36</v>
          </cell>
        </row>
        <row r="2665">
          <cell r="C2665" t="str">
            <v>推广订单扣款</v>
          </cell>
        </row>
        <row r="2665">
          <cell r="H2665" t="str">
            <v>鼓楼店</v>
          </cell>
          <cell r="I2665">
            <v>46014</v>
          </cell>
          <cell r="J2665">
            <v>-308.82</v>
          </cell>
        </row>
        <row r="2666">
          <cell r="C2666" t="str">
            <v>推广订单扣款</v>
          </cell>
        </row>
        <row r="2666">
          <cell r="H2666" t="str">
            <v>黄雁村店</v>
          </cell>
          <cell r="I2666">
            <v>46014</v>
          </cell>
          <cell r="J2666">
            <v>-270.64</v>
          </cell>
        </row>
        <row r="2667">
          <cell r="C2667" t="str">
            <v>推广订单扣款</v>
          </cell>
        </row>
        <row r="2667">
          <cell r="H2667" t="str">
            <v>西湖店</v>
          </cell>
          <cell r="I2667">
            <v>46014</v>
          </cell>
          <cell r="J2667">
            <v>-224.62</v>
          </cell>
        </row>
        <row r="2668">
          <cell r="C2668" t="str">
            <v>推广订单扣款</v>
          </cell>
        </row>
        <row r="2668">
          <cell r="H2668" t="str">
            <v>百丈店</v>
          </cell>
          <cell r="I2668">
            <v>46014</v>
          </cell>
          <cell r="J2668">
            <v>-113.83</v>
          </cell>
        </row>
        <row r="2669">
          <cell r="C2669" t="str">
            <v>推广订单扣款</v>
          </cell>
        </row>
        <row r="2669">
          <cell r="H2669" t="str">
            <v>文昌店</v>
          </cell>
          <cell r="I2669">
            <v>46014</v>
          </cell>
          <cell r="J2669">
            <v>-54.26</v>
          </cell>
        </row>
        <row r="2670">
          <cell r="C2670" t="str">
            <v>推广订单扣款</v>
          </cell>
        </row>
        <row r="2670">
          <cell r="H2670" t="str">
            <v>观桥店</v>
          </cell>
          <cell r="I2670">
            <v>46014</v>
          </cell>
          <cell r="J2670">
            <v>-171.3</v>
          </cell>
        </row>
        <row r="2671">
          <cell r="C2671" t="str">
            <v>推广订单扣款</v>
          </cell>
        </row>
        <row r="2671">
          <cell r="H2671" t="str">
            <v>海口店</v>
          </cell>
          <cell r="I2671">
            <v>46014</v>
          </cell>
          <cell r="J2671">
            <v>-200</v>
          </cell>
        </row>
        <row r="2672">
          <cell r="C2672" t="str">
            <v>推广订单扣款</v>
          </cell>
        </row>
        <row r="2672">
          <cell r="H2672" t="str">
            <v>诚毅店</v>
          </cell>
          <cell r="I2672">
            <v>46014</v>
          </cell>
          <cell r="J2672">
            <v>-267.66</v>
          </cell>
        </row>
        <row r="2673">
          <cell r="C2673" t="str">
            <v>推广订单扣款</v>
          </cell>
        </row>
        <row r="2673">
          <cell r="H2673" t="str">
            <v>首山店</v>
          </cell>
          <cell r="I2673">
            <v>46014</v>
          </cell>
          <cell r="J2673">
            <v>-148.2</v>
          </cell>
        </row>
        <row r="2674">
          <cell r="C2674" t="str">
            <v>推广订单扣款</v>
          </cell>
        </row>
        <row r="2674">
          <cell r="H2674" t="str">
            <v>首南店</v>
          </cell>
          <cell r="I2674">
            <v>46014</v>
          </cell>
          <cell r="J2674">
            <v>-132.11</v>
          </cell>
        </row>
        <row r="2675">
          <cell r="C2675" t="str">
            <v>推广订单扣款</v>
          </cell>
        </row>
        <row r="2675">
          <cell r="H2675" t="str">
            <v>余杭店</v>
          </cell>
          <cell r="I2675">
            <v>46014</v>
          </cell>
          <cell r="J2675">
            <v>-224.69</v>
          </cell>
        </row>
        <row r="2676">
          <cell r="C2676" t="str">
            <v>推广订单扣款</v>
          </cell>
        </row>
        <row r="2676">
          <cell r="H2676" t="str">
            <v>东海店</v>
          </cell>
          <cell r="I2676">
            <v>46014</v>
          </cell>
          <cell r="J2676">
            <v>-147.07</v>
          </cell>
        </row>
        <row r="2677">
          <cell r="C2677" t="str">
            <v>推广订单扣款</v>
          </cell>
        </row>
        <row r="2677">
          <cell r="H2677" t="str">
            <v>文灶店</v>
          </cell>
          <cell r="I2677">
            <v>46014</v>
          </cell>
          <cell r="J2677">
            <v>-255.8</v>
          </cell>
        </row>
        <row r="2678">
          <cell r="C2678" t="str">
            <v>推广订单扣款</v>
          </cell>
        </row>
        <row r="2678">
          <cell r="H2678" t="str">
            <v>滨江店</v>
          </cell>
          <cell r="I2678">
            <v>46014</v>
          </cell>
          <cell r="J2678">
            <v>-207.1</v>
          </cell>
        </row>
        <row r="2679">
          <cell r="C2679" t="str">
            <v>推广订单扣款</v>
          </cell>
        </row>
        <row r="2679">
          <cell r="H2679" t="str">
            <v>华信店</v>
          </cell>
          <cell r="I2679">
            <v>46014</v>
          </cell>
          <cell r="J2679">
            <v>-180</v>
          </cell>
        </row>
        <row r="2680">
          <cell r="C2680" t="str">
            <v>推广订单扣款</v>
          </cell>
        </row>
        <row r="2680">
          <cell r="H2680" t="str">
            <v>湖里店</v>
          </cell>
          <cell r="I2680">
            <v>46015</v>
          </cell>
          <cell r="J2680">
            <v>-172.21</v>
          </cell>
        </row>
        <row r="2681">
          <cell r="C2681" t="str">
            <v>推广订单扣款</v>
          </cell>
        </row>
        <row r="2681">
          <cell r="H2681" t="str">
            <v>东新店</v>
          </cell>
          <cell r="I2681">
            <v>46015</v>
          </cell>
          <cell r="J2681">
            <v>-170.49</v>
          </cell>
        </row>
        <row r="2682">
          <cell r="C2682" t="str">
            <v>推广订单扣款</v>
          </cell>
        </row>
        <row r="2682">
          <cell r="H2682" t="str">
            <v>启点店</v>
          </cell>
          <cell r="I2682">
            <v>46015</v>
          </cell>
          <cell r="J2682">
            <v>-144.44</v>
          </cell>
        </row>
        <row r="2683">
          <cell r="C2683" t="str">
            <v>推广订单扣款</v>
          </cell>
        </row>
        <row r="2683">
          <cell r="H2683" t="str">
            <v>高新店</v>
          </cell>
          <cell r="I2683">
            <v>46015</v>
          </cell>
          <cell r="J2683">
            <v>-139</v>
          </cell>
        </row>
        <row r="2684">
          <cell r="C2684" t="str">
            <v>推广订单扣款</v>
          </cell>
        </row>
        <row r="2684">
          <cell r="H2684" t="str">
            <v>成华店</v>
          </cell>
          <cell r="I2684">
            <v>46015</v>
          </cell>
          <cell r="J2684">
            <v>-61.23</v>
          </cell>
        </row>
        <row r="2685">
          <cell r="C2685" t="str">
            <v>推广订单扣款</v>
          </cell>
        </row>
        <row r="2685">
          <cell r="H2685" t="str">
            <v>金牛店</v>
          </cell>
          <cell r="I2685">
            <v>46015</v>
          </cell>
          <cell r="J2685">
            <v>-115.02</v>
          </cell>
        </row>
        <row r="2686">
          <cell r="C2686" t="str">
            <v>推广订单扣款</v>
          </cell>
        </row>
        <row r="2686">
          <cell r="H2686" t="str">
            <v>西山店</v>
          </cell>
          <cell r="I2686">
            <v>46015</v>
          </cell>
          <cell r="J2686">
            <v>-195.08</v>
          </cell>
        </row>
        <row r="2687">
          <cell r="C2687" t="str">
            <v>推广订单扣款</v>
          </cell>
        </row>
        <row r="2687">
          <cell r="H2687" t="str">
            <v>沙坪坝店</v>
          </cell>
          <cell r="I2687">
            <v>46015</v>
          </cell>
          <cell r="J2687">
            <v>-130.46</v>
          </cell>
        </row>
        <row r="2688">
          <cell r="C2688" t="str">
            <v>推广订单扣款</v>
          </cell>
        </row>
        <row r="2688">
          <cell r="H2688" t="str">
            <v>凤城二路店</v>
          </cell>
          <cell r="I2688">
            <v>46015</v>
          </cell>
          <cell r="J2688">
            <v>-325.27</v>
          </cell>
        </row>
        <row r="2689">
          <cell r="C2689" t="str">
            <v>推广订单扣款</v>
          </cell>
        </row>
        <row r="2689">
          <cell r="H2689" t="str">
            <v>大坪店</v>
          </cell>
          <cell r="I2689">
            <v>46015</v>
          </cell>
          <cell r="J2689">
            <v>-252.82</v>
          </cell>
        </row>
        <row r="2690">
          <cell r="C2690" t="str">
            <v>推广订单扣款</v>
          </cell>
        </row>
        <row r="2690">
          <cell r="H2690" t="str">
            <v>五华店</v>
          </cell>
          <cell r="I2690">
            <v>46015</v>
          </cell>
          <cell r="J2690">
            <v>-153.23</v>
          </cell>
        </row>
        <row r="2691">
          <cell r="C2691" t="str">
            <v>推广订单扣款</v>
          </cell>
        </row>
        <row r="2691">
          <cell r="H2691" t="str">
            <v>官渡店</v>
          </cell>
          <cell r="I2691">
            <v>46015</v>
          </cell>
          <cell r="J2691">
            <v>-136.64</v>
          </cell>
        </row>
        <row r="2692">
          <cell r="C2692" t="str">
            <v>推广订单扣款</v>
          </cell>
        </row>
        <row r="2692">
          <cell r="H2692" t="str">
            <v>百捷店</v>
          </cell>
          <cell r="I2692">
            <v>46015</v>
          </cell>
          <cell r="J2692">
            <v>-167.1</v>
          </cell>
        </row>
        <row r="2693">
          <cell r="C2693" t="str">
            <v>推广订单扣款</v>
          </cell>
        </row>
        <row r="2693">
          <cell r="H2693" t="str">
            <v>济南店</v>
          </cell>
          <cell r="I2693">
            <v>46015</v>
          </cell>
          <cell r="J2693">
            <v>-168.4</v>
          </cell>
        </row>
        <row r="2694">
          <cell r="C2694" t="str">
            <v>推广订单扣款</v>
          </cell>
        </row>
        <row r="2694">
          <cell r="H2694" t="str">
            <v>观音桥店</v>
          </cell>
          <cell r="I2694">
            <v>46015</v>
          </cell>
          <cell r="J2694">
            <v>-326.94</v>
          </cell>
        </row>
        <row r="2695">
          <cell r="C2695" t="str">
            <v>推广订单扣款</v>
          </cell>
        </row>
        <row r="2695">
          <cell r="H2695" t="str">
            <v>长沙店</v>
          </cell>
          <cell r="I2695">
            <v>46015</v>
          </cell>
          <cell r="J2695">
            <v>-107.34</v>
          </cell>
        </row>
        <row r="2696">
          <cell r="C2696" t="str">
            <v>推广订单扣款</v>
          </cell>
        </row>
        <row r="2696">
          <cell r="H2696" t="str">
            <v>洛江店</v>
          </cell>
          <cell r="I2696">
            <v>46015</v>
          </cell>
          <cell r="J2696">
            <v>-65.73</v>
          </cell>
        </row>
        <row r="2697">
          <cell r="C2697" t="str">
            <v>推广订单扣款</v>
          </cell>
        </row>
        <row r="2697">
          <cell r="H2697" t="str">
            <v>五路口店</v>
          </cell>
          <cell r="I2697">
            <v>46015</v>
          </cell>
          <cell r="J2697">
            <v>-319.33</v>
          </cell>
        </row>
        <row r="2698">
          <cell r="C2698" t="str">
            <v>推广订单扣款</v>
          </cell>
        </row>
        <row r="2698">
          <cell r="H2698" t="str">
            <v>青羊店</v>
          </cell>
          <cell r="I2698">
            <v>46015</v>
          </cell>
          <cell r="J2698">
            <v>-47.65</v>
          </cell>
        </row>
        <row r="2699">
          <cell r="C2699" t="str">
            <v>推广订单扣款</v>
          </cell>
        </row>
        <row r="2699">
          <cell r="H2699" t="str">
            <v>武侯店</v>
          </cell>
          <cell r="I2699">
            <v>46015</v>
          </cell>
          <cell r="J2699">
            <v>-47.71</v>
          </cell>
        </row>
        <row r="2700">
          <cell r="C2700" t="str">
            <v>推广订单扣款</v>
          </cell>
        </row>
        <row r="2700">
          <cell r="H2700" t="str">
            <v>鼓楼店</v>
          </cell>
          <cell r="I2700">
            <v>46015</v>
          </cell>
          <cell r="J2700">
            <v>-287.34</v>
          </cell>
        </row>
        <row r="2701">
          <cell r="C2701" t="str">
            <v>推广订单扣款</v>
          </cell>
        </row>
        <row r="2701">
          <cell r="H2701" t="str">
            <v>黄雁村店</v>
          </cell>
          <cell r="I2701">
            <v>46015</v>
          </cell>
          <cell r="J2701">
            <v>-196.69</v>
          </cell>
        </row>
        <row r="2702">
          <cell r="C2702" t="str">
            <v>推广订单扣款</v>
          </cell>
        </row>
        <row r="2702">
          <cell r="H2702" t="str">
            <v>西湖店</v>
          </cell>
          <cell r="I2702">
            <v>46015</v>
          </cell>
          <cell r="J2702">
            <v>-150.08</v>
          </cell>
        </row>
        <row r="2703">
          <cell r="C2703" t="str">
            <v>推广订单扣款</v>
          </cell>
        </row>
        <row r="2703">
          <cell r="H2703" t="str">
            <v>百丈店</v>
          </cell>
          <cell r="I2703">
            <v>46015</v>
          </cell>
          <cell r="J2703">
            <v>-168.19</v>
          </cell>
        </row>
        <row r="2704">
          <cell r="C2704" t="str">
            <v>推广订单扣款</v>
          </cell>
        </row>
        <row r="2704">
          <cell r="H2704" t="str">
            <v>文昌店</v>
          </cell>
          <cell r="I2704">
            <v>46015</v>
          </cell>
          <cell r="J2704">
            <v>-95.58</v>
          </cell>
        </row>
        <row r="2705">
          <cell r="C2705" t="str">
            <v>推广订单扣款</v>
          </cell>
        </row>
        <row r="2705">
          <cell r="H2705" t="str">
            <v>观桥店</v>
          </cell>
          <cell r="I2705">
            <v>46015</v>
          </cell>
          <cell r="J2705">
            <v>-170.1</v>
          </cell>
        </row>
        <row r="2706">
          <cell r="C2706" t="str">
            <v>推广订单扣款</v>
          </cell>
        </row>
        <row r="2706">
          <cell r="H2706" t="str">
            <v>海口店</v>
          </cell>
          <cell r="I2706">
            <v>46015</v>
          </cell>
          <cell r="J2706">
            <v>-200</v>
          </cell>
        </row>
        <row r="2707">
          <cell r="C2707" t="str">
            <v>推广订单扣款</v>
          </cell>
        </row>
        <row r="2707">
          <cell r="H2707" t="str">
            <v>诚毅店</v>
          </cell>
          <cell r="I2707">
            <v>46015</v>
          </cell>
          <cell r="J2707">
            <v>-232.9</v>
          </cell>
        </row>
        <row r="2708">
          <cell r="C2708" t="str">
            <v>推广订单扣款</v>
          </cell>
        </row>
        <row r="2708">
          <cell r="H2708" t="str">
            <v>首山店</v>
          </cell>
          <cell r="I2708">
            <v>46015</v>
          </cell>
          <cell r="J2708">
            <v>-148.8</v>
          </cell>
        </row>
        <row r="2709">
          <cell r="C2709" t="str">
            <v>推广订单扣款</v>
          </cell>
        </row>
        <row r="2709">
          <cell r="H2709" t="str">
            <v>首南店</v>
          </cell>
          <cell r="I2709">
            <v>46015</v>
          </cell>
          <cell r="J2709">
            <v>-177.27</v>
          </cell>
        </row>
        <row r="2710">
          <cell r="C2710" t="str">
            <v>推广订单扣款</v>
          </cell>
        </row>
        <row r="2710">
          <cell r="H2710" t="str">
            <v>余杭店</v>
          </cell>
          <cell r="I2710">
            <v>46015</v>
          </cell>
          <cell r="J2710">
            <v>-250.76</v>
          </cell>
        </row>
        <row r="2711">
          <cell r="C2711" t="str">
            <v>推广账户自动充值</v>
          </cell>
        </row>
        <row r="2711">
          <cell r="H2711" t="str">
            <v>东海店</v>
          </cell>
          <cell r="I2711">
            <v>46015</v>
          </cell>
          <cell r="J2711">
            <v>200</v>
          </cell>
        </row>
        <row r="2712">
          <cell r="C2712" t="str">
            <v>推广订单扣款</v>
          </cell>
        </row>
        <row r="2712">
          <cell r="H2712" t="str">
            <v>东海店</v>
          </cell>
          <cell r="I2712">
            <v>46015</v>
          </cell>
          <cell r="J2712">
            <v>-154.22</v>
          </cell>
        </row>
        <row r="2713">
          <cell r="C2713" t="str">
            <v>推广订单扣款</v>
          </cell>
        </row>
        <row r="2713">
          <cell r="H2713" t="str">
            <v>文灶店</v>
          </cell>
          <cell r="I2713">
            <v>46015</v>
          </cell>
          <cell r="J2713">
            <v>-180.34</v>
          </cell>
        </row>
        <row r="2714">
          <cell r="C2714" t="str">
            <v>推广订单扣款</v>
          </cell>
        </row>
        <row r="2714">
          <cell r="H2714" t="str">
            <v>滨江店</v>
          </cell>
          <cell r="I2714">
            <v>46015</v>
          </cell>
          <cell r="J2714">
            <v>-182.8</v>
          </cell>
        </row>
        <row r="2715">
          <cell r="C2715" t="str">
            <v>推广订单扣款</v>
          </cell>
        </row>
        <row r="2715">
          <cell r="H2715" t="str">
            <v>华信店</v>
          </cell>
          <cell r="I2715">
            <v>46015</v>
          </cell>
          <cell r="J2715">
            <v>-174.89</v>
          </cell>
        </row>
        <row r="2716">
          <cell r="C2716" t="str">
            <v>推广订单扣款</v>
          </cell>
        </row>
        <row r="2716">
          <cell r="H2716" t="str">
            <v>湖里店</v>
          </cell>
          <cell r="I2716">
            <v>46016</v>
          </cell>
          <cell r="J2716">
            <v>-165.02</v>
          </cell>
        </row>
        <row r="2717">
          <cell r="C2717" t="str">
            <v>推广订单扣款</v>
          </cell>
        </row>
        <row r="2717">
          <cell r="H2717" t="str">
            <v>东新店</v>
          </cell>
          <cell r="I2717">
            <v>46016</v>
          </cell>
          <cell r="J2717">
            <v>-188.68</v>
          </cell>
        </row>
        <row r="2718">
          <cell r="C2718" t="str">
            <v>推广订单扣款</v>
          </cell>
        </row>
        <row r="2718">
          <cell r="H2718" t="str">
            <v>启点店</v>
          </cell>
          <cell r="I2718">
            <v>46016</v>
          </cell>
          <cell r="J2718">
            <v>-59.7</v>
          </cell>
        </row>
        <row r="2719">
          <cell r="C2719" t="str">
            <v>推广订单扣款</v>
          </cell>
        </row>
        <row r="2719">
          <cell r="H2719" t="str">
            <v>高新店</v>
          </cell>
          <cell r="I2719">
            <v>46016</v>
          </cell>
          <cell r="J2719">
            <v>-109.53</v>
          </cell>
        </row>
        <row r="2720">
          <cell r="C2720" t="str">
            <v>推广订单扣款</v>
          </cell>
        </row>
        <row r="2720">
          <cell r="H2720" t="str">
            <v>成华店</v>
          </cell>
          <cell r="I2720">
            <v>46016</v>
          </cell>
          <cell r="J2720">
            <v>-59.07</v>
          </cell>
        </row>
        <row r="2721">
          <cell r="C2721" t="str">
            <v>推广订单扣款</v>
          </cell>
        </row>
        <row r="2721">
          <cell r="H2721" t="str">
            <v>金牛店</v>
          </cell>
          <cell r="I2721">
            <v>46016</v>
          </cell>
          <cell r="J2721">
            <v>-65.95</v>
          </cell>
        </row>
        <row r="2722">
          <cell r="C2722" t="str">
            <v>推广订单扣款</v>
          </cell>
        </row>
        <row r="2722">
          <cell r="H2722" t="str">
            <v>西山店</v>
          </cell>
          <cell r="I2722">
            <v>46016</v>
          </cell>
          <cell r="J2722">
            <v>-118.3</v>
          </cell>
        </row>
        <row r="2723">
          <cell r="C2723" t="str">
            <v>推广订单扣款</v>
          </cell>
        </row>
        <row r="2723">
          <cell r="H2723" t="str">
            <v>沙坪坝店</v>
          </cell>
          <cell r="I2723">
            <v>46016</v>
          </cell>
          <cell r="J2723">
            <v>-81.88</v>
          </cell>
        </row>
        <row r="2724">
          <cell r="C2724" t="str">
            <v>推广订单扣款</v>
          </cell>
        </row>
        <row r="2724">
          <cell r="H2724" t="str">
            <v>凤城二路店</v>
          </cell>
          <cell r="I2724">
            <v>46016</v>
          </cell>
          <cell r="J2724">
            <v>-313.55</v>
          </cell>
        </row>
        <row r="2725">
          <cell r="C2725" t="str">
            <v>推广订单扣款</v>
          </cell>
        </row>
        <row r="2725">
          <cell r="H2725" t="str">
            <v>大坪店</v>
          </cell>
          <cell r="I2725">
            <v>46016</v>
          </cell>
          <cell r="J2725">
            <v>-225.75</v>
          </cell>
        </row>
        <row r="2726">
          <cell r="C2726" t="str">
            <v>推广订单扣款</v>
          </cell>
        </row>
        <row r="2726">
          <cell r="H2726" t="str">
            <v>五华店</v>
          </cell>
          <cell r="I2726">
            <v>46016</v>
          </cell>
          <cell r="J2726">
            <v>-134.19</v>
          </cell>
        </row>
        <row r="2727">
          <cell r="C2727" t="str">
            <v>推广订单扣款</v>
          </cell>
        </row>
        <row r="2727">
          <cell r="H2727" t="str">
            <v>官渡店</v>
          </cell>
          <cell r="I2727">
            <v>46016</v>
          </cell>
          <cell r="J2727">
            <v>-134.97</v>
          </cell>
        </row>
        <row r="2728">
          <cell r="C2728" t="str">
            <v>推广订单扣款</v>
          </cell>
        </row>
        <row r="2728">
          <cell r="H2728" t="str">
            <v>百捷店</v>
          </cell>
          <cell r="I2728">
            <v>46016</v>
          </cell>
          <cell r="J2728">
            <v>-105.04</v>
          </cell>
        </row>
        <row r="2729">
          <cell r="C2729" t="str">
            <v>推广订单扣款</v>
          </cell>
        </row>
        <row r="2729">
          <cell r="H2729" t="str">
            <v>济南店</v>
          </cell>
          <cell r="I2729">
            <v>46016</v>
          </cell>
          <cell r="J2729">
            <v>-189.2</v>
          </cell>
        </row>
        <row r="2730">
          <cell r="C2730" t="str">
            <v>推广订单扣款</v>
          </cell>
        </row>
        <row r="2730">
          <cell r="H2730" t="str">
            <v>观音桥店</v>
          </cell>
          <cell r="I2730">
            <v>46016</v>
          </cell>
          <cell r="J2730">
            <v>-328.56</v>
          </cell>
        </row>
        <row r="2731">
          <cell r="C2731" t="str">
            <v>推广订单扣款</v>
          </cell>
        </row>
        <row r="2731">
          <cell r="H2731" t="str">
            <v>长沙店</v>
          </cell>
          <cell r="I2731">
            <v>46016</v>
          </cell>
          <cell r="J2731">
            <v>-77.04</v>
          </cell>
        </row>
        <row r="2732">
          <cell r="C2732" t="str">
            <v>推广订单扣款</v>
          </cell>
        </row>
        <row r="2732">
          <cell r="H2732" t="str">
            <v>洛江店</v>
          </cell>
          <cell r="I2732">
            <v>46016</v>
          </cell>
          <cell r="J2732">
            <v>-60.53</v>
          </cell>
        </row>
        <row r="2733">
          <cell r="C2733" t="str">
            <v>推广订单扣款</v>
          </cell>
        </row>
        <row r="2733">
          <cell r="H2733" t="str">
            <v>五路口店</v>
          </cell>
          <cell r="I2733">
            <v>46016</v>
          </cell>
          <cell r="J2733">
            <v>-401</v>
          </cell>
        </row>
        <row r="2734">
          <cell r="C2734" t="str">
            <v>推广订单扣款</v>
          </cell>
        </row>
        <row r="2734">
          <cell r="H2734" t="str">
            <v>青羊店</v>
          </cell>
          <cell r="I2734">
            <v>46016</v>
          </cell>
          <cell r="J2734">
            <v>-43.63</v>
          </cell>
        </row>
        <row r="2735">
          <cell r="C2735" t="str">
            <v>推广订单扣款</v>
          </cell>
        </row>
        <row r="2735">
          <cell r="H2735" t="str">
            <v>武侯店</v>
          </cell>
          <cell r="I2735">
            <v>46016</v>
          </cell>
          <cell r="J2735">
            <v>-27.03</v>
          </cell>
        </row>
        <row r="2736">
          <cell r="C2736" t="str">
            <v>推广订单扣款</v>
          </cell>
        </row>
        <row r="2736">
          <cell r="H2736" t="str">
            <v>鼓楼店</v>
          </cell>
          <cell r="I2736">
            <v>46016</v>
          </cell>
          <cell r="J2736">
            <v>-182.63</v>
          </cell>
        </row>
        <row r="2737">
          <cell r="C2737" t="str">
            <v>推广订单扣款</v>
          </cell>
        </row>
        <row r="2737">
          <cell r="H2737" t="str">
            <v>黄雁村店</v>
          </cell>
          <cell r="I2737">
            <v>46016</v>
          </cell>
          <cell r="J2737">
            <v>-194.79</v>
          </cell>
        </row>
        <row r="2738">
          <cell r="C2738" t="str">
            <v>推广订单扣款</v>
          </cell>
        </row>
        <row r="2738">
          <cell r="H2738" t="str">
            <v>西湖店</v>
          </cell>
          <cell r="I2738">
            <v>46016</v>
          </cell>
          <cell r="J2738">
            <v>-165.4</v>
          </cell>
        </row>
        <row r="2739">
          <cell r="C2739" t="str">
            <v>推广订单扣款</v>
          </cell>
        </row>
        <row r="2739">
          <cell r="H2739" t="str">
            <v>百丈店</v>
          </cell>
          <cell r="I2739">
            <v>46016</v>
          </cell>
          <cell r="J2739">
            <v>-118.34</v>
          </cell>
        </row>
        <row r="2740">
          <cell r="C2740" t="str">
            <v>推广订单扣款</v>
          </cell>
        </row>
        <row r="2740">
          <cell r="H2740" t="str">
            <v>文昌店</v>
          </cell>
          <cell r="I2740">
            <v>46016</v>
          </cell>
          <cell r="J2740">
            <v>-136.08</v>
          </cell>
        </row>
        <row r="2741">
          <cell r="C2741" t="str">
            <v>推广订单扣款</v>
          </cell>
        </row>
        <row r="2741">
          <cell r="H2741" t="str">
            <v>观桥店</v>
          </cell>
          <cell r="I2741">
            <v>46016</v>
          </cell>
          <cell r="J2741">
            <v>-93.49</v>
          </cell>
        </row>
        <row r="2742">
          <cell r="C2742" t="str">
            <v>推广订单扣款</v>
          </cell>
        </row>
        <row r="2742">
          <cell r="H2742" t="str">
            <v>海口店</v>
          </cell>
          <cell r="I2742">
            <v>46016</v>
          </cell>
          <cell r="J2742">
            <v>-200</v>
          </cell>
        </row>
        <row r="2743">
          <cell r="C2743" t="str">
            <v>推广订单扣款</v>
          </cell>
        </row>
        <row r="2743">
          <cell r="H2743" t="str">
            <v>诚毅店</v>
          </cell>
          <cell r="I2743">
            <v>46016</v>
          </cell>
          <cell r="J2743">
            <v>-223.2</v>
          </cell>
        </row>
        <row r="2744">
          <cell r="C2744" t="str">
            <v>推广订单扣款</v>
          </cell>
        </row>
        <row r="2744">
          <cell r="H2744" t="str">
            <v>首山店</v>
          </cell>
          <cell r="I2744">
            <v>46016</v>
          </cell>
          <cell r="J2744">
            <v>-117.92</v>
          </cell>
        </row>
        <row r="2745">
          <cell r="C2745" t="str">
            <v>推广订单扣款</v>
          </cell>
        </row>
        <row r="2745">
          <cell r="H2745" t="str">
            <v>首南店</v>
          </cell>
          <cell r="I2745">
            <v>46016</v>
          </cell>
          <cell r="J2745">
            <v>-84.61</v>
          </cell>
        </row>
        <row r="2746">
          <cell r="C2746" t="str">
            <v>推广订单扣款</v>
          </cell>
        </row>
        <row r="2746">
          <cell r="H2746" t="str">
            <v>余杭店</v>
          </cell>
          <cell r="I2746">
            <v>46016</v>
          </cell>
          <cell r="J2746">
            <v>-239.42</v>
          </cell>
        </row>
        <row r="2747">
          <cell r="C2747" t="str">
            <v>推广订单扣款</v>
          </cell>
        </row>
        <row r="2747">
          <cell r="H2747" t="str">
            <v>东海店</v>
          </cell>
          <cell r="I2747">
            <v>46016</v>
          </cell>
          <cell r="J2747">
            <v>-111.81</v>
          </cell>
        </row>
        <row r="2748">
          <cell r="C2748" t="str">
            <v>推广订单扣款</v>
          </cell>
        </row>
        <row r="2748">
          <cell r="H2748" t="str">
            <v>文灶店</v>
          </cell>
          <cell r="I2748">
            <v>46016</v>
          </cell>
          <cell r="J2748">
            <v>-154.61</v>
          </cell>
        </row>
        <row r="2749">
          <cell r="C2749" t="str">
            <v>推广订单扣款</v>
          </cell>
        </row>
        <row r="2749">
          <cell r="H2749" t="str">
            <v>滨江店</v>
          </cell>
          <cell r="I2749">
            <v>46016</v>
          </cell>
          <cell r="J2749">
            <v>-161.57</v>
          </cell>
        </row>
        <row r="2750">
          <cell r="C2750" t="str">
            <v>推广订单扣款</v>
          </cell>
        </row>
        <row r="2750">
          <cell r="H2750" t="str">
            <v>华信店</v>
          </cell>
          <cell r="I2750">
            <v>46016</v>
          </cell>
          <cell r="J2750">
            <v>-164.09</v>
          </cell>
        </row>
        <row r="2751">
          <cell r="C2751" t="str">
            <v>推广账户自动充值</v>
          </cell>
        </row>
        <row r="2751">
          <cell r="H2751" t="str">
            <v>东海店</v>
          </cell>
          <cell r="I2751">
            <v>46017</v>
          </cell>
          <cell r="J2751">
            <v>200</v>
          </cell>
        </row>
        <row r="2752">
          <cell r="C2752" t="str">
            <v>推广订单扣款</v>
          </cell>
        </row>
        <row r="2752">
          <cell r="H2752" t="str">
            <v>鼓楼店</v>
          </cell>
          <cell r="I2752">
            <v>46017</v>
          </cell>
          <cell r="J2752">
            <v>-253.1</v>
          </cell>
        </row>
        <row r="2753">
          <cell r="C2753" t="str">
            <v>推广订单扣款</v>
          </cell>
        </row>
        <row r="2753">
          <cell r="H2753" t="str">
            <v>西湖店</v>
          </cell>
          <cell r="I2753">
            <v>46017</v>
          </cell>
          <cell r="J2753">
            <v>-160.26</v>
          </cell>
        </row>
        <row r="2754">
          <cell r="C2754" t="str">
            <v>推广订单扣款</v>
          </cell>
        </row>
        <row r="2754">
          <cell r="H2754" t="str">
            <v>洛江店</v>
          </cell>
          <cell r="I2754">
            <v>46017</v>
          </cell>
          <cell r="J2754">
            <v>-85.22</v>
          </cell>
        </row>
        <row r="2755">
          <cell r="C2755" t="str">
            <v>推广订单扣款</v>
          </cell>
        </row>
        <row r="2755">
          <cell r="H2755" t="str">
            <v>首山店</v>
          </cell>
          <cell r="I2755">
            <v>46017</v>
          </cell>
          <cell r="J2755">
            <v>-114.98</v>
          </cell>
        </row>
        <row r="2756">
          <cell r="C2756" t="str">
            <v>推广订单扣款</v>
          </cell>
        </row>
        <row r="2756">
          <cell r="H2756" t="str">
            <v>长沙店</v>
          </cell>
          <cell r="I2756">
            <v>46017</v>
          </cell>
          <cell r="J2756">
            <v>-134.89</v>
          </cell>
        </row>
        <row r="2757">
          <cell r="C2757" t="str">
            <v>推广订单扣款</v>
          </cell>
        </row>
        <row r="2757">
          <cell r="H2757" t="str">
            <v>五路口店</v>
          </cell>
          <cell r="I2757">
            <v>46017</v>
          </cell>
          <cell r="J2757">
            <v>-351.76</v>
          </cell>
        </row>
        <row r="2758">
          <cell r="C2758" t="str">
            <v>推广订单扣款</v>
          </cell>
        </row>
        <row r="2758">
          <cell r="H2758" t="str">
            <v>百丈店</v>
          </cell>
          <cell r="I2758">
            <v>46017</v>
          </cell>
          <cell r="J2758">
            <v>-129.33</v>
          </cell>
        </row>
        <row r="2759">
          <cell r="C2759" t="str">
            <v>推广订单扣款</v>
          </cell>
        </row>
        <row r="2759">
          <cell r="H2759" t="str">
            <v>五华店</v>
          </cell>
          <cell r="I2759">
            <v>46017</v>
          </cell>
          <cell r="J2759">
            <v>-161.91</v>
          </cell>
        </row>
        <row r="2760">
          <cell r="C2760" t="str">
            <v>推广订单扣款</v>
          </cell>
        </row>
        <row r="2760">
          <cell r="H2760" t="str">
            <v>海口店</v>
          </cell>
          <cell r="I2760">
            <v>46017</v>
          </cell>
          <cell r="J2760">
            <v>-200</v>
          </cell>
        </row>
        <row r="2761">
          <cell r="C2761" t="str">
            <v>推广订单扣款</v>
          </cell>
        </row>
        <row r="2761">
          <cell r="H2761" t="str">
            <v>东新店</v>
          </cell>
          <cell r="I2761">
            <v>46017</v>
          </cell>
          <cell r="J2761">
            <v>-202.73</v>
          </cell>
        </row>
        <row r="2762">
          <cell r="C2762" t="str">
            <v>推广订单扣款</v>
          </cell>
        </row>
        <row r="2762">
          <cell r="H2762" t="str">
            <v>沙坪坝店</v>
          </cell>
          <cell r="I2762">
            <v>46017</v>
          </cell>
          <cell r="J2762">
            <v>-134.92</v>
          </cell>
        </row>
        <row r="2763">
          <cell r="C2763" t="str">
            <v>推广订单扣款</v>
          </cell>
        </row>
        <row r="2763">
          <cell r="H2763" t="str">
            <v>东海店</v>
          </cell>
          <cell r="I2763">
            <v>46017</v>
          </cell>
          <cell r="J2763">
            <v>-123.35</v>
          </cell>
        </row>
        <row r="2764">
          <cell r="C2764" t="str">
            <v>推广订单扣款</v>
          </cell>
        </row>
        <row r="2764">
          <cell r="H2764" t="str">
            <v>官渡店</v>
          </cell>
          <cell r="I2764">
            <v>46017</v>
          </cell>
          <cell r="J2764">
            <v>-186.89</v>
          </cell>
        </row>
        <row r="2765">
          <cell r="C2765" t="str">
            <v>推广订单扣款</v>
          </cell>
        </row>
        <row r="2765">
          <cell r="H2765" t="str">
            <v>文灶店</v>
          </cell>
          <cell r="I2765">
            <v>46017</v>
          </cell>
          <cell r="J2765">
            <v>-220.58</v>
          </cell>
        </row>
        <row r="2766">
          <cell r="C2766" t="str">
            <v>推广订单扣款</v>
          </cell>
        </row>
        <row r="2766">
          <cell r="H2766" t="str">
            <v>启点店</v>
          </cell>
          <cell r="I2766">
            <v>46017</v>
          </cell>
          <cell r="J2766">
            <v>-112.36</v>
          </cell>
        </row>
        <row r="2767">
          <cell r="C2767" t="str">
            <v>推广订单扣款</v>
          </cell>
        </row>
        <row r="2767">
          <cell r="H2767" t="str">
            <v>百捷店</v>
          </cell>
          <cell r="I2767">
            <v>46017</v>
          </cell>
          <cell r="J2767">
            <v>-143.86</v>
          </cell>
        </row>
        <row r="2768">
          <cell r="C2768" t="str">
            <v>推广订单扣款</v>
          </cell>
        </row>
        <row r="2768">
          <cell r="H2768" t="str">
            <v>诚毅店</v>
          </cell>
          <cell r="I2768">
            <v>46017</v>
          </cell>
          <cell r="J2768">
            <v>-201.35</v>
          </cell>
        </row>
        <row r="2769">
          <cell r="C2769" t="str">
            <v>推广订单扣款</v>
          </cell>
        </row>
        <row r="2769">
          <cell r="H2769" t="str">
            <v>成华店</v>
          </cell>
          <cell r="I2769">
            <v>46017</v>
          </cell>
          <cell r="J2769">
            <v>-95.72</v>
          </cell>
        </row>
        <row r="2770">
          <cell r="C2770" t="str">
            <v>推广订单扣款</v>
          </cell>
        </row>
        <row r="2770">
          <cell r="H2770" t="str">
            <v>济南店</v>
          </cell>
          <cell r="I2770">
            <v>46017</v>
          </cell>
          <cell r="J2770">
            <v>-246.75</v>
          </cell>
        </row>
        <row r="2771">
          <cell r="C2771" t="str">
            <v>推广订单扣款</v>
          </cell>
        </row>
        <row r="2771">
          <cell r="H2771" t="str">
            <v>黄雁村店</v>
          </cell>
          <cell r="I2771">
            <v>46017</v>
          </cell>
          <cell r="J2771">
            <v>-288.44</v>
          </cell>
        </row>
        <row r="2772">
          <cell r="C2772" t="str">
            <v>推广订单扣款</v>
          </cell>
        </row>
        <row r="2772">
          <cell r="H2772" t="str">
            <v>大坪店</v>
          </cell>
          <cell r="I2772">
            <v>46017</v>
          </cell>
          <cell r="J2772">
            <v>-304.83</v>
          </cell>
        </row>
        <row r="2773">
          <cell r="C2773" t="str">
            <v>推广订单扣款</v>
          </cell>
        </row>
        <row r="2773">
          <cell r="H2773" t="str">
            <v>观桥店</v>
          </cell>
          <cell r="I2773">
            <v>46017</v>
          </cell>
          <cell r="J2773">
            <v>-177.42</v>
          </cell>
        </row>
        <row r="2774">
          <cell r="C2774" t="str">
            <v>推广订单扣款</v>
          </cell>
        </row>
        <row r="2774">
          <cell r="H2774" t="str">
            <v>文昌店</v>
          </cell>
          <cell r="I2774">
            <v>46017</v>
          </cell>
          <cell r="J2774">
            <v>-129.51</v>
          </cell>
        </row>
        <row r="2775">
          <cell r="C2775" t="str">
            <v>推广订单扣款</v>
          </cell>
        </row>
        <row r="2775">
          <cell r="H2775" t="str">
            <v>湖里店</v>
          </cell>
          <cell r="I2775">
            <v>46017</v>
          </cell>
          <cell r="J2775">
            <v>-185.1</v>
          </cell>
        </row>
        <row r="2776">
          <cell r="C2776" t="str">
            <v>推广订单扣款</v>
          </cell>
        </row>
        <row r="2776">
          <cell r="H2776" t="str">
            <v>金牛店</v>
          </cell>
          <cell r="I2776">
            <v>46017</v>
          </cell>
          <cell r="J2776">
            <v>-162.55</v>
          </cell>
        </row>
        <row r="2777">
          <cell r="C2777" t="str">
            <v>推广订单扣款</v>
          </cell>
        </row>
        <row r="2777">
          <cell r="H2777" t="str">
            <v>高新店</v>
          </cell>
          <cell r="I2777">
            <v>46017</v>
          </cell>
          <cell r="J2777">
            <v>-146.78</v>
          </cell>
        </row>
        <row r="2778">
          <cell r="C2778" t="str">
            <v>推广订单扣款</v>
          </cell>
        </row>
        <row r="2778">
          <cell r="H2778" t="str">
            <v>武侯店</v>
          </cell>
          <cell r="I2778">
            <v>46017</v>
          </cell>
          <cell r="J2778">
            <v>-89.23</v>
          </cell>
        </row>
        <row r="2779">
          <cell r="C2779" t="str">
            <v>推广订单扣款</v>
          </cell>
        </row>
        <row r="2779">
          <cell r="H2779" t="str">
            <v>青羊店</v>
          </cell>
          <cell r="I2779">
            <v>46017</v>
          </cell>
          <cell r="J2779">
            <v>-87.35</v>
          </cell>
        </row>
        <row r="2780">
          <cell r="C2780" t="str">
            <v>推广订单扣款</v>
          </cell>
        </row>
        <row r="2780">
          <cell r="H2780" t="str">
            <v>华信店</v>
          </cell>
          <cell r="I2780">
            <v>46017</v>
          </cell>
          <cell r="J2780">
            <v>-180</v>
          </cell>
        </row>
        <row r="2781">
          <cell r="C2781" t="str">
            <v>推广订单扣款</v>
          </cell>
        </row>
        <row r="2781">
          <cell r="H2781" t="str">
            <v>观音桥店</v>
          </cell>
          <cell r="I2781">
            <v>46017</v>
          </cell>
          <cell r="J2781">
            <v>-360.32</v>
          </cell>
        </row>
        <row r="2782">
          <cell r="C2782" t="str">
            <v>推广订单扣款</v>
          </cell>
        </row>
        <row r="2782">
          <cell r="H2782" t="str">
            <v>滨江店</v>
          </cell>
          <cell r="I2782">
            <v>46017</v>
          </cell>
          <cell r="J2782">
            <v>-180.53</v>
          </cell>
        </row>
        <row r="2783">
          <cell r="C2783" t="str">
            <v>推广订单扣款</v>
          </cell>
        </row>
        <row r="2783">
          <cell r="H2783" t="str">
            <v>西山店</v>
          </cell>
          <cell r="I2783">
            <v>46017</v>
          </cell>
          <cell r="J2783">
            <v>-222.65</v>
          </cell>
        </row>
        <row r="2784">
          <cell r="C2784" t="str">
            <v>推广订单扣款</v>
          </cell>
        </row>
        <row r="2784">
          <cell r="H2784" t="str">
            <v>余杭店</v>
          </cell>
          <cell r="I2784">
            <v>46017</v>
          </cell>
          <cell r="J2784">
            <v>-200.98</v>
          </cell>
        </row>
        <row r="2785">
          <cell r="C2785" t="str">
            <v>推广订单扣款</v>
          </cell>
        </row>
        <row r="2785">
          <cell r="H2785" t="str">
            <v>首南店</v>
          </cell>
          <cell r="I2785">
            <v>46017</v>
          </cell>
          <cell r="J2785">
            <v>-123.96</v>
          </cell>
        </row>
        <row r="2786">
          <cell r="C2786" t="str">
            <v>推广订单扣款</v>
          </cell>
        </row>
        <row r="2786">
          <cell r="H2786" t="str">
            <v>凤城二路店</v>
          </cell>
          <cell r="I2786">
            <v>46017</v>
          </cell>
          <cell r="J2786">
            <v>-389.78</v>
          </cell>
        </row>
        <row r="2787">
          <cell r="C2787" t="str">
            <v>推广账户自动充值</v>
          </cell>
        </row>
        <row r="2787">
          <cell r="H2787" t="str">
            <v>湖里店</v>
          </cell>
          <cell r="I2787">
            <v>46017</v>
          </cell>
          <cell r="J2787">
            <v>200</v>
          </cell>
        </row>
        <row r="2788">
          <cell r="C2788" t="str">
            <v>推广账户自动充值</v>
          </cell>
        </row>
        <row r="2788">
          <cell r="H2788" t="str">
            <v>五路口店</v>
          </cell>
          <cell r="I2788">
            <v>46017</v>
          </cell>
          <cell r="J2788">
            <v>200</v>
          </cell>
        </row>
        <row r="2789">
          <cell r="C2789" t="str">
            <v>推广账户自动充值</v>
          </cell>
        </row>
        <row r="2789">
          <cell r="H2789" t="str">
            <v>东新店</v>
          </cell>
          <cell r="I2789">
            <v>46017</v>
          </cell>
          <cell r="J2789">
            <v>200</v>
          </cell>
        </row>
        <row r="2790">
          <cell r="C2790" t="str">
            <v>推广账户自动充值</v>
          </cell>
        </row>
        <row r="2790">
          <cell r="H2790" t="str">
            <v>观音桥店</v>
          </cell>
          <cell r="I2790">
            <v>46017</v>
          </cell>
          <cell r="J2790">
            <v>200</v>
          </cell>
        </row>
        <row r="2791">
          <cell r="C2791" t="str">
            <v>推广账户自动充值</v>
          </cell>
        </row>
        <row r="2791">
          <cell r="H2791" t="str">
            <v>鼓楼店</v>
          </cell>
          <cell r="I2791">
            <v>46017</v>
          </cell>
          <cell r="J2791">
            <v>200</v>
          </cell>
        </row>
        <row r="2792">
          <cell r="C2792" t="str">
            <v>推广账户自动充值</v>
          </cell>
        </row>
        <row r="2792">
          <cell r="H2792" t="str">
            <v>文昌店</v>
          </cell>
          <cell r="I2792">
            <v>46017</v>
          </cell>
          <cell r="J2792">
            <v>200</v>
          </cell>
        </row>
        <row r="2793">
          <cell r="C2793" t="str">
            <v>推广账户自动充值</v>
          </cell>
        </row>
        <row r="2793">
          <cell r="H2793" t="str">
            <v>凤城二路店</v>
          </cell>
          <cell r="I2793">
            <v>46017</v>
          </cell>
          <cell r="J2793">
            <v>200</v>
          </cell>
        </row>
        <row r="2794">
          <cell r="C2794" t="str">
            <v>推广账户自动充值</v>
          </cell>
        </row>
        <row r="2794">
          <cell r="H2794" t="str">
            <v>首南店</v>
          </cell>
          <cell r="I2794">
            <v>46017</v>
          </cell>
          <cell r="J2794">
            <v>200</v>
          </cell>
        </row>
        <row r="2795">
          <cell r="C2795" t="str">
            <v>推广账户自动充值</v>
          </cell>
        </row>
        <row r="2795">
          <cell r="H2795" t="str">
            <v>西山店</v>
          </cell>
          <cell r="I2795">
            <v>46017</v>
          </cell>
          <cell r="J2795">
            <v>200</v>
          </cell>
        </row>
        <row r="2796">
          <cell r="C2796" t="str">
            <v>推广账户自动充值</v>
          </cell>
        </row>
        <row r="2796">
          <cell r="H2796" t="str">
            <v>余杭店</v>
          </cell>
          <cell r="I2796">
            <v>46017</v>
          </cell>
          <cell r="J2796">
            <v>200</v>
          </cell>
        </row>
        <row r="2797">
          <cell r="C2797" t="str">
            <v>推广账户自动充值</v>
          </cell>
        </row>
        <row r="2797">
          <cell r="H2797" t="str">
            <v>海口店</v>
          </cell>
          <cell r="I2797">
            <v>46017</v>
          </cell>
          <cell r="J2797">
            <v>200</v>
          </cell>
        </row>
        <row r="2798">
          <cell r="C2798" t="str">
            <v>推广账户自动充值</v>
          </cell>
        </row>
        <row r="2798">
          <cell r="H2798" t="str">
            <v>西湖店</v>
          </cell>
          <cell r="I2798">
            <v>46017</v>
          </cell>
          <cell r="J2798">
            <v>200</v>
          </cell>
        </row>
        <row r="2799">
          <cell r="C2799" t="str">
            <v>推广账户自动充值</v>
          </cell>
        </row>
        <row r="2799">
          <cell r="H2799" t="str">
            <v>济南店</v>
          </cell>
          <cell r="I2799">
            <v>46017</v>
          </cell>
          <cell r="J2799">
            <v>200</v>
          </cell>
        </row>
        <row r="2800">
          <cell r="C2800" t="str">
            <v>推广账户自动充值</v>
          </cell>
        </row>
        <row r="2800">
          <cell r="H2800" t="str">
            <v>启点店</v>
          </cell>
          <cell r="I2800">
            <v>46017</v>
          </cell>
          <cell r="J2800">
            <v>200</v>
          </cell>
        </row>
        <row r="2801">
          <cell r="C2801" t="str">
            <v>推广账户自动充值</v>
          </cell>
        </row>
        <row r="2801">
          <cell r="H2801" t="str">
            <v>黄雁村店</v>
          </cell>
          <cell r="I2801">
            <v>46017</v>
          </cell>
          <cell r="J2801">
            <v>200</v>
          </cell>
        </row>
        <row r="2802">
          <cell r="C2802" t="str">
            <v>推广账户自动充值</v>
          </cell>
        </row>
        <row r="2802">
          <cell r="H2802" t="str">
            <v>诚毅店</v>
          </cell>
          <cell r="I2802">
            <v>46017</v>
          </cell>
          <cell r="J2802">
            <v>200</v>
          </cell>
        </row>
        <row r="2803">
          <cell r="C2803" t="str">
            <v>推广账户自动充值</v>
          </cell>
        </row>
        <row r="2803">
          <cell r="H2803" t="str">
            <v>大坪店</v>
          </cell>
          <cell r="I2803">
            <v>46017</v>
          </cell>
          <cell r="J2803">
            <v>200</v>
          </cell>
        </row>
        <row r="2804">
          <cell r="C2804" t="str">
            <v>推广账户自动充值</v>
          </cell>
        </row>
        <row r="2804">
          <cell r="H2804" t="str">
            <v>官渡店</v>
          </cell>
          <cell r="I2804">
            <v>46017</v>
          </cell>
          <cell r="J2804">
            <v>200</v>
          </cell>
        </row>
        <row r="2805">
          <cell r="C2805" t="str">
            <v>推广账户自动充值</v>
          </cell>
        </row>
        <row r="2805">
          <cell r="H2805" t="str">
            <v>百丈店</v>
          </cell>
          <cell r="I2805">
            <v>46017</v>
          </cell>
          <cell r="J2805">
            <v>200</v>
          </cell>
        </row>
        <row r="2806">
          <cell r="C2806" t="str">
            <v>推广账户自动充值</v>
          </cell>
        </row>
        <row r="2806">
          <cell r="H2806" t="str">
            <v>武侯店</v>
          </cell>
          <cell r="I2806">
            <v>46017</v>
          </cell>
          <cell r="J2806">
            <v>200</v>
          </cell>
        </row>
        <row r="2807">
          <cell r="C2807" t="str">
            <v>推广账户自动充值</v>
          </cell>
        </row>
        <row r="2807">
          <cell r="H2807" t="str">
            <v>滨江店</v>
          </cell>
          <cell r="I2807">
            <v>46017</v>
          </cell>
          <cell r="J2807">
            <v>200</v>
          </cell>
        </row>
        <row r="2808">
          <cell r="C2808" t="str">
            <v>推广账户自动充值</v>
          </cell>
        </row>
        <row r="2808">
          <cell r="H2808" t="str">
            <v>首山店</v>
          </cell>
          <cell r="I2808">
            <v>46017</v>
          </cell>
          <cell r="J2808">
            <v>200</v>
          </cell>
        </row>
        <row r="2809">
          <cell r="C2809" t="str">
            <v>推广账户自动充值</v>
          </cell>
        </row>
        <row r="2809">
          <cell r="H2809" t="str">
            <v>五路口店</v>
          </cell>
          <cell r="I2809">
            <v>46017</v>
          </cell>
          <cell r="J2809">
            <v>200</v>
          </cell>
        </row>
        <row r="2810">
          <cell r="C2810" t="str">
            <v>推广账户自动充值</v>
          </cell>
        </row>
        <row r="2810">
          <cell r="H2810" t="str">
            <v>五华店</v>
          </cell>
          <cell r="I2810">
            <v>46017</v>
          </cell>
          <cell r="J2810">
            <v>200</v>
          </cell>
        </row>
        <row r="2811">
          <cell r="C2811" t="str">
            <v>推广账户自动充值</v>
          </cell>
        </row>
        <row r="2811">
          <cell r="H2811" t="str">
            <v>观音桥店</v>
          </cell>
          <cell r="I2811">
            <v>46017</v>
          </cell>
          <cell r="J2811">
            <v>200</v>
          </cell>
        </row>
        <row r="2812">
          <cell r="C2812" t="str">
            <v>推广账户自动充值</v>
          </cell>
        </row>
        <row r="2812">
          <cell r="H2812" t="str">
            <v>洛江店</v>
          </cell>
          <cell r="I2812">
            <v>46017</v>
          </cell>
          <cell r="J2812">
            <v>200</v>
          </cell>
        </row>
        <row r="2813">
          <cell r="C2813" t="str">
            <v>推广账户自动充值</v>
          </cell>
        </row>
        <row r="2813">
          <cell r="H2813" t="str">
            <v>长沙店</v>
          </cell>
          <cell r="I2813">
            <v>46017</v>
          </cell>
          <cell r="J2813">
            <v>200</v>
          </cell>
        </row>
        <row r="2814">
          <cell r="C2814" t="str">
            <v>推广账户自动充值</v>
          </cell>
        </row>
        <row r="2814">
          <cell r="H2814" t="str">
            <v>凤城二路店</v>
          </cell>
          <cell r="I2814">
            <v>46017</v>
          </cell>
          <cell r="J2814">
            <v>200</v>
          </cell>
        </row>
        <row r="2815">
          <cell r="C2815" t="str">
            <v>推广账户自动充值</v>
          </cell>
        </row>
        <row r="2815">
          <cell r="H2815" t="str">
            <v>观桥店</v>
          </cell>
          <cell r="I2815">
            <v>46017</v>
          </cell>
          <cell r="J2815">
            <v>200</v>
          </cell>
        </row>
        <row r="2816">
          <cell r="C2816" t="str">
            <v>推广账户自动充值</v>
          </cell>
        </row>
        <row r="2816">
          <cell r="H2816" t="str">
            <v>黄雁村店</v>
          </cell>
          <cell r="I2816">
            <v>46017</v>
          </cell>
          <cell r="J2816">
            <v>200</v>
          </cell>
        </row>
        <row r="2817">
          <cell r="C2817" t="str">
            <v>推广账户自动充值</v>
          </cell>
        </row>
        <row r="2817">
          <cell r="H2817" t="str">
            <v>成华店</v>
          </cell>
          <cell r="I2817">
            <v>46017</v>
          </cell>
          <cell r="J2817">
            <v>200</v>
          </cell>
        </row>
        <row r="2818">
          <cell r="C2818" t="str">
            <v>推广订单扣款</v>
          </cell>
        </row>
        <row r="2818">
          <cell r="H2818" t="str">
            <v>鼓楼店</v>
          </cell>
          <cell r="I2818">
            <v>46018</v>
          </cell>
          <cell r="J2818">
            <v>-268.89</v>
          </cell>
        </row>
        <row r="2819">
          <cell r="C2819" t="str">
            <v>推广订单扣款</v>
          </cell>
        </row>
        <row r="2819">
          <cell r="H2819" t="str">
            <v>西湖店</v>
          </cell>
          <cell r="I2819">
            <v>46018</v>
          </cell>
          <cell r="J2819">
            <v>-118.86</v>
          </cell>
        </row>
        <row r="2820">
          <cell r="C2820" t="str">
            <v>推广订单扣款</v>
          </cell>
        </row>
        <row r="2820">
          <cell r="H2820" t="str">
            <v>洛江店</v>
          </cell>
          <cell r="I2820">
            <v>46018</v>
          </cell>
          <cell r="J2820">
            <v>-40.55</v>
          </cell>
        </row>
        <row r="2821">
          <cell r="C2821" t="str">
            <v>推广订单扣款</v>
          </cell>
        </row>
        <row r="2821">
          <cell r="H2821" t="str">
            <v>首山店</v>
          </cell>
          <cell r="I2821">
            <v>46018</v>
          </cell>
          <cell r="J2821">
            <v>-168.23</v>
          </cell>
        </row>
        <row r="2822">
          <cell r="C2822" t="str">
            <v>推广订单扣款</v>
          </cell>
        </row>
        <row r="2822">
          <cell r="H2822" t="str">
            <v>长沙店</v>
          </cell>
          <cell r="I2822">
            <v>46018</v>
          </cell>
          <cell r="J2822">
            <v>-194.09</v>
          </cell>
        </row>
        <row r="2823">
          <cell r="C2823" t="str">
            <v>推广订单扣款</v>
          </cell>
        </row>
        <row r="2823">
          <cell r="H2823" t="str">
            <v>五路口店</v>
          </cell>
          <cell r="I2823">
            <v>46018</v>
          </cell>
          <cell r="J2823">
            <v>-349.64</v>
          </cell>
        </row>
        <row r="2824">
          <cell r="C2824" t="str">
            <v>推广订单扣款</v>
          </cell>
        </row>
        <row r="2824">
          <cell r="H2824" t="str">
            <v>百丈店</v>
          </cell>
          <cell r="I2824">
            <v>46018</v>
          </cell>
          <cell r="J2824">
            <v>-128.18</v>
          </cell>
        </row>
        <row r="2825">
          <cell r="C2825" t="str">
            <v>推广订单扣款</v>
          </cell>
        </row>
        <row r="2825">
          <cell r="H2825" t="str">
            <v>五华店</v>
          </cell>
          <cell r="I2825">
            <v>46018</v>
          </cell>
          <cell r="J2825">
            <v>-170.07</v>
          </cell>
        </row>
        <row r="2826">
          <cell r="C2826" t="str">
            <v>推广订单扣款</v>
          </cell>
        </row>
        <row r="2826">
          <cell r="H2826" t="str">
            <v>海口店</v>
          </cell>
          <cell r="I2826">
            <v>46018</v>
          </cell>
          <cell r="J2826">
            <v>-198.41</v>
          </cell>
        </row>
        <row r="2827">
          <cell r="C2827" t="str">
            <v>推广订单扣款</v>
          </cell>
        </row>
        <row r="2827">
          <cell r="H2827" t="str">
            <v>东新店</v>
          </cell>
          <cell r="I2827">
            <v>46018</v>
          </cell>
          <cell r="J2827">
            <v>-239.28</v>
          </cell>
        </row>
        <row r="2828">
          <cell r="C2828" t="str">
            <v>推广订单扣款</v>
          </cell>
        </row>
        <row r="2828">
          <cell r="H2828" t="str">
            <v>沙坪坝店</v>
          </cell>
          <cell r="I2828">
            <v>46018</v>
          </cell>
          <cell r="J2828">
            <v>-40.85</v>
          </cell>
        </row>
        <row r="2829">
          <cell r="C2829" t="str">
            <v>推广订单扣款</v>
          </cell>
        </row>
        <row r="2829">
          <cell r="H2829" t="str">
            <v>东海店</v>
          </cell>
          <cell r="I2829">
            <v>46018</v>
          </cell>
          <cell r="J2829">
            <v>-192.58</v>
          </cell>
        </row>
        <row r="2830">
          <cell r="C2830" t="str">
            <v>推广订单扣款</v>
          </cell>
        </row>
        <row r="2830">
          <cell r="H2830" t="str">
            <v>官渡店</v>
          </cell>
          <cell r="I2830">
            <v>46018</v>
          </cell>
          <cell r="J2830">
            <v>-172.79</v>
          </cell>
        </row>
        <row r="2831">
          <cell r="C2831" t="str">
            <v>推广订单扣款</v>
          </cell>
        </row>
        <row r="2831">
          <cell r="H2831" t="str">
            <v>文灶店</v>
          </cell>
          <cell r="I2831">
            <v>46018</v>
          </cell>
          <cell r="J2831">
            <v>-225.34</v>
          </cell>
        </row>
        <row r="2832">
          <cell r="C2832" t="str">
            <v>推广订单扣款</v>
          </cell>
        </row>
        <row r="2832">
          <cell r="H2832" t="str">
            <v>启点店</v>
          </cell>
          <cell r="I2832">
            <v>46018</v>
          </cell>
          <cell r="J2832">
            <v>-189.36</v>
          </cell>
        </row>
        <row r="2833">
          <cell r="C2833" t="str">
            <v>推广订单扣款</v>
          </cell>
        </row>
        <row r="2833">
          <cell r="H2833" t="str">
            <v>百捷店</v>
          </cell>
          <cell r="I2833">
            <v>46018</v>
          </cell>
          <cell r="J2833">
            <v>-92.88</v>
          </cell>
        </row>
        <row r="2834">
          <cell r="C2834" t="str">
            <v>推广订单扣款</v>
          </cell>
        </row>
        <row r="2834">
          <cell r="H2834" t="str">
            <v>诚毅店</v>
          </cell>
          <cell r="I2834">
            <v>46018</v>
          </cell>
          <cell r="J2834">
            <v>-268.86</v>
          </cell>
        </row>
        <row r="2835">
          <cell r="C2835" t="str">
            <v>推广订单扣款</v>
          </cell>
        </row>
        <row r="2835">
          <cell r="H2835" t="str">
            <v>成华店</v>
          </cell>
          <cell r="I2835">
            <v>46018</v>
          </cell>
          <cell r="J2835">
            <v>-124.01</v>
          </cell>
        </row>
        <row r="2836">
          <cell r="C2836" t="str">
            <v>推广订单扣款</v>
          </cell>
        </row>
        <row r="2836">
          <cell r="H2836" t="str">
            <v>济南店</v>
          </cell>
          <cell r="I2836">
            <v>46018</v>
          </cell>
          <cell r="J2836">
            <v>-230.12</v>
          </cell>
        </row>
        <row r="2837">
          <cell r="C2837" t="str">
            <v>推广订单扣款</v>
          </cell>
        </row>
        <row r="2837">
          <cell r="H2837" t="str">
            <v>黄雁村店</v>
          </cell>
          <cell r="I2837">
            <v>46018</v>
          </cell>
          <cell r="J2837">
            <v>-312.18</v>
          </cell>
        </row>
        <row r="2838">
          <cell r="C2838" t="str">
            <v>推广订单扣款</v>
          </cell>
        </row>
        <row r="2838">
          <cell r="H2838" t="str">
            <v>大坪店</v>
          </cell>
          <cell r="I2838">
            <v>46018</v>
          </cell>
          <cell r="J2838">
            <v>-256.46</v>
          </cell>
        </row>
        <row r="2839">
          <cell r="C2839" t="str">
            <v>推广订单扣款</v>
          </cell>
        </row>
        <row r="2839">
          <cell r="H2839" t="str">
            <v>观桥店</v>
          </cell>
          <cell r="I2839">
            <v>46018</v>
          </cell>
          <cell r="J2839">
            <v>-184.68</v>
          </cell>
        </row>
        <row r="2840">
          <cell r="C2840" t="str">
            <v>推广订单扣款</v>
          </cell>
        </row>
        <row r="2840">
          <cell r="H2840" t="str">
            <v>文昌店</v>
          </cell>
          <cell r="I2840">
            <v>46018</v>
          </cell>
          <cell r="J2840">
            <v>-99.14</v>
          </cell>
        </row>
        <row r="2841">
          <cell r="C2841" t="str">
            <v>推广订单扣款</v>
          </cell>
        </row>
        <row r="2841">
          <cell r="H2841" t="str">
            <v>湖里店</v>
          </cell>
          <cell r="I2841">
            <v>46018</v>
          </cell>
          <cell r="J2841">
            <v>-196.12</v>
          </cell>
        </row>
        <row r="2842">
          <cell r="C2842" t="str">
            <v>推广订单扣款</v>
          </cell>
        </row>
        <row r="2842">
          <cell r="H2842" t="str">
            <v>高新店</v>
          </cell>
          <cell r="I2842">
            <v>46018</v>
          </cell>
          <cell r="J2842">
            <v>-116.97</v>
          </cell>
        </row>
        <row r="2843">
          <cell r="C2843" t="str">
            <v>推广订单扣款</v>
          </cell>
        </row>
        <row r="2843">
          <cell r="H2843" t="str">
            <v>金牛店</v>
          </cell>
          <cell r="I2843">
            <v>46018</v>
          </cell>
          <cell r="J2843">
            <v>-119.31</v>
          </cell>
        </row>
        <row r="2844">
          <cell r="C2844" t="str">
            <v>推广订单扣款</v>
          </cell>
        </row>
        <row r="2844">
          <cell r="H2844" t="str">
            <v>青羊店</v>
          </cell>
          <cell r="I2844">
            <v>46018</v>
          </cell>
          <cell r="J2844">
            <v>-74.41</v>
          </cell>
        </row>
        <row r="2845">
          <cell r="C2845" t="str">
            <v>推广订单扣款</v>
          </cell>
        </row>
        <row r="2845">
          <cell r="H2845" t="str">
            <v>华信店</v>
          </cell>
          <cell r="I2845">
            <v>46018</v>
          </cell>
          <cell r="J2845">
            <v>-163.4</v>
          </cell>
        </row>
        <row r="2846">
          <cell r="C2846" t="str">
            <v>推广订单扣款</v>
          </cell>
        </row>
        <row r="2846">
          <cell r="H2846" t="str">
            <v>武侯店</v>
          </cell>
          <cell r="I2846">
            <v>46018</v>
          </cell>
          <cell r="J2846">
            <v>-52.49</v>
          </cell>
        </row>
        <row r="2847">
          <cell r="C2847" t="str">
            <v>推广订单扣款</v>
          </cell>
        </row>
        <row r="2847">
          <cell r="H2847" t="str">
            <v>滨江店</v>
          </cell>
          <cell r="I2847">
            <v>46018</v>
          </cell>
          <cell r="J2847">
            <v>-205.65</v>
          </cell>
        </row>
        <row r="2848">
          <cell r="C2848" t="str">
            <v>推广订单扣款</v>
          </cell>
        </row>
        <row r="2848">
          <cell r="H2848" t="str">
            <v>观音桥店</v>
          </cell>
          <cell r="I2848">
            <v>46018</v>
          </cell>
          <cell r="J2848">
            <v>-438.08</v>
          </cell>
        </row>
        <row r="2849">
          <cell r="C2849" t="str">
            <v>推广订单扣款</v>
          </cell>
        </row>
        <row r="2849">
          <cell r="H2849" t="str">
            <v>西山店</v>
          </cell>
          <cell r="I2849">
            <v>46018</v>
          </cell>
          <cell r="J2849">
            <v>-182.59</v>
          </cell>
        </row>
        <row r="2850">
          <cell r="C2850" t="str">
            <v>推广订单扣款</v>
          </cell>
        </row>
        <row r="2850">
          <cell r="H2850" t="str">
            <v>余杭店</v>
          </cell>
          <cell r="I2850">
            <v>46018</v>
          </cell>
          <cell r="J2850">
            <v>-202.47</v>
          </cell>
        </row>
        <row r="2851">
          <cell r="C2851" t="str">
            <v>推广订单扣款</v>
          </cell>
        </row>
        <row r="2851">
          <cell r="H2851" t="str">
            <v>首南店</v>
          </cell>
          <cell r="I2851">
            <v>46018</v>
          </cell>
          <cell r="J2851">
            <v>-145.94</v>
          </cell>
        </row>
        <row r="2852">
          <cell r="C2852" t="str">
            <v>推广订单扣款</v>
          </cell>
        </row>
        <row r="2852">
          <cell r="H2852" t="str">
            <v>凤城二路店</v>
          </cell>
          <cell r="I2852">
            <v>46018</v>
          </cell>
          <cell r="J2852">
            <v>-324.79</v>
          </cell>
        </row>
        <row r="2853">
          <cell r="C2853" t="str">
            <v>推广账户自动充值</v>
          </cell>
        </row>
        <row r="2853">
          <cell r="H2853" t="str">
            <v>东海店</v>
          </cell>
          <cell r="I2853">
            <v>46018</v>
          </cell>
          <cell r="J2853">
            <v>200</v>
          </cell>
        </row>
        <row r="2854">
          <cell r="C2854" t="str">
            <v>推广账户自动充值</v>
          </cell>
        </row>
        <row r="2854">
          <cell r="H2854" t="str">
            <v>华信店</v>
          </cell>
          <cell r="I2854">
            <v>46018</v>
          </cell>
          <cell r="J2854">
            <v>200</v>
          </cell>
        </row>
        <row r="2855">
          <cell r="C2855" t="str">
            <v>推广账户自动充值</v>
          </cell>
        </row>
        <row r="2855">
          <cell r="H2855" t="str">
            <v>东新店</v>
          </cell>
          <cell r="I2855">
            <v>46018</v>
          </cell>
          <cell r="J2855">
            <v>200</v>
          </cell>
        </row>
        <row r="2856">
          <cell r="C2856" t="str">
            <v>推广账户自动充值</v>
          </cell>
        </row>
        <row r="2856">
          <cell r="H2856" t="str">
            <v>湖里店</v>
          </cell>
          <cell r="I2856">
            <v>46018</v>
          </cell>
          <cell r="J2856">
            <v>200</v>
          </cell>
        </row>
        <row r="2857">
          <cell r="C2857" t="str">
            <v>推广账户自动充值</v>
          </cell>
        </row>
        <row r="2857">
          <cell r="H2857" t="str">
            <v>鼓楼店</v>
          </cell>
          <cell r="I2857">
            <v>46018</v>
          </cell>
          <cell r="J2857">
            <v>200</v>
          </cell>
        </row>
        <row r="2858">
          <cell r="C2858" t="str">
            <v>推广账户自动充值</v>
          </cell>
        </row>
        <row r="2858">
          <cell r="H2858" t="str">
            <v>高新店</v>
          </cell>
          <cell r="I2858">
            <v>46018</v>
          </cell>
          <cell r="J2858">
            <v>200</v>
          </cell>
        </row>
        <row r="2859">
          <cell r="C2859" t="str">
            <v>推广账户自动充值</v>
          </cell>
        </row>
        <row r="2859">
          <cell r="H2859" t="str">
            <v>大坪店</v>
          </cell>
          <cell r="I2859">
            <v>46018</v>
          </cell>
          <cell r="J2859">
            <v>200</v>
          </cell>
        </row>
        <row r="2860">
          <cell r="C2860" t="str">
            <v>推广账户自动充值</v>
          </cell>
        </row>
        <row r="2860">
          <cell r="H2860" t="str">
            <v>青羊店</v>
          </cell>
          <cell r="I2860">
            <v>46018</v>
          </cell>
          <cell r="J2860">
            <v>200</v>
          </cell>
        </row>
        <row r="2861">
          <cell r="C2861" t="str">
            <v>推广账户自动充值</v>
          </cell>
        </row>
        <row r="2861">
          <cell r="H2861" t="str">
            <v>诚毅店</v>
          </cell>
          <cell r="I2861">
            <v>46018</v>
          </cell>
          <cell r="J2861">
            <v>200</v>
          </cell>
        </row>
        <row r="2862">
          <cell r="C2862" t="str">
            <v>推广账户自动充值</v>
          </cell>
        </row>
        <row r="2862">
          <cell r="H2862" t="str">
            <v>观音桥店</v>
          </cell>
          <cell r="I2862">
            <v>46018</v>
          </cell>
          <cell r="J2862">
            <v>200</v>
          </cell>
        </row>
        <row r="2863">
          <cell r="C2863" t="str">
            <v>推广账户自动充值</v>
          </cell>
        </row>
        <row r="2863">
          <cell r="H2863" t="str">
            <v>济南店</v>
          </cell>
          <cell r="I2863">
            <v>46018</v>
          </cell>
          <cell r="J2863">
            <v>200</v>
          </cell>
        </row>
        <row r="2864">
          <cell r="C2864" t="str">
            <v>推广账户自动充值</v>
          </cell>
        </row>
        <row r="2864">
          <cell r="H2864" t="str">
            <v>余杭店</v>
          </cell>
          <cell r="I2864">
            <v>46018</v>
          </cell>
          <cell r="J2864">
            <v>200</v>
          </cell>
        </row>
        <row r="2865">
          <cell r="C2865" t="str">
            <v>推广账户自动充值</v>
          </cell>
        </row>
        <row r="2865">
          <cell r="H2865" t="str">
            <v>沙坪坝店</v>
          </cell>
          <cell r="I2865">
            <v>46018</v>
          </cell>
          <cell r="J2865">
            <v>200</v>
          </cell>
        </row>
        <row r="2866">
          <cell r="C2866" t="str">
            <v>推广账户自动充值</v>
          </cell>
        </row>
        <row r="2866">
          <cell r="H2866" t="str">
            <v>西山店</v>
          </cell>
          <cell r="I2866">
            <v>46018</v>
          </cell>
          <cell r="J2866">
            <v>200</v>
          </cell>
        </row>
        <row r="2867">
          <cell r="C2867" t="str">
            <v>推广账户自动充值</v>
          </cell>
        </row>
        <row r="2867">
          <cell r="H2867" t="str">
            <v>凤城二路店</v>
          </cell>
          <cell r="I2867">
            <v>46018</v>
          </cell>
          <cell r="J2867">
            <v>200</v>
          </cell>
        </row>
        <row r="2868">
          <cell r="C2868" t="str">
            <v>推广账户自动充值</v>
          </cell>
        </row>
        <row r="2868">
          <cell r="H2868" t="str">
            <v>海口店</v>
          </cell>
          <cell r="I2868">
            <v>46018</v>
          </cell>
          <cell r="J2868">
            <v>200</v>
          </cell>
        </row>
        <row r="2869">
          <cell r="C2869" t="str">
            <v>推广账户自动充值</v>
          </cell>
        </row>
        <row r="2869">
          <cell r="H2869" t="str">
            <v>金牛店</v>
          </cell>
          <cell r="I2869">
            <v>46018</v>
          </cell>
          <cell r="J2869">
            <v>200</v>
          </cell>
        </row>
        <row r="2870">
          <cell r="C2870" t="str">
            <v>推广账户自动充值</v>
          </cell>
        </row>
        <row r="2870">
          <cell r="H2870" t="str">
            <v>百捷店</v>
          </cell>
          <cell r="I2870">
            <v>46018</v>
          </cell>
          <cell r="J2870">
            <v>200</v>
          </cell>
        </row>
        <row r="2871">
          <cell r="C2871" t="str">
            <v>推广账户自动充值</v>
          </cell>
        </row>
        <row r="2871">
          <cell r="H2871" t="str">
            <v>五路口店</v>
          </cell>
          <cell r="I2871">
            <v>46018</v>
          </cell>
          <cell r="J2871">
            <v>200</v>
          </cell>
        </row>
        <row r="2872">
          <cell r="C2872" t="str">
            <v>推广账户自动充值</v>
          </cell>
        </row>
        <row r="2872">
          <cell r="H2872" t="str">
            <v>首南店</v>
          </cell>
          <cell r="I2872">
            <v>46018</v>
          </cell>
          <cell r="J2872">
            <v>200</v>
          </cell>
        </row>
        <row r="2873">
          <cell r="C2873" t="str">
            <v>推广账户自动充值</v>
          </cell>
        </row>
        <row r="2873">
          <cell r="H2873" t="str">
            <v>黄雁村店</v>
          </cell>
          <cell r="I2873">
            <v>46018</v>
          </cell>
          <cell r="J2873">
            <v>200</v>
          </cell>
        </row>
        <row r="2874">
          <cell r="C2874" t="str">
            <v>推广账户自动充值</v>
          </cell>
        </row>
        <row r="2874">
          <cell r="H2874" t="str">
            <v>滨江店</v>
          </cell>
          <cell r="I2874">
            <v>46018</v>
          </cell>
          <cell r="J2874">
            <v>200</v>
          </cell>
        </row>
        <row r="2875">
          <cell r="C2875" t="str">
            <v>推广账户自动充值</v>
          </cell>
        </row>
        <row r="2875">
          <cell r="H2875" t="str">
            <v>官渡店</v>
          </cell>
          <cell r="I2875">
            <v>46018</v>
          </cell>
          <cell r="J2875">
            <v>200</v>
          </cell>
        </row>
        <row r="2876">
          <cell r="C2876" t="str">
            <v>推广账户自动充值</v>
          </cell>
        </row>
        <row r="2876">
          <cell r="H2876" t="str">
            <v>启点店</v>
          </cell>
          <cell r="I2876">
            <v>46018</v>
          </cell>
          <cell r="J2876">
            <v>200</v>
          </cell>
        </row>
        <row r="2877">
          <cell r="C2877" t="str">
            <v>推广账户自动充值</v>
          </cell>
        </row>
        <row r="2877">
          <cell r="H2877" t="str">
            <v>凤城二路店</v>
          </cell>
          <cell r="I2877">
            <v>46018</v>
          </cell>
          <cell r="J2877">
            <v>200</v>
          </cell>
        </row>
        <row r="2878">
          <cell r="C2878" t="str">
            <v>推广账户自动充值</v>
          </cell>
        </row>
        <row r="2878">
          <cell r="H2878" t="str">
            <v>观音桥店</v>
          </cell>
          <cell r="I2878">
            <v>46018</v>
          </cell>
          <cell r="J2878">
            <v>200</v>
          </cell>
        </row>
        <row r="2879">
          <cell r="C2879" t="str">
            <v>推广账户自动充值</v>
          </cell>
        </row>
        <row r="2879">
          <cell r="H2879" t="str">
            <v>大坪店</v>
          </cell>
          <cell r="I2879">
            <v>46018</v>
          </cell>
          <cell r="J2879">
            <v>200</v>
          </cell>
        </row>
        <row r="2880">
          <cell r="C2880" t="str">
            <v>推广账户自动充值</v>
          </cell>
        </row>
        <row r="2880">
          <cell r="H2880" t="str">
            <v>西湖店</v>
          </cell>
          <cell r="I2880">
            <v>46018</v>
          </cell>
          <cell r="J2880">
            <v>200</v>
          </cell>
        </row>
        <row r="2881">
          <cell r="C2881" t="str">
            <v>推广账户自动充值</v>
          </cell>
        </row>
        <row r="2881">
          <cell r="H2881" t="str">
            <v>东新店</v>
          </cell>
          <cell r="I2881">
            <v>46018</v>
          </cell>
          <cell r="J2881">
            <v>200</v>
          </cell>
        </row>
        <row r="2882">
          <cell r="C2882" t="str">
            <v>推广账户自动充值</v>
          </cell>
        </row>
        <row r="2882">
          <cell r="H2882" t="str">
            <v>百丈店</v>
          </cell>
          <cell r="I2882">
            <v>46018</v>
          </cell>
          <cell r="J2882">
            <v>200</v>
          </cell>
        </row>
        <row r="2883">
          <cell r="C2883" t="str">
            <v>推广账户自动充值</v>
          </cell>
        </row>
        <row r="2883">
          <cell r="H2883" t="str">
            <v>鼓楼店</v>
          </cell>
          <cell r="I2883">
            <v>46018</v>
          </cell>
          <cell r="J2883">
            <v>200</v>
          </cell>
        </row>
        <row r="2884">
          <cell r="C2884" t="str">
            <v>推广订单扣款</v>
          </cell>
        </row>
        <row r="2884">
          <cell r="H2884" t="str">
            <v>鼓楼店</v>
          </cell>
          <cell r="I2884">
            <v>46019</v>
          </cell>
          <cell r="J2884">
            <v>-239.84</v>
          </cell>
        </row>
        <row r="2885">
          <cell r="C2885" t="str">
            <v>推广订单扣款</v>
          </cell>
        </row>
        <row r="2885">
          <cell r="H2885" t="str">
            <v>西湖店</v>
          </cell>
          <cell r="I2885">
            <v>46019</v>
          </cell>
          <cell r="J2885">
            <v>-158.59</v>
          </cell>
        </row>
        <row r="2886">
          <cell r="C2886" t="str">
            <v>推广订单扣款</v>
          </cell>
        </row>
        <row r="2886">
          <cell r="H2886" t="str">
            <v>首山店</v>
          </cell>
          <cell r="I2886">
            <v>46019</v>
          </cell>
          <cell r="J2886">
            <v>-129.59</v>
          </cell>
        </row>
        <row r="2887">
          <cell r="C2887" t="str">
            <v>推广订单扣款</v>
          </cell>
        </row>
        <row r="2887">
          <cell r="H2887" t="str">
            <v>长沙店</v>
          </cell>
          <cell r="I2887">
            <v>46019</v>
          </cell>
          <cell r="J2887">
            <v>-143.27</v>
          </cell>
        </row>
        <row r="2888">
          <cell r="C2888" t="str">
            <v>推广订单扣款</v>
          </cell>
        </row>
        <row r="2888">
          <cell r="H2888" t="str">
            <v>五路口店</v>
          </cell>
          <cell r="I2888">
            <v>46019</v>
          </cell>
          <cell r="J2888">
            <v>-294.62</v>
          </cell>
        </row>
        <row r="2889">
          <cell r="C2889" t="str">
            <v>推广订单扣款</v>
          </cell>
        </row>
        <row r="2889">
          <cell r="H2889" t="str">
            <v>百丈店</v>
          </cell>
          <cell r="I2889">
            <v>46019</v>
          </cell>
          <cell r="J2889">
            <v>-153.3</v>
          </cell>
        </row>
        <row r="2890">
          <cell r="C2890" t="str">
            <v>推广订单扣款</v>
          </cell>
        </row>
        <row r="2890">
          <cell r="H2890" t="str">
            <v>五华店</v>
          </cell>
          <cell r="I2890">
            <v>46019</v>
          </cell>
          <cell r="J2890">
            <v>-154</v>
          </cell>
        </row>
        <row r="2891">
          <cell r="C2891" t="str">
            <v>推广订单扣款</v>
          </cell>
        </row>
        <row r="2891">
          <cell r="H2891" t="str">
            <v>海口店</v>
          </cell>
          <cell r="I2891">
            <v>46019</v>
          </cell>
          <cell r="J2891">
            <v>-200</v>
          </cell>
        </row>
        <row r="2892">
          <cell r="C2892" t="str">
            <v>推广订单扣款</v>
          </cell>
        </row>
        <row r="2892">
          <cell r="H2892" t="str">
            <v>东新店</v>
          </cell>
          <cell r="I2892">
            <v>46019</v>
          </cell>
          <cell r="J2892">
            <v>-266.83</v>
          </cell>
        </row>
        <row r="2893">
          <cell r="C2893" t="str">
            <v>推广订单扣款</v>
          </cell>
        </row>
        <row r="2893">
          <cell r="H2893" t="str">
            <v>沙坪坝店</v>
          </cell>
          <cell r="I2893">
            <v>46019</v>
          </cell>
          <cell r="J2893">
            <v>-89.64</v>
          </cell>
        </row>
        <row r="2894">
          <cell r="C2894" t="str">
            <v>推广订单扣款</v>
          </cell>
        </row>
        <row r="2894">
          <cell r="H2894" t="str">
            <v>东海店</v>
          </cell>
          <cell r="I2894">
            <v>46019</v>
          </cell>
          <cell r="J2894">
            <v>-151.99</v>
          </cell>
        </row>
        <row r="2895">
          <cell r="C2895" t="str">
            <v>推广订单扣款</v>
          </cell>
        </row>
        <row r="2895">
          <cell r="H2895" t="str">
            <v>官渡店</v>
          </cell>
          <cell r="I2895">
            <v>46019</v>
          </cell>
          <cell r="J2895">
            <v>-192.93</v>
          </cell>
        </row>
        <row r="2896">
          <cell r="C2896" t="str">
            <v>推广订单扣款</v>
          </cell>
        </row>
        <row r="2896">
          <cell r="H2896" t="str">
            <v>文灶店</v>
          </cell>
          <cell r="I2896">
            <v>46019</v>
          </cell>
          <cell r="J2896">
            <v>-177.18</v>
          </cell>
        </row>
        <row r="2897">
          <cell r="C2897" t="str">
            <v>推广订单扣款</v>
          </cell>
        </row>
        <row r="2897">
          <cell r="H2897" t="str">
            <v>启点店</v>
          </cell>
          <cell r="I2897">
            <v>46019</v>
          </cell>
          <cell r="J2897">
            <v>-136.9</v>
          </cell>
        </row>
        <row r="2898">
          <cell r="C2898" t="str">
            <v>推广订单扣款</v>
          </cell>
        </row>
        <row r="2898">
          <cell r="H2898" t="str">
            <v>百捷店</v>
          </cell>
          <cell r="I2898">
            <v>46019</v>
          </cell>
          <cell r="J2898">
            <v>-91.88</v>
          </cell>
        </row>
        <row r="2899">
          <cell r="C2899" t="str">
            <v>推广订单扣款</v>
          </cell>
        </row>
        <row r="2899">
          <cell r="H2899" t="str">
            <v>成华店</v>
          </cell>
          <cell r="I2899">
            <v>46019</v>
          </cell>
          <cell r="J2899">
            <v>-133.73</v>
          </cell>
        </row>
        <row r="2900">
          <cell r="C2900" t="str">
            <v>推广订单扣款</v>
          </cell>
        </row>
        <row r="2900">
          <cell r="H2900" t="str">
            <v>黄雁村店</v>
          </cell>
          <cell r="I2900">
            <v>46019</v>
          </cell>
          <cell r="J2900">
            <v>-329.62</v>
          </cell>
        </row>
        <row r="2901">
          <cell r="C2901" t="str">
            <v>推广订单扣款</v>
          </cell>
        </row>
        <row r="2901">
          <cell r="H2901" t="str">
            <v>诚毅店</v>
          </cell>
          <cell r="I2901">
            <v>46019</v>
          </cell>
          <cell r="J2901">
            <v>-250.64</v>
          </cell>
        </row>
        <row r="2902">
          <cell r="C2902" t="str">
            <v>推广订单扣款</v>
          </cell>
        </row>
        <row r="2902">
          <cell r="H2902" t="str">
            <v>济南店</v>
          </cell>
          <cell r="I2902">
            <v>46019</v>
          </cell>
          <cell r="J2902">
            <v>-261.55</v>
          </cell>
        </row>
        <row r="2903">
          <cell r="C2903" t="str">
            <v>推广订单扣款</v>
          </cell>
        </row>
        <row r="2903">
          <cell r="H2903" t="str">
            <v>大坪店</v>
          </cell>
          <cell r="I2903">
            <v>46019</v>
          </cell>
          <cell r="J2903">
            <v>-271.5</v>
          </cell>
        </row>
        <row r="2904">
          <cell r="C2904" t="str">
            <v>推广订单扣款</v>
          </cell>
        </row>
        <row r="2904">
          <cell r="H2904" t="str">
            <v>观桥店</v>
          </cell>
          <cell r="I2904">
            <v>46019</v>
          </cell>
          <cell r="J2904">
            <v>-106.7</v>
          </cell>
        </row>
        <row r="2905">
          <cell r="C2905" t="str">
            <v>推广订单扣款</v>
          </cell>
        </row>
        <row r="2905">
          <cell r="H2905" t="str">
            <v>文昌店</v>
          </cell>
          <cell r="I2905">
            <v>46019</v>
          </cell>
          <cell r="J2905">
            <v>-95.52</v>
          </cell>
        </row>
        <row r="2906">
          <cell r="C2906" t="str">
            <v>推广订单扣款</v>
          </cell>
        </row>
        <row r="2906">
          <cell r="H2906" t="str">
            <v>高新店</v>
          </cell>
          <cell r="I2906">
            <v>46019</v>
          </cell>
          <cell r="J2906">
            <v>-143.7</v>
          </cell>
        </row>
        <row r="2907">
          <cell r="C2907" t="str">
            <v>推广订单扣款</v>
          </cell>
        </row>
        <row r="2907">
          <cell r="H2907" t="str">
            <v>湖里店</v>
          </cell>
          <cell r="I2907">
            <v>46019</v>
          </cell>
          <cell r="J2907">
            <v>-190.18</v>
          </cell>
        </row>
        <row r="2908">
          <cell r="C2908" t="str">
            <v>推广订单扣款</v>
          </cell>
        </row>
        <row r="2908">
          <cell r="H2908" t="str">
            <v>金牛店</v>
          </cell>
          <cell r="I2908">
            <v>46019</v>
          </cell>
          <cell r="J2908">
            <v>-103.43</v>
          </cell>
        </row>
        <row r="2909">
          <cell r="C2909" t="str">
            <v>推广订单扣款</v>
          </cell>
        </row>
        <row r="2909">
          <cell r="H2909" t="str">
            <v>武侯店</v>
          </cell>
          <cell r="I2909">
            <v>46019</v>
          </cell>
          <cell r="J2909">
            <v>-67.21</v>
          </cell>
        </row>
        <row r="2910">
          <cell r="C2910" t="str">
            <v>推广订单扣款</v>
          </cell>
        </row>
        <row r="2910">
          <cell r="H2910" t="str">
            <v>青羊店</v>
          </cell>
          <cell r="I2910">
            <v>46019</v>
          </cell>
          <cell r="J2910">
            <v>-63.85</v>
          </cell>
        </row>
        <row r="2911">
          <cell r="C2911" t="str">
            <v>推广订单扣款</v>
          </cell>
        </row>
        <row r="2911">
          <cell r="H2911" t="str">
            <v>华信店</v>
          </cell>
          <cell r="I2911">
            <v>46019</v>
          </cell>
          <cell r="J2911">
            <v>-155.57</v>
          </cell>
        </row>
        <row r="2912">
          <cell r="C2912" t="str">
            <v>推广订单扣款</v>
          </cell>
        </row>
        <row r="2912">
          <cell r="H2912" t="str">
            <v>滨江店</v>
          </cell>
          <cell r="I2912">
            <v>46019</v>
          </cell>
          <cell r="J2912">
            <v>-203.45</v>
          </cell>
        </row>
        <row r="2913">
          <cell r="C2913" t="str">
            <v>推广订单扣款</v>
          </cell>
        </row>
        <row r="2913">
          <cell r="H2913" t="str">
            <v>观音桥店</v>
          </cell>
          <cell r="I2913">
            <v>46019</v>
          </cell>
          <cell r="J2913">
            <v>-401.02</v>
          </cell>
        </row>
        <row r="2914">
          <cell r="C2914" t="str">
            <v>推广订单扣款</v>
          </cell>
        </row>
        <row r="2914">
          <cell r="H2914" t="str">
            <v>首南店</v>
          </cell>
          <cell r="I2914">
            <v>46019</v>
          </cell>
          <cell r="J2914">
            <v>-156.78</v>
          </cell>
        </row>
        <row r="2915">
          <cell r="C2915" t="str">
            <v>推广订单扣款</v>
          </cell>
        </row>
        <row r="2915">
          <cell r="H2915" t="str">
            <v>西山店</v>
          </cell>
          <cell r="I2915">
            <v>46019</v>
          </cell>
          <cell r="J2915">
            <v>-208.21</v>
          </cell>
        </row>
        <row r="2916">
          <cell r="C2916" t="str">
            <v>推广订单扣款</v>
          </cell>
        </row>
        <row r="2916">
          <cell r="H2916" t="str">
            <v>余杭店</v>
          </cell>
          <cell r="I2916">
            <v>46019</v>
          </cell>
          <cell r="J2916">
            <v>-207.43</v>
          </cell>
        </row>
        <row r="2917">
          <cell r="C2917" t="str">
            <v>推广订单扣款</v>
          </cell>
        </row>
        <row r="2917">
          <cell r="H2917" t="str">
            <v>凤城二路店</v>
          </cell>
          <cell r="I2917">
            <v>46019</v>
          </cell>
          <cell r="J2917">
            <v>-458.58</v>
          </cell>
        </row>
        <row r="2918">
          <cell r="C2918" t="str">
            <v>推广账户自动充值</v>
          </cell>
        </row>
        <row r="2918">
          <cell r="H2918" t="str">
            <v>诚毅店</v>
          </cell>
          <cell r="I2918">
            <v>46019</v>
          </cell>
          <cell r="J2918">
            <v>200</v>
          </cell>
        </row>
        <row r="2919">
          <cell r="C2919" t="str">
            <v>推广账户自动充值</v>
          </cell>
        </row>
        <row r="2919">
          <cell r="H2919" t="str">
            <v>济南店</v>
          </cell>
          <cell r="I2919">
            <v>46019</v>
          </cell>
          <cell r="J2919">
            <v>200</v>
          </cell>
        </row>
        <row r="2920">
          <cell r="C2920" t="str">
            <v>推广账户自动充值</v>
          </cell>
        </row>
        <row r="2920">
          <cell r="H2920" t="str">
            <v>五华店</v>
          </cell>
          <cell r="I2920">
            <v>46019</v>
          </cell>
          <cell r="J2920">
            <v>200</v>
          </cell>
        </row>
        <row r="2921">
          <cell r="C2921" t="str">
            <v>推广账户自动充值</v>
          </cell>
        </row>
        <row r="2921">
          <cell r="H2921" t="str">
            <v>凤城二路店</v>
          </cell>
          <cell r="I2921">
            <v>46019</v>
          </cell>
          <cell r="J2921">
            <v>200</v>
          </cell>
        </row>
        <row r="2922">
          <cell r="C2922" t="str">
            <v>推广账户自动充值</v>
          </cell>
        </row>
        <row r="2922">
          <cell r="H2922" t="str">
            <v>首山店</v>
          </cell>
          <cell r="I2922">
            <v>46019</v>
          </cell>
          <cell r="J2922">
            <v>200</v>
          </cell>
        </row>
        <row r="2923">
          <cell r="C2923" t="str">
            <v>推广账户自动充值</v>
          </cell>
        </row>
        <row r="2923">
          <cell r="H2923" t="str">
            <v>西山店</v>
          </cell>
          <cell r="I2923">
            <v>46019</v>
          </cell>
          <cell r="J2923">
            <v>200</v>
          </cell>
        </row>
        <row r="2924">
          <cell r="C2924" t="str">
            <v>推广账户自动充值</v>
          </cell>
        </row>
        <row r="2924">
          <cell r="H2924" t="str">
            <v>黄雁村店</v>
          </cell>
          <cell r="I2924">
            <v>46019</v>
          </cell>
          <cell r="J2924">
            <v>200</v>
          </cell>
        </row>
        <row r="2925">
          <cell r="C2925" t="str">
            <v>推广账户自动充值</v>
          </cell>
        </row>
        <row r="2925">
          <cell r="H2925" t="str">
            <v>观音桥店</v>
          </cell>
          <cell r="I2925">
            <v>46019</v>
          </cell>
          <cell r="J2925">
            <v>200</v>
          </cell>
        </row>
        <row r="2926">
          <cell r="C2926" t="str">
            <v>推广账户自动充值</v>
          </cell>
        </row>
        <row r="2926">
          <cell r="H2926" t="str">
            <v>文昌店</v>
          </cell>
          <cell r="I2926">
            <v>46019</v>
          </cell>
          <cell r="J2926">
            <v>200</v>
          </cell>
        </row>
        <row r="2927">
          <cell r="C2927" t="str">
            <v>推广账户自动充值</v>
          </cell>
        </row>
        <row r="2927">
          <cell r="H2927" t="str">
            <v>观桥店</v>
          </cell>
          <cell r="I2927">
            <v>46019</v>
          </cell>
          <cell r="J2927">
            <v>200</v>
          </cell>
        </row>
        <row r="2928">
          <cell r="C2928" t="str">
            <v>推广账户自动充值</v>
          </cell>
        </row>
        <row r="2928">
          <cell r="H2928" t="str">
            <v>长沙店</v>
          </cell>
          <cell r="I2928">
            <v>46019</v>
          </cell>
          <cell r="J2928">
            <v>200</v>
          </cell>
        </row>
        <row r="2929">
          <cell r="C2929" t="str">
            <v>推广账户自动充值</v>
          </cell>
        </row>
        <row r="2929">
          <cell r="H2929" t="str">
            <v>东海店</v>
          </cell>
          <cell r="I2929">
            <v>46019</v>
          </cell>
          <cell r="J2929">
            <v>200</v>
          </cell>
        </row>
        <row r="2930">
          <cell r="C2930" t="str">
            <v>推广账户自动充值</v>
          </cell>
        </row>
        <row r="2930">
          <cell r="H2930" t="str">
            <v>海口店</v>
          </cell>
          <cell r="I2930">
            <v>46019</v>
          </cell>
          <cell r="J2930">
            <v>200</v>
          </cell>
        </row>
        <row r="2931">
          <cell r="C2931" t="str">
            <v>推广账户自动充值</v>
          </cell>
        </row>
        <row r="2931">
          <cell r="H2931" t="str">
            <v>五路口店</v>
          </cell>
          <cell r="I2931">
            <v>46019</v>
          </cell>
          <cell r="J2931">
            <v>200</v>
          </cell>
        </row>
        <row r="2932">
          <cell r="C2932" t="str">
            <v>推广订单扣款</v>
          </cell>
        </row>
        <row r="2932">
          <cell r="H2932" t="str">
            <v>华信店</v>
          </cell>
          <cell r="I2932">
            <v>46020</v>
          </cell>
          <cell r="J2932">
            <v>-161.09</v>
          </cell>
        </row>
        <row r="2933">
          <cell r="C2933" t="str">
            <v>推广订单扣款</v>
          </cell>
        </row>
        <row r="2933">
          <cell r="H2933" t="str">
            <v>湖里店</v>
          </cell>
          <cell r="I2933">
            <v>46020</v>
          </cell>
          <cell r="J2933">
            <v>-134.81</v>
          </cell>
        </row>
        <row r="2934">
          <cell r="C2934" t="str">
            <v>推广订单扣款</v>
          </cell>
        </row>
        <row r="2934">
          <cell r="H2934" t="str">
            <v>东新店</v>
          </cell>
          <cell r="I2934">
            <v>46020</v>
          </cell>
          <cell r="J2934">
            <v>-228.86</v>
          </cell>
        </row>
        <row r="2935">
          <cell r="C2935" t="str">
            <v>推广订单扣款</v>
          </cell>
        </row>
        <row r="2935">
          <cell r="H2935" t="str">
            <v>启点店</v>
          </cell>
          <cell r="I2935">
            <v>46020</v>
          </cell>
          <cell r="J2935">
            <v>-110.54</v>
          </cell>
        </row>
        <row r="2936">
          <cell r="C2936" t="str">
            <v>推广订单扣款</v>
          </cell>
        </row>
        <row r="2936">
          <cell r="H2936" t="str">
            <v>高新店</v>
          </cell>
          <cell r="I2936">
            <v>46020</v>
          </cell>
          <cell r="J2936">
            <v>-152.49</v>
          </cell>
        </row>
        <row r="2937">
          <cell r="C2937" t="str">
            <v>推广订单扣款</v>
          </cell>
        </row>
        <row r="2937">
          <cell r="H2937" t="str">
            <v>成华店</v>
          </cell>
          <cell r="I2937">
            <v>46020</v>
          </cell>
          <cell r="J2937">
            <v>-94.13</v>
          </cell>
        </row>
        <row r="2938">
          <cell r="C2938" t="str">
            <v>推广订单扣款</v>
          </cell>
        </row>
        <row r="2938">
          <cell r="H2938" t="str">
            <v>金牛店</v>
          </cell>
          <cell r="I2938">
            <v>46020</v>
          </cell>
          <cell r="J2938">
            <v>-117.56</v>
          </cell>
        </row>
        <row r="2939">
          <cell r="C2939" t="str">
            <v>推广订单扣款</v>
          </cell>
        </row>
        <row r="2939">
          <cell r="H2939" t="str">
            <v>西山店</v>
          </cell>
          <cell r="I2939">
            <v>46020</v>
          </cell>
          <cell r="J2939">
            <v>-176.41</v>
          </cell>
        </row>
        <row r="2940">
          <cell r="C2940" t="str">
            <v>推广订单扣款</v>
          </cell>
        </row>
        <row r="2940">
          <cell r="H2940" t="str">
            <v>沙坪坝店</v>
          </cell>
          <cell r="I2940">
            <v>46020</v>
          </cell>
          <cell r="J2940">
            <v>-98.46</v>
          </cell>
        </row>
        <row r="2941">
          <cell r="C2941" t="str">
            <v>推广订单扣款</v>
          </cell>
        </row>
        <row r="2941">
          <cell r="H2941" t="str">
            <v>凤城二路店</v>
          </cell>
          <cell r="I2941">
            <v>46020</v>
          </cell>
          <cell r="J2941">
            <v>-401.76</v>
          </cell>
        </row>
        <row r="2942">
          <cell r="C2942" t="str">
            <v>推广订单扣款</v>
          </cell>
        </row>
        <row r="2942">
          <cell r="H2942" t="str">
            <v>大坪店</v>
          </cell>
          <cell r="I2942">
            <v>46020</v>
          </cell>
          <cell r="J2942">
            <v>-281.22</v>
          </cell>
        </row>
        <row r="2943">
          <cell r="C2943" t="str">
            <v>推广订单扣款</v>
          </cell>
        </row>
        <row r="2943">
          <cell r="H2943" t="str">
            <v>五华店</v>
          </cell>
          <cell r="I2943">
            <v>46020</v>
          </cell>
          <cell r="J2943">
            <v>-100.47</v>
          </cell>
        </row>
        <row r="2944">
          <cell r="C2944" t="str">
            <v>推广订单扣款</v>
          </cell>
        </row>
        <row r="2944">
          <cell r="H2944" t="str">
            <v>官渡店</v>
          </cell>
          <cell r="I2944">
            <v>46020</v>
          </cell>
          <cell r="J2944">
            <v>-180.66</v>
          </cell>
        </row>
        <row r="2945">
          <cell r="C2945" t="str">
            <v>推广订单扣款</v>
          </cell>
        </row>
        <row r="2945">
          <cell r="H2945" t="str">
            <v>百捷店</v>
          </cell>
          <cell r="I2945">
            <v>46020</v>
          </cell>
          <cell r="J2945">
            <v>-120</v>
          </cell>
        </row>
        <row r="2946">
          <cell r="C2946" t="str">
            <v>推广订单扣款</v>
          </cell>
        </row>
        <row r="2946">
          <cell r="H2946" t="str">
            <v>济南店</v>
          </cell>
          <cell r="I2946">
            <v>46020</v>
          </cell>
          <cell r="J2946">
            <v>-228.09</v>
          </cell>
        </row>
        <row r="2947">
          <cell r="C2947" t="str">
            <v>推广订单扣款</v>
          </cell>
        </row>
        <row r="2947">
          <cell r="H2947" t="str">
            <v>观音桥店</v>
          </cell>
          <cell r="I2947">
            <v>46020</v>
          </cell>
          <cell r="J2947">
            <v>-380.88</v>
          </cell>
        </row>
        <row r="2948">
          <cell r="C2948" t="str">
            <v>推广订单扣款</v>
          </cell>
        </row>
        <row r="2948">
          <cell r="H2948" t="str">
            <v>长沙店</v>
          </cell>
          <cell r="I2948">
            <v>46020</v>
          </cell>
          <cell r="J2948">
            <v>-139.79</v>
          </cell>
        </row>
        <row r="2949">
          <cell r="C2949" t="str">
            <v>推广订单扣款</v>
          </cell>
        </row>
        <row r="2949">
          <cell r="H2949" t="str">
            <v>洛江店</v>
          </cell>
          <cell r="I2949">
            <v>46020</v>
          </cell>
          <cell r="J2949">
            <v>-44.41</v>
          </cell>
        </row>
        <row r="2950">
          <cell r="C2950" t="str">
            <v>推广账户自动充值</v>
          </cell>
        </row>
        <row r="2950">
          <cell r="H2950" t="str">
            <v>五路口店</v>
          </cell>
          <cell r="I2950">
            <v>46020</v>
          </cell>
          <cell r="J2950">
            <v>200</v>
          </cell>
        </row>
        <row r="2951">
          <cell r="C2951" t="str">
            <v>推广订单扣款</v>
          </cell>
        </row>
        <row r="2951">
          <cell r="H2951" t="str">
            <v>五路口店</v>
          </cell>
          <cell r="I2951">
            <v>46020</v>
          </cell>
          <cell r="J2951">
            <v>-200</v>
          </cell>
        </row>
        <row r="2952">
          <cell r="C2952" t="str">
            <v>推广订单扣款</v>
          </cell>
        </row>
        <row r="2952">
          <cell r="H2952" t="str">
            <v>青羊店</v>
          </cell>
          <cell r="I2952">
            <v>46020</v>
          </cell>
          <cell r="J2952">
            <v>-93.31</v>
          </cell>
        </row>
        <row r="2953">
          <cell r="C2953" t="str">
            <v>推广订单扣款</v>
          </cell>
        </row>
        <row r="2953">
          <cell r="H2953" t="str">
            <v>武侯店</v>
          </cell>
          <cell r="I2953">
            <v>46020</v>
          </cell>
          <cell r="J2953">
            <v>-42.52</v>
          </cell>
        </row>
        <row r="2954">
          <cell r="C2954" t="str">
            <v>推广订单扣款</v>
          </cell>
        </row>
        <row r="2954">
          <cell r="H2954" t="str">
            <v>鼓楼店</v>
          </cell>
          <cell r="I2954">
            <v>46020</v>
          </cell>
          <cell r="J2954">
            <v>-272.31</v>
          </cell>
        </row>
        <row r="2955">
          <cell r="C2955" t="str">
            <v>推广订单扣款</v>
          </cell>
        </row>
        <row r="2955">
          <cell r="H2955" t="str">
            <v>黄雁村店</v>
          </cell>
          <cell r="I2955">
            <v>46020</v>
          </cell>
          <cell r="J2955">
            <v>-317.56</v>
          </cell>
        </row>
        <row r="2956">
          <cell r="C2956" t="str">
            <v>推广订单扣款</v>
          </cell>
        </row>
        <row r="2956">
          <cell r="H2956" t="str">
            <v>西湖店</v>
          </cell>
          <cell r="I2956">
            <v>46020</v>
          </cell>
          <cell r="J2956">
            <v>-123.77</v>
          </cell>
        </row>
        <row r="2957">
          <cell r="C2957" t="str">
            <v>推广订单扣款</v>
          </cell>
        </row>
        <row r="2957">
          <cell r="H2957" t="str">
            <v>百丈店</v>
          </cell>
          <cell r="I2957">
            <v>46020</v>
          </cell>
          <cell r="J2957">
            <v>-113.85</v>
          </cell>
        </row>
        <row r="2958">
          <cell r="C2958" t="str">
            <v>推广订单扣款</v>
          </cell>
        </row>
        <row r="2958">
          <cell r="H2958" t="str">
            <v>文昌店</v>
          </cell>
          <cell r="I2958">
            <v>46020</v>
          </cell>
          <cell r="J2958">
            <v>-123.21</v>
          </cell>
        </row>
        <row r="2959">
          <cell r="C2959" t="str">
            <v>推广订单扣款</v>
          </cell>
        </row>
        <row r="2959">
          <cell r="H2959" t="str">
            <v>观桥店</v>
          </cell>
          <cell r="I2959">
            <v>46020</v>
          </cell>
          <cell r="J2959">
            <v>-184.98</v>
          </cell>
        </row>
        <row r="2960">
          <cell r="C2960" t="str">
            <v>推广订单扣款</v>
          </cell>
        </row>
        <row r="2960">
          <cell r="H2960" t="str">
            <v>海口店</v>
          </cell>
          <cell r="I2960">
            <v>46020</v>
          </cell>
          <cell r="J2960">
            <v>-200</v>
          </cell>
        </row>
        <row r="2961">
          <cell r="C2961" t="str">
            <v>推广账户自动充值</v>
          </cell>
        </row>
        <row r="2961">
          <cell r="H2961" t="str">
            <v>诚毅店</v>
          </cell>
          <cell r="I2961">
            <v>46020</v>
          </cell>
          <cell r="J2961">
            <v>200</v>
          </cell>
        </row>
        <row r="2962">
          <cell r="C2962" t="str">
            <v>推广订单扣款</v>
          </cell>
        </row>
        <row r="2962">
          <cell r="H2962" t="str">
            <v>诚毅店</v>
          </cell>
          <cell r="I2962">
            <v>46020</v>
          </cell>
          <cell r="J2962">
            <v>-223.92</v>
          </cell>
        </row>
        <row r="2963">
          <cell r="C2963" t="str">
            <v>推广订单扣款</v>
          </cell>
        </row>
        <row r="2963">
          <cell r="H2963" t="str">
            <v>首山店</v>
          </cell>
          <cell r="I2963">
            <v>46020</v>
          </cell>
          <cell r="J2963">
            <v>-143.09</v>
          </cell>
        </row>
        <row r="2964">
          <cell r="C2964" t="str">
            <v>推广订单扣款</v>
          </cell>
        </row>
        <row r="2964">
          <cell r="H2964" t="str">
            <v>首南店</v>
          </cell>
          <cell r="I2964">
            <v>46020</v>
          </cell>
          <cell r="J2964">
            <v>-144.39</v>
          </cell>
        </row>
        <row r="2965">
          <cell r="C2965" t="str">
            <v>推广订单扣款</v>
          </cell>
        </row>
        <row r="2965">
          <cell r="H2965" t="str">
            <v>余杭店</v>
          </cell>
          <cell r="I2965">
            <v>46020</v>
          </cell>
          <cell r="J2965">
            <v>-143.54</v>
          </cell>
        </row>
        <row r="2966">
          <cell r="C2966" t="str">
            <v>推广订单扣款</v>
          </cell>
        </row>
        <row r="2966">
          <cell r="H2966" t="str">
            <v>东海店</v>
          </cell>
          <cell r="I2966">
            <v>46020</v>
          </cell>
          <cell r="J2966">
            <v>-163.56</v>
          </cell>
        </row>
        <row r="2967">
          <cell r="C2967" t="str">
            <v>推广订单扣款</v>
          </cell>
        </row>
        <row r="2967">
          <cell r="H2967" t="str">
            <v>文灶店</v>
          </cell>
          <cell r="I2967">
            <v>46020</v>
          </cell>
          <cell r="J2967">
            <v>-182.51</v>
          </cell>
        </row>
        <row r="2968">
          <cell r="C2968" t="str">
            <v>推广订单扣款</v>
          </cell>
        </row>
        <row r="2968">
          <cell r="H2968" t="str">
            <v>滨江店</v>
          </cell>
          <cell r="I2968">
            <v>46020</v>
          </cell>
          <cell r="J2968">
            <v>-263.83</v>
          </cell>
        </row>
        <row r="2969">
          <cell r="C2969" t="str">
            <v>推广订单扣款</v>
          </cell>
        </row>
        <row r="2969">
          <cell r="H2969" t="str">
            <v>华信店</v>
          </cell>
          <cell r="I2969">
            <v>46021</v>
          </cell>
          <cell r="J2969">
            <v>-200</v>
          </cell>
        </row>
        <row r="2970">
          <cell r="C2970" t="str">
            <v>推广订单扣款</v>
          </cell>
        </row>
        <row r="2970">
          <cell r="H2970" t="str">
            <v>湖里店</v>
          </cell>
          <cell r="I2970">
            <v>46021</v>
          </cell>
          <cell r="J2970">
            <v>-205.36</v>
          </cell>
        </row>
        <row r="2971">
          <cell r="C2971" t="str">
            <v>推广订单扣款</v>
          </cell>
        </row>
        <row r="2971">
          <cell r="H2971" t="str">
            <v>东新店</v>
          </cell>
          <cell r="I2971">
            <v>46021</v>
          </cell>
          <cell r="J2971">
            <v>-153.73</v>
          </cell>
        </row>
        <row r="2972">
          <cell r="C2972" t="str">
            <v>推广订单扣款</v>
          </cell>
        </row>
        <row r="2972">
          <cell r="H2972" t="str">
            <v>启点店</v>
          </cell>
          <cell r="I2972">
            <v>46021</v>
          </cell>
          <cell r="J2972">
            <v>-114.91</v>
          </cell>
        </row>
        <row r="2973">
          <cell r="C2973" t="str">
            <v>推广订单扣款</v>
          </cell>
        </row>
        <row r="2973">
          <cell r="H2973" t="str">
            <v>高新店</v>
          </cell>
          <cell r="I2973">
            <v>46021</v>
          </cell>
          <cell r="J2973">
            <v>-158.41</v>
          </cell>
        </row>
        <row r="2974">
          <cell r="C2974" t="str">
            <v>推广订单扣款</v>
          </cell>
        </row>
        <row r="2974">
          <cell r="H2974" t="str">
            <v>成华店</v>
          </cell>
          <cell r="I2974">
            <v>46021</v>
          </cell>
          <cell r="J2974">
            <v>-57.86</v>
          </cell>
        </row>
        <row r="2975">
          <cell r="C2975" t="str">
            <v>推广订单扣款</v>
          </cell>
        </row>
        <row r="2975">
          <cell r="H2975" t="str">
            <v>金牛店</v>
          </cell>
          <cell r="I2975">
            <v>46021</v>
          </cell>
          <cell r="J2975">
            <v>-30.5</v>
          </cell>
        </row>
        <row r="2976">
          <cell r="C2976" t="str">
            <v>推广订单扣款</v>
          </cell>
        </row>
        <row r="2976">
          <cell r="H2976" t="str">
            <v>西山店</v>
          </cell>
          <cell r="I2976">
            <v>46021</v>
          </cell>
          <cell r="J2976">
            <v>-164.45</v>
          </cell>
        </row>
        <row r="2977">
          <cell r="C2977" t="str">
            <v>推广订单扣款</v>
          </cell>
        </row>
        <row r="2977">
          <cell r="H2977" t="str">
            <v>沙坪坝店</v>
          </cell>
          <cell r="I2977">
            <v>46021</v>
          </cell>
          <cell r="J2977">
            <v>-120.54</v>
          </cell>
        </row>
        <row r="2978">
          <cell r="C2978" t="str">
            <v>推广订单扣款</v>
          </cell>
        </row>
        <row r="2978">
          <cell r="H2978" t="str">
            <v>凤城二路店</v>
          </cell>
          <cell r="I2978">
            <v>46021</v>
          </cell>
          <cell r="J2978">
            <v>-300</v>
          </cell>
        </row>
        <row r="2979">
          <cell r="C2979" t="str">
            <v>推广订单扣款</v>
          </cell>
        </row>
        <row r="2979">
          <cell r="H2979" t="str">
            <v>大坪店</v>
          </cell>
          <cell r="I2979">
            <v>46021</v>
          </cell>
          <cell r="J2979">
            <v>-200</v>
          </cell>
        </row>
        <row r="2980">
          <cell r="C2980" t="str">
            <v>推广订单扣款</v>
          </cell>
        </row>
        <row r="2980">
          <cell r="H2980" t="str">
            <v>五华店</v>
          </cell>
          <cell r="I2980">
            <v>46021</v>
          </cell>
          <cell r="J2980">
            <v>-130.24</v>
          </cell>
        </row>
        <row r="2981">
          <cell r="C2981" t="str">
            <v>推广订单扣款</v>
          </cell>
        </row>
        <row r="2981">
          <cell r="H2981" t="str">
            <v>官渡店</v>
          </cell>
          <cell r="I2981">
            <v>46021</v>
          </cell>
          <cell r="J2981">
            <v>-139.26</v>
          </cell>
        </row>
        <row r="2982">
          <cell r="C2982" t="str">
            <v>推广账户自动充值</v>
          </cell>
        </row>
        <row r="2982">
          <cell r="H2982" t="str">
            <v>百捷店</v>
          </cell>
          <cell r="I2982">
            <v>46021</v>
          </cell>
          <cell r="J2982">
            <v>200</v>
          </cell>
        </row>
        <row r="2983">
          <cell r="C2983" t="str">
            <v>推广订单扣款</v>
          </cell>
        </row>
        <row r="2983">
          <cell r="H2983" t="str">
            <v>百捷店</v>
          </cell>
          <cell r="I2983">
            <v>46021</v>
          </cell>
          <cell r="J2983">
            <v>-51.93</v>
          </cell>
        </row>
        <row r="2984">
          <cell r="C2984" t="str">
            <v>推广订单扣款</v>
          </cell>
        </row>
        <row r="2984">
          <cell r="H2984" t="str">
            <v>济南店</v>
          </cell>
          <cell r="I2984">
            <v>46021</v>
          </cell>
          <cell r="J2984">
            <v>-219.39</v>
          </cell>
        </row>
        <row r="2985">
          <cell r="C2985" t="str">
            <v>推广订单扣款</v>
          </cell>
        </row>
        <row r="2985">
          <cell r="H2985" t="str">
            <v>观音桥店</v>
          </cell>
          <cell r="I2985">
            <v>46021</v>
          </cell>
          <cell r="J2985">
            <v>-200</v>
          </cell>
        </row>
        <row r="2986">
          <cell r="C2986" t="str">
            <v>推广订单扣款</v>
          </cell>
        </row>
        <row r="2986">
          <cell r="H2986" t="str">
            <v>长沙店</v>
          </cell>
          <cell r="I2986">
            <v>46021</v>
          </cell>
          <cell r="J2986">
            <v>-201.03</v>
          </cell>
        </row>
        <row r="2987">
          <cell r="C2987" t="str">
            <v>推广订单扣款</v>
          </cell>
        </row>
        <row r="2987">
          <cell r="H2987" t="str">
            <v>洛江店</v>
          </cell>
          <cell r="I2987">
            <v>46021</v>
          </cell>
          <cell r="J2987">
            <v>-72.55</v>
          </cell>
        </row>
        <row r="2988">
          <cell r="C2988" t="str">
            <v>推广订单扣款</v>
          </cell>
        </row>
        <row r="2988">
          <cell r="H2988" t="str">
            <v>五路口店</v>
          </cell>
          <cell r="I2988">
            <v>46021</v>
          </cell>
          <cell r="J2988">
            <v>-200</v>
          </cell>
        </row>
        <row r="2989">
          <cell r="C2989" t="str">
            <v>推广订单扣款</v>
          </cell>
        </row>
        <row r="2989">
          <cell r="H2989" t="str">
            <v>青羊店</v>
          </cell>
          <cell r="I2989">
            <v>46021</v>
          </cell>
          <cell r="J2989">
            <v>-59.18</v>
          </cell>
        </row>
        <row r="2990">
          <cell r="C2990" t="str">
            <v>推广订单扣款</v>
          </cell>
        </row>
        <row r="2990">
          <cell r="H2990" t="str">
            <v>武侯店</v>
          </cell>
          <cell r="I2990">
            <v>46021</v>
          </cell>
          <cell r="J2990">
            <v>-42.28</v>
          </cell>
        </row>
        <row r="2991">
          <cell r="C2991" t="str">
            <v>推广订单扣款</v>
          </cell>
        </row>
        <row r="2991">
          <cell r="H2991" t="str">
            <v>鼓楼店</v>
          </cell>
          <cell r="I2991">
            <v>46021</v>
          </cell>
          <cell r="J2991">
            <v>-229.21</v>
          </cell>
        </row>
        <row r="2992">
          <cell r="C2992" t="str">
            <v>推广订单扣款</v>
          </cell>
        </row>
        <row r="2992">
          <cell r="H2992" t="str">
            <v>黄雁村店</v>
          </cell>
          <cell r="I2992">
            <v>46021</v>
          </cell>
          <cell r="J2992">
            <v>-200</v>
          </cell>
        </row>
        <row r="2993">
          <cell r="C2993" t="str">
            <v>推广订单扣款</v>
          </cell>
        </row>
        <row r="2993">
          <cell r="H2993" t="str">
            <v>西湖店</v>
          </cell>
          <cell r="I2993">
            <v>46021</v>
          </cell>
          <cell r="J2993">
            <v>-137.59</v>
          </cell>
        </row>
        <row r="2994">
          <cell r="C2994" t="str">
            <v>推广订单扣款</v>
          </cell>
        </row>
        <row r="2994">
          <cell r="H2994" t="str">
            <v>百丈店</v>
          </cell>
          <cell r="I2994">
            <v>46021</v>
          </cell>
          <cell r="J2994">
            <v>-125.09</v>
          </cell>
        </row>
        <row r="2995">
          <cell r="C2995" t="str">
            <v>推广订单扣款</v>
          </cell>
        </row>
        <row r="2995">
          <cell r="H2995" t="str">
            <v>文昌店</v>
          </cell>
          <cell r="I2995">
            <v>46021</v>
          </cell>
          <cell r="J2995">
            <v>-120.87</v>
          </cell>
        </row>
        <row r="2996">
          <cell r="C2996" t="str">
            <v>推广订单扣款</v>
          </cell>
        </row>
        <row r="2996">
          <cell r="H2996" t="str">
            <v>观桥店</v>
          </cell>
          <cell r="I2996">
            <v>46021</v>
          </cell>
          <cell r="J2996">
            <v>-223.04</v>
          </cell>
        </row>
        <row r="2997">
          <cell r="C2997" t="str">
            <v>推广订单扣款</v>
          </cell>
        </row>
        <row r="2997">
          <cell r="H2997" t="str">
            <v>海口店</v>
          </cell>
          <cell r="I2997">
            <v>46021</v>
          </cell>
          <cell r="J2997">
            <v>-200</v>
          </cell>
        </row>
        <row r="2998">
          <cell r="C2998" t="str">
            <v>推广订单扣款</v>
          </cell>
        </row>
        <row r="2998">
          <cell r="H2998" t="str">
            <v>诚毅店</v>
          </cell>
          <cell r="I2998">
            <v>46021</v>
          </cell>
          <cell r="J2998">
            <v>-233.29</v>
          </cell>
        </row>
        <row r="2999">
          <cell r="C2999" t="str">
            <v>推广订单扣款</v>
          </cell>
        </row>
        <row r="2999">
          <cell r="H2999" t="str">
            <v>首山店</v>
          </cell>
          <cell r="I2999">
            <v>46021</v>
          </cell>
          <cell r="J2999">
            <v>-133.28</v>
          </cell>
        </row>
        <row r="3000">
          <cell r="C3000" t="str">
            <v>推广订单扣款</v>
          </cell>
        </row>
        <row r="3000">
          <cell r="H3000" t="str">
            <v>首南店</v>
          </cell>
          <cell r="I3000">
            <v>46021</v>
          </cell>
          <cell r="J3000">
            <v>-122.38</v>
          </cell>
        </row>
        <row r="3001">
          <cell r="C3001" t="str">
            <v>推广订单扣款</v>
          </cell>
        </row>
        <row r="3001">
          <cell r="H3001" t="str">
            <v>余杭店</v>
          </cell>
          <cell r="I3001">
            <v>46021</v>
          </cell>
          <cell r="J3001">
            <v>-162.47</v>
          </cell>
        </row>
        <row r="3002">
          <cell r="C3002" t="str">
            <v>推广订单扣款</v>
          </cell>
        </row>
        <row r="3002">
          <cell r="H3002" t="str">
            <v>东海店</v>
          </cell>
          <cell r="I3002">
            <v>46021</v>
          </cell>
          <cell r="J3002">
            <v>-124.18</v>
          </cell>
        </row>
        <row r="3003">
          <cell r="C3003" t="str">
            <v>推广订单扣款</v>
          </cell>
        </row>
        <row r="3003">
          <cell r="H3003" t="str">
            <v>文灶店</v>
          </cell>
          <cell r="I3003">
            <v>46021</v>
          </cell>
          <cell r="J3003">
            <v>-207.3</v>
          </cell>
        </row>
        <row r="3004">
          <cell r="C3004" t="str">
            <v>推广订单扣款</v>
          </cell>
        </row>
        <row r="3004">
          <cell r="H3004" t="str">
            <v>滨江店</v>
          </cell>
          <cell r="I3004">
            <v>46021</v>
          </cell>
          <cell r="J3004">
            <v>-200</v>
          </cell>
        </row>
        <row r="3005">
          <cell r="C3005" t="str">
            <v>推广订单扣款</v>
          </cell>
        </row>
        <row r="3005">
          <cell r="H3005" t="str">
            <v>鼓楼店</v>
          </cell>
          <cell r="I3005">
            <v>46022</v>
          </cell>
          <cell r="J3005">
            <v>-185.06</v>
          </cell>
        </row>
        <row r="3006">
          <cell r="C3006" t="str">
            <v>推广订单扣款</v>
          </cell>
        </row>
        <row r="3006">
          <cell r="H3006" t="str">
            <v>西湖店</v>
          </cell>
          <cell r="I3006">
            <v>46022</v>
          </cell>
          <cell r="J3006">
            <v>-92.27</v>
          </cell>
        </row>
        <row r="3007">
          <cell r="C3007" t="str">
            <v>推广订单扣款</v>
          </cell>
        </row>
        <row r="3007">
          <cell r="H3007" t="str">
            <v>首山店</v>
          </cell>
          <cell r="I3007">
            <v>46022</v>
          </cell>
          <cell r="J3007">
            <v>-137.17</v>
          </cell>
        </row>
        <row r="3008">
          <cell r="C3008" t="str">
            <v>推广订单扣款</v>
          </cell>
        </row>
        <row r="3008">
          <cell r="H3008" t="str">
            <v>洛江店</v>
          </cell>
          <cell r="I3008">
            <v>46022</v>
          </cell>
          <cell r="J3008">
            <v>-101.88</v>
          </cell>
        </row>
        <row r="3009">
          <cell r="C3009" t="str">
            <v>推广订单扣款</v>
          </cell>
        </row>
        <row r="3009">
          <cell r="H3009" t="str">
            <v>长沙店</v>
          </cell>
          <cell r="I3009">
            <v>46022</v>
          </cell>
          <cell r="J3009">
            <v>-158.17</v>
          </cell>
        </row>
        <row r="3010">
          <cell r="C3010" t="str">
            <v>推广订单扣款</v>
          </cell>
        </row>
        <row r="3010">
          <cell r="H3010" t="str">
            <v>五路口店</v>
          </cell>
          <cell r="I3010">
            <v>46022</v>
          </cell>
          <cell r="J3010">
            <v>-200</v>
          </cell>
        </row>
        <row r="3011">
          <cell r="C3011" t="str">
            <v>推广订单扣款</v>
          </cell>
        </row>
        <row r="3011">
          <cell r="H3011" t="str">
            <v>百丈店</v>
          </cell>
          <cell r="I3011">
            <v>46022</v>
          </cell>
          <cell r="J3011">
            <v>-171.63</v>
          </cell>
        </row>
        <row r="3012">
          <cell r="C3012" t="str">
            <v>推广订单扣款</v>
          </cell>
        </row>
        <row r="3012">
          <cell r="H3012" t="str">
            <v>五华店</v>
          </cell>
          <cell r="I3012">
            <v>46022</v>
          </cell>
          <cell r="J3012">
            <v>-124.28</v>
          </cell>
        </row>
        <row r="3013">
          <cell r="C3013" t="str">
            <v>推广订单扣款</v>
          </cell>
        </row>
        <row r="3013">
          <cell r="H3013" t="str">
            <v>海口店</v>
          </cell>
          <cell r="I3013">
            <v>46022</v>
          </cell>
          <cell r="J3013">
            <v>-200</v>
          </cell>
        </row>
        <row r="3014">
          <cell r="C3014" t="str">
            <v>推广订单扣款</v>
          </cell>
        </row>
        <row r="3014">
          <cell r="H3014" t="str">
            <v>东新店</v>
          </cell>
          <cell r="I3014">
            <v>46022</v>
          </cell>
          <cell r="J3014">
            <v>-166.52</v>
          </cell>
        </row>
        <row r="3015">
          <cell r="C3015" t="str">
            <v>推广订单扣款</v>
          </cell>
        </row>
        <row r="3015">
          <cell r="H3015" t="str">
            <v>沙坪坝店</v>
          </cell>
          <cell r="I3015">
            <v>46022</v>
          </cell>
          <cell r="J3015">
            <v>-108.24</v>
          </cell>
        </row>
        <row r="3016">
          <cell r="C3016" t="str">
            <v>推广订单扣款</v>
          </cell>
        </row>
        <row r="3016">
          <cell r="H3016" t="str">
            <v>官渡店</v>
          </cell>
          <cell r="I3016">
            <v>46022</v>
          </cell>
          <cell r="J3016">
            <v>-162.03</v>
          </cell>
        </row>
        <row r="3017">
          <cell r="C3017" t="str">
            <v>推广订单扣款</v>
          </cell>
        </row>
        <row r="3017">
          <cell r="H3017" t="str">
            <v>东海店</v>
          </cell>
          <cell r="I3017">
            <v>46022</v>
          </cell>
          <cell r="J3017">
            <v>-162.44</v>
          </cell>
        </row>
        <row r="3018">
          <cell r="C3018" t="str">
            <v>推广订单扣款</v>
          </cell>
        </row>
        <row r="3018">
          <cell r="H3018" t="str">
            <v>文灶店</v>
          </cell>
          <cell r="I3018">
            <v>46022</v>
          </cell>
          <cell r="J3018">
            <v>-226.65</v>
          </cell>
        </row>
        <row r="3019">
          <cell r="C3019" t="str">
            <v>推广订单扣款</v>
          </cell>
        </row>
        <row r="3019">
          <cell r="H3019" t="str">
            <v>百捷店</v>
          </cell>
          <cell r="I3019">
            <v>46022</v>
          </cell>
          <cell r="J3019">
            <v>-250.61</v>
          </cell>
        </row>
        <row r="3020">
          <cell r="C3020" t="str">
            <v>推广订单扣款</v>
          </cell>
        </row>
        <row r="3020">
          <cell r="H3020" t="str">
            <v>启点店</v>
          </cell>
          <cell r="I3020">
            <v>46022</v>
          </cell>
          <cell r="J3020">
            <v>-106.57</v>
          </cell>
        </row>
        <row r="3021">
          <cell r="C3021" t="str">
            <v>推广订单扣款</v>
          </cell>
        </row>
        <row r="3021">
          <cell r="H3021" t="str">
            <v>成华店</v>
          </cell>
          <cell r="I3021">
            <v>46022</v>
          </cell>
          <cell r="J3021">
            <v>-33.38</v>
          </cell>
        </row>
        <row r="3022">
          <cell r="C3022" t="str">
            <v>推广订单扣款</v>
          </cell>
        </row>
        <row r="3022">
          <cell r="H3022" t="str">
            <v>诚毅店</v>
          </cell>
          <cell r="I3022">
            <v>46022</v>
          </cell>
          <cell r="J3022">
            <v>-196.69</v>
          </cell>
        </row>
        <row r="3023">
          <cell r="C3023" t="str">
            <v>推广订单扣款</v>
          </cell>
        </row>
        <row r="3023">
          <cell r="H3023" t="str">
            <v>黄雁村店</v>
          </cell>
          <cell r="I3023">
            <v>46022</v>
          </cell>
          <cell r="J3023">
            <v>-200</v>
          </cell>
        </row>
        <row r="3024">
          <cell r="C3024" t="str">
            <v>推广订单扣款</v>
          </cell>
        </row>
        <row r="3024">
          <cell r="H3024" t="str">
            <v>济南店</v>
          </cell>
          <cell r="I3024">
            <v>46022</v>
          </cell>
          <cell r="J3024">
            <v>-256.83</v>
          </cell>
        </row>
        <row r="3025">
          <cell r="C3025" t="str">
            <v>推广账户自动充值</v>
          </cell>
        </row>
        <row r="3025">
          <cell r="H3025" t="str">
            <v>东海店</v>
          </cell>
          <cell r="I3025">
            <v>46022</v>
          </cell>
          <cell r="J3025">
            <v>200</v>
          </cell>
        </row>
        <row r="3026">
          <cell r="C3026" t="str">
            <v>推广订单扣款</v>
          </cell>
        </row>
        <row r="3026">
          <cell r="H3026" t="str">
            <v>观桥店</v>
          </cell>
          <cell r="I3026">
            <v>46022</v>
          </cell>
          <cell r="J3026">
            <v>-200</v>
          </cell>
        </row>
        <row r="3027">
          <cell r="C3027" t="str">
            <v>推广订单扣款</v>
          </cell>
        </row>
        <row r="3027">
          <cell r="H3027" t="str">
            <v>大坪店</v>
          </cell>
          <cell r="I3027">
            <v>46022</v>
          </cell>
          <cell r="J3027">
            <v>-174.29</v>
          </cell>
        </row>
        <row r="3028">
          <cell r="C3028" t="str">
            <v>推广订单扣款</v>
          </cell>
        </row>
        <row r="3028">
          <cell r="H3028" t="str">
            <v>文昌店</v>
          </cell>
          <cell r="I3028">
            <v>46022</v>
          </cell>
          <cell r="J3028">
            <v>-89.64</v>
          </cell>
        </row>
        <row r="3029">
          <cell r="C3029" t="str">
            <v>推广订单扣款</v>
          </cell>
        </row>
        <row r="3029">
          <cell r="H3029" t="str">
            <v>高新店</v>
          </cell>
          <cell r="I3029">
            <v>46022</v>
          </cell>
          <cell r="J3029">
            <v>-166.58</v>
          </cell>
        </row>
        <row r="3030">
          <cell r="C3030" t="str">
            <v>推广订单扣款</v>
          </cell>
        </row>
        <row r="3030">
          <cell r="H3030" t="str">
            <v>金牛店</v>
          </cell>
          <cell r="I3030">
            <v>46022</v>
          </cell>
          <cell r="J3030">
            <v>-63.42</v>
          </cell>
        </row>
        <row r="3031">
          <cell r="C3031" t="str">
            <v>推广订单扣款</v>
          </cell>
        </row>
        <row r="3031">
          <cell r="H3031" t="str">
            <v>武侯店</v>
          </cell>
          <cell r="I3031">
            <v>46022</v>
          </cell>
          <cell r="J3031">
            <v>-46.62</v>
          </cell>
        </row>
        <row r="3032">
          <cell r="C3032" t="str">
            <v>推广订单扣款</v>
          </cell>
        </row>
        <row r="3032">
          <cell r="H3032" t="str">
            <v>湖里店</v>
          </cell>
          <cell r="I3032">
            <v>46022</v>
          </cell>
          <cell r="J3032">
            <v>-165.77</v>
          </cell>
        </row>
        <row r="3033">
          <cell r="C3033" t="str">
            <v>推广订单扣款</v>
          </cell>
        </row>
        <row r="3033">
          <cell r="H3033" t="str">
            <v>青羊店</v>
          </cell>
          <cell r="I3033">
            <v>46022</v>
          </cell>
          <cell r="J3033">
            <v>-53.87</v>
          </cell>
        </row>
        <row r="3034">
          <cell r="C3034" t="str">
            <v>推广订单扣款</v>
          </cell>
        </row>
        <row r="3034">
          <cell r="H3034" t="str">
            <v>观音桥店</v>
          </cell>
          <cell r="I3034">
            <v>46022</v>
          </cell>
          <cell r="J3034">
            <v>-200</v>
          </cell>
        </row>
        <row r="3035">
          <cell r="C3035" t="str">
            <v>推广订单扣款</v>
          </cell>
        </row>
        <row r="3035">
          <cell r="H3035" t="str">
            <v>华信店</v>
          </cell>
          <cell r="I3035">
            <v>46022</v>
          </cell>
          <cell r="J3035">
            <v>-171.11</v>
          </cell>
        </row>
        <row r="3036">
          <cell r="C3036" t="str">
            <v>推广订单扣款</v>
          </cell>
        </row>
        <row r="3036">
          <cell r="H3036" t="str">
            <v>首南店</v>
          </cell>
          <cell r="I3036">
            <v>46022</v>
          </cell>
          <cell r="J3036">
            <v>-105.45</v>
          </cell>
        </row>
        <row r="3037">
          <cell r="C3037" t="str">
            <v>推广订单扣款</v>
          </cell>
        </row>
        <row r="3037">
          <cell r="H3037" t="str">
            <v>余杭店</v>
          </cell>
          <cell r="I3037">
            <v>46022</v>
          </cell>
          <cell r="J3037">
            <v>-196.33</v>
          </cell>
        </row>
        <row r="3038">
          <cell r="C3038" t="str">
            <v>推广订单扣款</v>
          </cell>
        </row>
        <row r="3038">
          <cell r="H3038" t="str">
            <v>滨江店</v>
          </cell>
          <cell r="I3038">
            <v>46022</v>
          </cell>
          <cell r="J3038">
            <v>-163.66</v>
          </cell>
        </row>
        <row r="3039">
          <cell r="C3039" t="str">
            <v>推广订单扣款</v>
          </cell>
        </row>
        <row r="3039">
          <cell r="H3039" t="str">
            <v>西山店</v>
          </cell>
          <cell r="I3039">
            <v>46022</v>
          </cell>
          <cell r="J3039">
            <v>-185.26</v>
          </cell>
        </row>
        <row r="3040">
          <cell r="C3040" t="str">
            <v>推广订单扣款</v>
          </cell>
        </row>
        <row r="3040">
          <cell r="H3040" t="str">
            <v>凤城二路店</v>
          </cell>
          <cell r="I3040">
            <v>46022</v>
          </cell>
          <cell r="J3040">
            <v>-200</v>
          </cell>
        </row>
        <row r="3041">
          <cell r="C3041" t="str">
            <v>推广账户自动充值</v>
          </cell>
        </row>
        <row r="3041">
          <cell r="H3041" t="str">
            <v>启点店</v>
          </cell>
          <cell r="I3041">
            <v>46022</v>
          </cell>
          <cell r="J3041">
            <v>200</v>
          </cell>
        </row>
        <row r="3042">
          <cell r="C3042" t="str">
            <v>推广账户自动充值</v>
          </cell>
        </row>
        <row r="3042">
          <cell r="H3042" t="str">
            <v>首山店</v>
          </cell>
          <cell r="I3042">
            <v>46022</v>
          </cell>
          <cell r="J3042">
            <v>200</v>
          </cell>
        </row>
        <row r="3043">
          <cell r="C3043" t="str">
            <v>推广账户自动充值</v>
          </cell>
        </row>
        <row r="3043">
          <cell r="H3043" t="str">
            <v>西湖店</v>
          </cell>
          <cell r="I3043">
            <v>46022</v>
          </cell>
          <cell r="J3043">
            <v>200</v>
          </cell>
        </row>
        <row r="3044">
          <cell r="C3044" t="str">
            <v>推广账户自动充值</v>
          </cell>
        </row>
        <row r="3044">
          <cell r="H3044" t="str">
            <v>济南店</v>
          </cell>
          <cell r="I3044">
            <v>46022</v>
          </cell>
          <cell r="J3044">
            <v>200</v>
          </cell>
        </row>
        <row r="3045">
          <cell r="C3045" t="str">
            <v>推广账户自动充值</v>
          </cell>
        </row>
        <row r="3045">
          <cell r="H3045" t="str">
            <v>海口店</v>
          </cell>
          <cell r="I3045">
            <v>46022</v>
          </cell>
          <cell r="J3045">
            <v>200</v>
          </cell>
        </row>
        <row r="3046">
          <cell r="C3046" t="str">
            <v>推广账户自动充值</v>
          </cell>
        </row>
        <row r="3046">
          <cell r="H3046" t="str">
            <v>凤城二路店</v>
          </cell>
          <cell r="I3046">
            <v>46022</v>
          </cell>
          <cell r="J3046">
            <v>200</v>
          </cell>
        </row>
        <row r="3047">
          <cell r="C3047" t="str">
            <v>推广账户自动充值</v>
          </cell>
        </row>
        <row r="3047">
          <cell r="H3047" t="str">
            <v>黄雁村店</v>
          </cell>
          <cell r="I3047">
            <v>46022</v>
          </cell>
          <cell r="J3047">
            <v>200</v>
          </cell>
        </row>
        <row r="3048">
          <cell r="C3048" t="str">
            <v>推广账户自动充值</v>
          </cell>
        </row>
        <row r="3048">
          <cell r="H3048" t="str">
            <v>华信店</v>
          </cell>
          <cell r="I3048">
            <v>46022</v>
          </cell>
          <cell r="J3048">
            <v>200</v>
          </cell>
        </row>
        <row r="3049">
          <cell r="C3049" t="str">
            <v>推广账户自动充值</v>
          </cell>
        </row>
        <row r="3049">
          <cell r="H3049" t="str">
            <v>五路口店</v>
          </cell>
          <cell r="I3049">
            <v>46022</v>
          </cell>
          <cell r="J3049">
            <v>200</v>
          </cell>
        </row>
        <row r="3050">
          <cell r="C3050" t="str">
            <v>推广账户自动充值</v>
          </cell>
        </row>
        <row r="3050">
          <cell r="H3050" t="str">
            <v>滨江店</v>
          </cell>
          <cell r="I3050">
            <v>46022</v>
          </cell>
          <cell r="J3050">
            <v>200</v>
          </cell>
        </row>
        <row r="3051">
          <cell r="C3051" t="str">
            <v>推广账户自动充值</v>
          </cell>
        </row>
        <row r="3051">
          <cell r="H3051" t="str">
            <v>诚毅店</v>
          </cell>
          <cell r="I3051">
            <v>46022</v>
          </cell>
          <cell r="J3051">
            <v>200</v>
          </cell>
        </row>
        <row r="3052">
          <cell r="C3052" t="str">
            <v>推广账户自动充值</v>
          </cell>
        </row>
        <row r="3052">
          <cell r="H3052" t="str">
            <v>百丈店</v>
          </cell>
          <cell r="I3052">
            <v>46022</v>
          </cell>
          <cell r="J3052">
            <v>200</v>
          </cell>
        </row>
        <row r="3053">
          <cell r="C3053" t="str">
            <v>推广账户自动充值</v>
          </cell>
        </row>
        <row r="3053">
          <cell r="H3053" t="str">
            <v>余杭店</v>
          </cell>
          <cell r="I3053">
            <v>46022</v>
          </cell>
          <cell r="J3053">
            <v>200</v>
          </cell>
        </row>
        <row r="3054">
          <cell r="C3054" t="str">
            <v>推广账户自动充值</v>
          </cell>
        </row>
        <row r="3054">
          <cell r="H3054" t="str">
            <v>长沙店</v>
          </cell>
          <cell r="I3054">
            <v>46022</v>
          </cell>
          <cell r="J3054">
            <v>200</v>
          </cell>
        </row>
        <row r="3055">
          <cell r="C3055" t="str">
            <v>推广账户自动充值</v>
          </cell>
        </row>
        <row r="3055">
          <cell r="H3055" t="str">
            <v>东新店</v>
          </cell>
          <cell r="I3055">
            <v>46023</v>
          </cell>
          <cell r="J3055">
            <v>200</v>
          </cell>
        </row>
        <row r="3056">
          <cell r="C3056" t="str">
            <v>推广订单扣款</v>
          </cell>
        </row>
        <row r="3056">
          <cell r="H3056" t="str">
            <v>济南店</v>
          </cell>
          <cell r="I3056">
            <v>46023</v>
          </cell>
          <cell r="J3056">
            <v>-272.34</v>
          </cell>
        </row>
        <row r="3057">
          <cell r="C3057" t="str">
            <v>推广订单扣款</v>
          </cell>
        </row>
        <row r="3057">
          <cell r="H3057" t="str">
            <v>大坪店</v>
          </cell>
          <cell r="I3057">
            <v>46023</v>
          </cell>
          <cell r="J3057">
            <v>-2.11</v>
          </cell>
        </row>
        <row r="3058">
          <cell r="C3058" t="str">
            <v>推广订单扣款</v>
          </cell>
        </row>
        <row r="3058">
          <cell r="H3058" t="str">
            <v>观音桥店</v>
          </cell>
          <cell r="I3058">
            <v>46023</v>
          </cell>
          <cell r="J3058">
            <v>-14.03</v>
          </cell>
        </row>
        <row r="3059">
          <cell r="C3059" t="str">
            <v>推广订单扣款</v>
          </cell>
        </row>
        <row r="3059">
          <cell r="H3059" t="str">
            <v>余杭店</v>
          </cell>
          <cell r="I3059">
            <v>46023</v>
          </cell>
          <cell r="J3059">
            <v>-163.61</v>
          </cell>
        </row>
        <row r="3060">
          <cell r="C3060" t="str">
            <v>推广订单扣款</v>
          </cell>
        </row>
        <row r="3060">
          <cell r="H3060" t="str">
            <v>西山店</v>
          </cell>
          <cell r="I3060">
            <v>46023</v>
          </cell>
          <cell r="J3060">
            <v>-12.73</v>
          </cell>
        </row>
        <row r="3061">
          <cell r="C3061" t="str">
            <v>推广订单扣款</v>
          </cell>
        </row>
        <row r="3061">
          <cell r="H3061" t="str">
            <v>华信店</v>
          </cell>
          <cell r="I3061">
            <v>46023</v>
          </cell>
          <cell r="J3061">
            <v>-200</v>
          </cell>
        </row>
        <row r="3062">
          <cell r="C3062" t="str">
            <v>推广订单扣款</v>
          </cell>
        </row>
        <row r="3062">
          <cell r="H3062" t="str">
            <v>首南店</v>
          </cell>
          <cell r="I3062">
            <v>46023</v>
          </cell>
          <cell r="J3062">
            <v>-111.06</v>
          </cell>
        </row>
        <row r="3063">
          <cell r="C3063" t="str">
            <v>推广订单扣款</v>
          </cell>
        </row>
        <row r="3063">
          <cell r="H3063" t="str">
            <v>滨江店</v>
          </cell>
          <cell r="I3063">
            <v>46023</v>
          </cell>
          <cell r="J3063">
            <v>-186.29</v>
          </cell>
        </row>
        <row r="3064">
          <cell r="C3064" t="str">
            <v>推广订单扣款</v>
          </cell>
        </row>
        <row r="3064">
          <cell r="H3064" t="str">
            <v>凤城二路店</v>
          </cell>
          <cell r="I3064">
            <v>46023</v>
          </cell>
          <cell r="J3064">
            <v>-200</v>
          </cell>
        </row>
        <row r="3065">
          <cell r="C3065" t="str">
            <v>推广订单扣款</v>
          </cell>
        </row>
        <row r="3065">
          <cell r="H3065" t="str">
            <v>西湖店</v>
          </cell>
          <cell r="I3065">
            <v>46023</v>
          </cell>
          <cell r="J3065">
            <v>-119.83</v>
          </cell>
        </row>
        <row r="3066">
          <cell r="C3066" t="str">
            <v>推广订单扣款</v>
          </cell>
        </row>
        <row r="3066">
          <cell r="H3066" t="str">
            <v>鼓楼店</v>
          </cell>
          <cell r="I3066">
            <v>46023</v>
          </cell>
          <cell r="J3066">
            <v>-2.57</v>
          </cell>
        </row>
        <row r="3067">
          <cell r="C3067" t="str">
            <v>推广订单扣款</v>
          </cell>
        </row>
        <row r="3067">
          <cell r="H3067" t="str">
            <v>首山店</v>
          </cell>
          <cell r="I3067">
            <v>46023</v>
          </cell>
          <cell r="J3067">
            <v>-151.26</v>
          </cell>
        </row>
        <row r="3068">
          <cell r="C3068" t="str">
            <v>推广订单扣款</v>
          </cell>
        </row>
        <row r="3068">
          <cell r="H3068" t="str">
            <v>海口店</v>
          </cell>
          <cell r="I3068">
            <v>46023</v>
          </cell>
          <cell r="J3068">
            <v>-200</v>
          </cell>
        </row>
        <row r="3069">
          <cell r="C3069" t="str">
            <v>推广订单扣款</v>
          </cell>
        </row>
        <row r="3069">
          <cell r="H3069" t="str">
            <v>长沙店</v>
          </cell>
          <cell r="I3069">
            <v>46023</v>
          </cell>
          <cell r="J3069">
            <v>-127.53</v>
          </cell>
        </row>
        <row r="3070">
          <cell r="C3070" t="str">
            <v>推广订单扣款</v>
          </cell>
        </row>
        <row r="3070">
          <cell r="H3070" t="str">
            <v>五路口店</v>
          </cell>
          <cell r="I3070">
            <v>46023</v>
          </cell>
          <cell r="J3070">
            <v>-200</v>
          </cell>
        </row>
        <row r="3071">
          <cell r="C3071" t="str">
            <v>推广订单扣款</v>
          </cell>
        </row>
        <row r="3071">
          <cell r="H3071" t="str">
            <v>百丈店</v>
          </cell>
          <cell r="I3071">
            <v>46023</v>
          </cell>
          <cell r="J3071">
            <v>-188.97</v>
          </cell>
        </row>
        <row r="3072">
          <cell r="C3072" t="str">
            <v>推广订单扣款</v>
          </cell>
        </row>
        <row r="3072">
          <cell r="H3072" t="str">
            <v>沙坪坝店</v>
          </cell>
          <cell r="I3072">
            <v>46023</v>
          </cell>
          <cell r="J3072">
            <v>-5.72</v>
          </cell>
        </row>
        <row r="3073">
          <cell r="C3073" t="str">
            <v>推广订单扣款</v>
          </cell>
        </row>
        <row r="3073">
          <cell r="H3073" t="str">
            <v>东新店</v>
          </cell>
          <cell r="I3073">
            <v>46023</v>
          </cell>
          <cell r="J3073">
            <v>-188.48</v>
          </cell>
        </row>
        <row r="3074">
          <cell r="C3074" t="str">
            <v>推广订单扣款</v>
          </cell>
        </row>
        <row r="3074">
          <cell r="H3074" t="str">
            <v>东海店</v>
          </cell>
          <cell r="I3074">
            <v>46023</v>
          </cell>
          <cell r="J3074">
            <v>-179.52</v>
          </cell>
        </row>
        <row r="3075">
          <cell r="C3075" t="str">
            <v>推广订单扣款</v>
          </cell>
        </row>
        <row r="3075">
          <cell r="H3075" t="str">
            <v>官渡店</v>
          </cell>
          <cell r="I3075">
            <v>46023</v>
          </cell>
          <cell r="J3075">
            <v>-9.2</v>
          </cell>
        </row>
        <row r="3076">
          <cell r="C3076" t="str">
            <v>推广订单扣款</v>
          </cell>
        </row>
        <row r="3076">
          <cell r="H3076" t="str">
            <v>文灶店</v>
          </cell>
          <cell r="I3076">
            <v>46023</v>
          </cell>
          <cell r="J3076">
            <v>-276.05</v>
          </cell>
        </row>
        <row r="3077">
          <cell r="C3077" t="str">
            <v>推广订单扣款</v>
          </cell>
        </row>
        <row r="3077">
          <cell r="H3077" t="str">
            <v>百捷店</v>
          </cell>
          <cell r="I3077">
            <v>46023</v>
          </cell>
          <cell r="J3077">
            <v>-36.04</v>
          </cell>
        </row>
        <row r="3078">
          <cell r="C3078" t="str">
            <v>推广订单扣款</v>
          </cell>
        </row>
        <row r="3078">
          <cell r="H3078" t="str">
            <v>启点店</v>
          </cell>
          <cell r="I3078">
            <v>46023</v>
          </cell>
          <cell r="J3078">
            <v>-146.58</v>
          </cell>
        </row>
        <row r="3079">
          <cell r="C3079" t="str">
            <v>推广订单扣款</v>
          </cell>
        </row>
        <row r="3079">
          <cell r="H3079" t="str">
            <v>黄雁村店</v>
          </cell>
          <cell r="I3079">
            <v>46023</v>
          </cell>
          <cell r="J3079">
            <v>-200</v>
          </cell>
        </row>
        <row r="3080">
          <cell r="C3080" t="str">
            <v>推广订单扣款</v>
          </cell>
        </row>
        <row r="3080">
          <cell r="H3080" t="str">
            <v>诚毅店</v>
          </cell>
          <cell r="I3080">
            <v>46023</v>
          </cell>
          <cell r="J3080">
            <v>-200</v>
          </cell>
        </row>
        <row r="3081">
          <cell r="C3081" t="str">
            <v>推广订单扣款</v>
          </cell>
        </row>
        <row r="3081">
          <cell r="H3081" t="str">
            <v>观桥店</v>
          </cell>
          <cell r="I3081">
            <v>46023</v>
          </cell>
          <cell r="J3081">
            <v>-7.25</v>
          </cell>
        </row>
        <row r="3082">
          <cell r="C3082" t="str">
            <v>推广订单扣款</v>
          </cell>
        </row>
        <row r="3082">
          <cell r="H3082" t="str">
            <v>文昌店</v>
          </cell>
          <cell r="I3082">
            <v>46023</v>
          </cell>
          <cell r="J3082">
            <v>-91.93</v>
          </cell>
        </row>
        <row r="3083">
          <cell r="C3083" t="str">
            <v>推广账户自动充值</v>
          </cell>
        </row>
        <row r="3083">
          <cell r="H3083" t="str">
            <v>东海店</v>
          </cell>
          <cell r="I3083">
            <v>46023</v>
          </cell>
          <cell r="J3083">
            <v>200</v>
          </cell>
        </row>
        <row r="3084">
          <cell r="C3084" t="str">
            <v>推广账户自动充值</v>
          </cell>
        </row>
        <row r="3084">
          <cell r="H3084" t="str">
            <v>文昌店</v>
          </cell>
          <cell r="I3084">
            <v>46023</v>
          </cell>
          <cell r="J3084">
            <v>200</v>
          </cell>
        </row>
        <row r="3085">
          <cell r="C3085" t="str">
            <v>推广账户自动充值</v>
          </cell>
        </row>
        <row r="3085">
          <cell r="H3085" t="str">
            <v>济南店</v>
          </cell>
          <cell r="I3085">
            <v>46023</v>
          </cell>
          <cell r="J3085">
            <v>200</v>
          </cell>
        </row>
        <row r="3086">
          <cell r="C3086" t="str">
            <v>推广账户自动充值</v>
          </cell>
        </row>
        <row r="3086">
          <cell r="H3086" t="str">
            <v>观桥店</v>
          </cell>
          <cell r="I3086">
            <v>46023</v>
          </cell>
          <cell r="J3086">
            <v>200</v>
          </cell>
        </row>
        <row r="3087">
          <cell r="C3087" t="str">
            <v>推广账户自动充值</v>
          </cell>
        </row>
        <row r="3087">
          <cell r="H3087" t="str">
            <v>海口店</v>
          </cell>
          <cell r="I3087">
            <v>46023</v>
          </cell>
          <cell r="J3087">
            <v>200</v>
          </cell>
        </row>
        <row r="3088">
          <cell r="C3088" t="str">
            <v>推广账户自动充值</v>
          </cell>
        </row>
        <row r="3088">
          <cell r="H3088" t="str">
            <v>华信店</v>
          </cell>
          <cell r="I3088">
            <v>46023</v>
          </cell>
          <cell r="J3088">
            <v>200</v>
          </cell>
        </row>
        <row r="3089">
          <cell r="C3089" t="str">
            <v>推广账户自动充值</v>
          </cell>
        </row>
        <row r="3089">
          <cell r="H3089" t="str">
            <v>观音桥店</v>
          </cell>
          <cell r="I3089">
            <v>46023</v>
          </cell>
          <cell r="J3089">
            <v>200</v>
          </cell>
        </row>
        <row r="3090">
          <cell r="C3090" t="str">
            <v>推广账户自动充值</v>
          </cell>
        </row>
        <row r="3090">
          <cell r="H3090" t="str">
            <v>鼓楼店</v>
          </cell>
          <cell r="I3090">
            <v>46023</v>
          </cell>
          <cell r="J3090">
            <v>200</v>
          </cell>
        </row>
        <row r="3091">
          <cell r="C3091" t="str">
            <v>推广账户自动充值</v>
          </cell>
        </row>
        <row r="3091">
          <cell r="H3091" t="str">
            <v>滨江店</v>
          </cell>
          <cell r="I3091">
            <v>46023</v>
          </cell>
          <cell r="J3091">
            <v>200</v>
          </cell>
        </row>
        <row r="3092">
          <cell r="C3092" t="str">
            <v>推广账户自动充值</v>
          </cell>
        </row>
        <row r="3092">
          <cell r="H3092" t="str">
            <v>凤城二路店</v>
          </cell>
          <cell r="I3092">
            <v>46023</v>
          </cell>
          <cell r="J3092">
            <v>200</v>
          </cell>
        </row>
        <row r="3093">
          <cell r="C3093" t="str">
            <v>推广账户自动充值</v>
          </cell>
        </row>
        <row r="3093">
          <cell r="H3093" t="str">
            <v>官渡店</v>
          </cell>
          <cell r="I3093">
            <v>46023</v>
          </cell>
          <cell r="J3093">
            <v>200</v>
          </cell>
        </row>
        <row r="3094">
          <cell r="C3094" t="str">
            <v>推广账户自动充值</v>
          </cell>
        </row>
        <row r="3094">
          <cell r="H3094" t="str">
            <v>首南店</v>
          </cell>
          <cell r="I3094">
            <v>46023</v>
          </cell>
          <cell r="J3094">
            <v>200</v>
          </cell>
        </row>
        <row r="3095">
          <cell r="C3095" t="str">
            <v>推广账户自动充值</v>
          </cell>
        </row>
        <row r="3095">
          <cell r="H3095" t="str">
            <v>黄雁村店</v>
          </cell>
          <cell r="I3095">
            <v>46023</v>
          </cell>
          <cell r="J3095">
            <v>200</v>
          </cell>
        </row>
        <row r="3096">
          <cell r="C3096" t="str">
            <v>推广账户自动充值</v>
          </cell>
        </row>
        <row r="3096">
          <cell r="H3096" t="str">
            <v>五路口店</v>
          </cell>
          <cell r="I3096">
            <v>46023</v>
          </cell>
          <cell r="J3096">
            <v>200</v>
          </cell>
        </row>
        <row r="3097">
          <cell r="C3097" t="str">
            <v>推广账户自动充值</v>
          </cell>
        </row>
        <row r="3097">
          <cell r="H3097" t="str">
            <v>首山店</v>
          </cell>
          <cell r="I3097">
            <v>46023</v>
          </cell>
          <cell r="J3097">
            <v>200</v>
          </cell>
        </row>
        <row r="3098">
          <cell r="C3098" t="str">
            <v>推广账户自动充值</v>
          </cell>
        </row>
        <row r="3098">
          <cell r="H3098" t="str">
            <v>启点店</v>
          </cell>
          <cell r="I3098">
            <v>46023</v>
          </cell>
          <cell r="J3098">
            <v>200</v>
          </cell>
        </row>
        <row r="3099">
          <cell r="C3099" t="str">
            <v>推广账户自动充值</v>
          </cell>
        </row>
        <row r="3099">
          <cell r="H3099" t="str">
            <v>五华店</v>
          </cell>
          <cell r="I3099">
            <v>46023</v>
          </cell>
          <cell r="J3099">
            <v>200</v>
          </cell>
        </row>
        <row r="3100">
          <cell r="C3100" t="str">
            <v>推广账户自动充值</v>
          </cell>
        </row>
        <row r="3100">
          <cell r="H3100" t="str">
            <v>西山店</v>
          </cell>
          <cell r="I3100">
            <v>46023</v>
          </cell>
          <cell r="J3100">
            <v>200</v>
          </cell>
        </row>
        <row r="3101">
          <cell r="C3101" t="str">
            <v>推广账户自动充值</v>
          </cell>
        </row>
        <row r="3101">
          <cell r="H3101" t="str">
            <v>诚毅店</v>
          </cell>
          <cell r="I3101">
            <v>46023</v>
          </cell>
          <cell r="J3101">
            <v>200</v>
          </cell>
        </row>
        <row r="3102">
          <cell r="C3102" t="str">
            <v>推广订单扣款</v>
          </cell>
        </row>
        <row r="3102">
          <cell r="H3102" t="str">
            <v>济南店</v>
          </cell>
          <cell r="I3102">
            <v>46024</v>
          </cell>
          <cell r="J3102">
            <v>-200.89</v>
          </cell>
        </row>
        <row r="3103">
          <cell r="C3103" t="str">
            <v>推广订单扣款</v>
          </cell>
        </row>
        <row r="3103">
          <cell r="H3103" t="str">
            <v>大坪店</v>
          </cell>
          <cell r="I3103">
            <v>46024</v>
          </cell>
          <cell r="J3103">
            <v>-117.09</v>
          </cell>
        </row>
        <row r="3104">
          <cell r="C3104" t="str">
            <v>推广订单扣款</v>
          </cell>
        </row>
        <row r="3104">
          <cell r="H3104" t="str">
            <v>金牛店</v>
          </cell>
          <cell r="I3104">
            <v>46024</v>
          </cell>
          <cell r="J3104">
            <v>-98.99</v>
          </cell>
        </row>
        <row r="3105">
          <cell r="C3105" t="str">
            <v>推广订单扣款</v>
          </cell>
        </row>
        <row r="3105">
          <cell r="H3105" t="str">
            <v>高新店</v>
          </cell>
          <cell r="I3105">
            <v>46024</v>
          </cell>
          <cell r="J3105">
            <v>-122.1</v>
          </cell>
        </row>
        <row r="3106">
          <cell r="C3106" t="str">
            <v>推广订单扣款</v>
          </cell>
        </row>
        <row r="3106">
          <cell r="H3106" t="str">
            <v>观音桥店</v>
          </cell>
          <cell r="I3106">
            <v>46024</v>
          </cell>
          <cell r="J3106">
            <v>-200</v>
          </cell>
        </row>
        <row r="3107">
          <cell r="C3107" t="str">
            <v>推广订单扣款</v>
          </cell>
        </row>
        <row r="3107">
          <cell r="H3107" t="str">
            <v>余杭店</v>
          </cell>
          <cell r="I3107">
            <v>46024</v>
          </cell>
          <cell r="J3107">
            <v>-179.59</v>
          </cell>
        </row>
        <row r="3108">
          <cell r="C3108" t="str">
            <v>推广订单扣款</v>
          </cell>
        </row>
        <row r="3108">
          <cell r="H3108" t="str">
            <v>西山店</v>
          </cell>
          <cell r="I3108">
            <v>46024</v>
          </cell>
          <cell r="J3108">
            <v>-123.94</v>
          </cell>
        </row>
        <row r="3109">
          <cell r="C3109" t="str">
            <v>推广订单扣款</v>
          </cell>
        </row>
        <row r="3109">
          <cell r="H3109" t="str">
            <v>湖里店</v>
          </cell>
          <cell r="I3109">
            <v>46024</v>
          </cell>
          <cell r="J3109">
            <v>-107.44</v>
          </cell>
        </row>
        <row r="3110">
          <cell r="C3110" t="str">
            <v>推广订单扣款</v>
          </cell>
        </row>
        <row r="3110">
          <cell r="H3110" t="str">
            <v>华信店</v>
          </cell>
          <cell r="I3110">
            <v>46024</v>
          </cell>
          <cell r="J3110">
            <v>-199.7</v>
          </cell>
        </row>
        <row r="3111">
          <cell r="C3111" t="str">
            <v>推广订单扣款</v>
          </cell>
        </row>
        <row r="3111">
          <cell r="H3111" t="str">
            <v>武侯店</v>
          </cell>
          <cell r="I3111">
            <v>46024</v>
          </cell>
          <cell r="J3111">
            <v>-27.61</v>
          </cell>
        </row>
        <row r="3112">
          <cell r="C3112" t="str">
            <v>推广订单扣款</v>
          </cell>
        </row>
        <row r="3112">
          <cell r="H3112" t="str">
            <v>青羊店</v>
          </cell>
          <cell r="I3112">
            <v>46024</v>
          </cell>
          <cell r="J3112">
            <v>-45.82</v>
          </cell>
        </row>
        <row r="3113">
          <cell r="C3113" t="str">
            <v>推广订单扣款</v>
          </cell>
        </row>
        <row r="3113">
          <cell r="H3113" t="str">
            <v>首南店</v>
          </cell>
          <cell r="I3113">
            <v>46024</v>
          </cell>
          <cell r="J3113">
            <v>-121.91</v>
          </cell>
        </row>
        <row r="3114">
          <cell r="C3114" t="str">
            <v>推广订单扣款</v>
          </cell>
        </row>
        <row r="3114">
          <cell r="H3114" t="str">
            <v>滨江店</v>
          </cell>
          <cell r="I3114">
            <v>46024</v>
          </cell>
          <cell r="J3114">
            <v>-185.09</v>
          </cell>
        </row>
        <row r="3115">
          <cell r="C3115" t="str">
            <v>推广订单扣款</v>
          </cell>
        </row>
        <row r="3115">
          <cell r="H3115" t="str">
            <v>凤城二路店</v>
          </cell>
          <cell r="I3115">
            <v>46024</v>
          </cell>
          <cell r="J3115">
            <v>-200</v>
          </cell>
        </row>
        <row r="3116">
          <cell r="C3116" t="str">
            <v>推广订单扣款</v>
          </cell>
        </row>
        <row r="3116">
          <cell r="H3116" t="str">
            <v>西湖店</v>
          </cell>
          <cell r="I3116">
            <v>46024</v>
          </cell>
          <cell r="J3116">
            <v>-74.23</v>
          </cell>
        </row>
        <row r="3117">
          <cell r="C3117" t="str">
            <v>推广订单扣款</v>
          </cell>
        </row>
        <row r="3117">
          <cell r="H3117" t="str">
            <v>鼓楼店</v>
          </cell>
          <cell r="I3117">
            <v>46024</v>
          </cell>
          <cell r="J3117">
            <v>-199.79</v>
          </cell>
        </row>
        <row r="3118">
          <cell r="C3118" t="str">
            <v>推广订单扣款</v>
          </cell>
        </row>
        <row r="3118">
          <cell r="H3118" t="str">
            <v>首山店</v>
          </cell>
          <cell r="I3118">
            <v>46024</v>
          </cell>
          <cell r="J3118">
            <v>-103.49</v>
          </cell>
        </row>
        <row r="3119">
          <cell r="C3119" t="str">
            <v>推广订单扣款</v>
          </cell>
        </row>
        <row r="3119">
          <cell r="H3119" t="str">
            <v>五华店</v>
          </cell>
          <cell r="I3119">
            <v>46024</v>
          </cell>
          <cell r="J3119">
            <v>-76.65</v>
          </cell>
        </row>
        <row r="3120">
          <cell r="C3120" t="str">
            <v>推广订单扣款</v>
          </cell>
        </row>
        <row r="3120">
          <cell r="H3120" t="str">
            <v>长沙店</v>
          </cell>
          <cell r="I3120">
            <v>46024</v>
          </cell>
          <cell r="J3120">
            <v>-113.83</v>
          </cell>
        </row>
        <row r="3121">
          <cell r="C3121" t="str">
            <v>推广订单扣款</v>
          </cell>
        </row>
        <row r="3121">
          <cell r="H3121" t="str">
            <v>海口店</v>
          </cell>
          <cell r="I3121">
            <v>46024</v>
          </cell>
          <cell r="J3121">
            <v>-200</v>
          </cell>
        </row>
        <row r="3122">
          <cell r="C3122" t="str">
            <v>推广订单扣款</v>
          </cell>
        </row>
        <row r="3122">
          <cell r="H3122" t="str">
            <v>沙坪坝店</v>
          </cell>
          <cell r="I3122">
            <v>46024</v>
          </cell>
          <cell r="J3122">
            <v>-108.49</v>
          </cell>
        </row>
        <row r="3123">
          <cell r="C3123" t="str">
            <v>推广订单扣款</v>
          </cell>
        </row>
        <row r="3123">
          <cell r="H3123" t="str">
            <v>百丈店</v>
          </cell>
          <cell r="I3123">
            <v>46024</v>
          </cell>
          <cell r="J3123">
            <v>-132.17</v>
          </cell>
        </row>
        <row r="3124">
          <cell r="C3124" t="str">
            <v>推广订单扣款</v>
          </cell>
        </row>
        <row r="3124">
          <cell r="H3124" t="str">
            <v>五路口店</v>
          </cell>
          <cell r="I3124">
            <v>46024</v>
          </cell>
          <cell r="J3124">
            <v>-200</v>
          </cell>
        </row>
        <row r="3125">
          <cell r="C3125" t="str">
            <v>推广订单扣款</v>
          </cell>
        </row>
        <row r="3125">
          <cell r="H3125" t="str">
            <v>东新店</v>
          </cell>
          <cell r="I3125">
            <v>46024</v>
          </cell>
          <cell r="J3125">
            <v>-200</v>
          </cell>
        </row>
        <row r="3126">
          <cell r="C3126" t="str">
            <v>推广订单扣款</v>
          </cell>
        </row>
        <row r="3126">
          <cell r="H3126" t="str">
            <v>官渡店</v>
          </cell>
          <cell r="I3126">
            <v>46024</v>
          </cell>
          <cell r="J3126">
            <v>-114.24</v>
          </cell>
        </row>
        <row r="3127">
          <cell r="C3127" t="str">
            <v>推广订单扣款</v>
          </cell>
        </row>
        <row r="3127">
          <cell r="H3127" t="str">
            <v>东海店</v>
          </cell>
          <cell r="I3127">
            <v>46024</v>
          </cell>
          <cell r="J3127">
            <v>-154.17</v>
          </cell>
        </row>
        <row r="3128">
          <cell r="C3128" t="str">
            <v>推广订单扣款</v>
          </cell>
        </row>
        <row r="3128">
          <cell r="H3128" t="str">
            <v>文灶店</v>
          </cell>
          <cell r="I3128">
            <v>46024</v>
          </cell>
          <cell r="J3128">
            <v>-250.19</v>
          </cell>
        </row>
        <row r="3129">
          <cell r="C3129" t="str">
            <v>推广订单扣款</v>
          </cell>
        </row>
        <row r="3129">
          <cell r="H3129" t="str">
            <v>百捷店</v>
          </cell>
          <cell r="I3129">
            <v>46024</v>
          </cell>
          <cell r="J3129">
            <v>-91.82</v>
          </cell>
        </row>
        <row r="3130">
          <cell r="C3130" t="str">
            <v>推广订单扣款</v>
          </cell>
        </row>
        <row r="3130">
          <cell r="H3130" t="str">
            <v>启点店</v>
          </cell>
          <cell r="I3130">
            <v>46024</v>
          </cell>
          <cell r="J3130">
            <v>-137.59</v>
          </cell>
        </row>
        <row r="3131">
          <cell r="C3131" t="str">
            <v>推广订单扣款</v>
          </cell>
        </row>
        <row r="3131">
          <cell r="H3131" t="str">
            <v>黄雁村店</v>
          </cell>
          <cell r="I3131">
            <v>46024</v>
          </cell>
          <cell r="J3131">
            <v>-200</v>
          </cell>
        </row>
        <row r="3132">
          <cell r="C3132" t="str">
            <v>推广订单扣款</v>
          </cell>
        </row>
        <row r="3132">
          <cell r="H3132" t="str">
            <v>诚毅店</v>
          </cell>
          <cell r="I3132">
            <v>46024</v>
          </cell>
          <cell r="J3132">
            <v>-176.94</v>
          </cell>
        </row>
        <row r="3133">
          <cell r="C3133" t="str">
            <v>推广订单扣款</v>
          </cell>
        </row>
        <row r="3133">
          <cell r="H3133" t="str">
            <v>成华店</v>
          </cell>
          <cell r="I3133">
            <v>46024</v>
          </cell>
          <cell r="J3133">
            <v>-81.42</v>
          </cell>
        </row>
        <row r="3134">
          <cell r="C3134" t="str">
            <v>推广订单扣款</v>
          </cell>
        </row>
        <row r="3134">
          <cell r="H3134" t="str">
            <v>观桥店</v>
          </cell>
          <cell r="I3134">
            <v>46024</v>
          </cell>
          <cell r="J3134">
            <v>-200</v>
          </cell>
        </row>
        <row r="3135">
          <cell r="C3135" t="str">
            <v>推广订单扣款</v>
          </cell>
        </row>
        <row r="3135">
          <cell r="H3135" t="str">
            <v>文昌店</v>
          </cell>
          <cell r="I3135">
            <v>46024</v>
          </cell>
          <cell r="J3135">
            <v>-108.87</v>
          </cell>
        </row>
        <row r="3136">
          <cell r="C3136" t="str">
            <v>推广账户自动充值</v>
          </cell>
        </row>
        <row r="3136">
          <cell r="H3136" t="str">
            <v>成华店</v>
          </cell>
          <cell r="I3136">
            <v>46024</v>
          </cell>
          <cell r="J3136">
            <v>200</v>
          </cell>
        </row>
        <row r="3137">
          <cell r="C3137" t="str">
            <v>推广账户自动充值</v>
          </cell>
        </row>
        <row r="3137">
          <cell r="H3137" t="str">
            <v>东新店</v>
          </cell>
          <cell r="I3137">
            <v>46024</v>
          </cell>
          <cell r="J3137">
            <v>200</v>
          </cell>
        </row>
        <row r="3138">
          <cell r="C3138" t="str">
            <v>推广账户自动充值</v>
          </cell>
        </row>
        <row r="3138">
          <cell r="H3138" t="str">
            <v>湖里店</v>
          </cell>
          <cell r="I3138">
            <v>46024</v>
          </cell>
          <cell r="J3138">
            <v>200</v>
          </cell>
        </row>
        <row r="3139">
          <cell r="C3139" t="str">
            <v>推广账户自动充值</v>
          </cell>
        </row>
        <row r="3139">
          <cell r="H3139" t="str">
            <v>余杭店</v>
          </cell>
          <cell r="I3139">
            <v>46024</v>
          </cell>
          <cell r="J3139">
            <v>200</v>
          </cell>
        </row>
        <row r="3140">
          <cell r="C3140" t="str">
            <v>推广账户自动充值</v>
          </cell>
        </row>
        <row r="3140">
          <cell r="H3140" t="str">
            <v>百捷店</v>
          </cell>
          <cell r="I3140">
            <v>46024</v>
          </cell>
          <cell r="J3140">
            <v>200</v>
          </cell>
        </row>
        <row r="3141">
          <cell r="C3141" t="str">
            <v>推广账户自动充值</v>
          </cell>
        </row>
        <row r="3141">
          <cell r="H3141" t="str">
            <v>观桥店</v>
          </cell>
          <cell r="I3141">
            <v>46024</v>
          </cell>
          <cell r="J3141">
            <v>200</v>
          </cell>
        </row>
        <row r="3142">
          <cell r="C3142" t="str">
            <v>推广账户自动充值</v>
          </cell>
        </row>
        <row r="3142">
          <cell r="H3142" t="str">
            <v>济南店</v>
          </cell>
          <cell r="I3142">
            <v>46024</v>
          </cell>
          <cell r="J3142">
            <v>200</v>
          </cell>
        </row>
        <row r="3143">
          <cell r="C3143" t="str">
            <v>推广账户自动充值</v>
          </cell>
        </row>
        <row r="3143">
          <cell r="H3143" t="str">
            <v>百丈店</v>
          </cell>
          <cell r="I3143">
            <v>46024</v>
          </cell>
          <cell r="J3143">
            <v>200</v>
          </cell>
        </row>
        <row r="3144">
          <cell r="C3144" t="str">
            <v>推广账户自动充值</v>
          </cell>
        </row>
        <row r="3144">
          <cell r="H3144" t="str">
            <v>观音桥店</v>
          </cell>
          <cell r="I3144">
            <v>46024</v>
          </cell>
          <cell r="J3144">
            <v>200</v>
          </cell>
        </row>
        <row r="3145">
          <cell r="C3145" t="str">
            <v>推广账户自动充值</v>
          </cell>
        </row>
        <row r="3145">
          <cell r="H3145" t="str">
            <v>海口店</v>
          </cell>
          <cell r="I3145">
            <v>46024</v>
          </cell>
          <cell r="J3145">
            <v>200</v>
          </cell>
        </row>
        <row r="3146">
          <cell r="C3146" t="str">
            <v>推广账户自动充值</v>
          </cell>
        </row>
        <row r="3146">
          <cell r="H3146" t="str">
            <v>金牛店</v>
          </cell>
          <cell r="I3146">
            <v>46024</v>
          </cell>
          <cell r="J3146">
            <v>200</v>
          </cell>
        </row>
        <row r="3147">
          <cell r="C3147" t="str">
            <v>推广账户自动充值</v>
          </cell>
        </row>
        <row r="3147">
          <cell r="H3147" t="str">
            <v>西湖店</v>
          </cell>
          <cell r="I3147">
            <v>46024</v>
          </cell>
          <cell r="J3147">
            <v>200</v>
          </cell>
        </row>
        <row r="3148">
          <cell r="C3148" t="str">
            <v>推广账户自动充值</v>
          </cell>
        </row>
        <row r="3148">
          <cell r="H3148" t="str">
            <v>大坪店</v>
          </cell>
          <cell r="I3148">
            <v>46024</v>
          </cell>
          <cell r="J3148">
            <v>200</v>
          </cell>
        </row>
        <row r="3149">
          <cell r="C3149" t="str">
            <v>推广账户自动充值</v>
          </cell>
        </row>
        <row r="3149">
          <cell r="H3149" t="str">
            <v>高新店</v>
          </cell>
          <cell r="I3149">
            <v>46024</v>
          </cell>
          <cell r="J3149">
            <v>200</v>
          </cell>
        </row>
        <row r="3150">
          <cell r="C3150" t="str">
            <v>推广账户自动充值</v>
          </cell>
        </row>
        <row r="3150">
          <cell r="H3150" t="str">
            <v>鼓楼店</v>
          </cell>
          <cell r="I3150">
            <v>46024</v>
          </cell>
          <cell r="J3150">
            <v>200</v>
          </cell>
        </row>
        <row r="3151">
          <cell r="C3151" t="str">
            <v>推广账户自动充值</v>
          </cell>
        </row>
        <row r="3151">
          <cell r="H3151" t="str">
            <v>沙坪坝店</v>
          </cell>
          <cell r="I3151">
            <v>46024</v>
          </cell>
          <cell r="J3151">
            <v>200</v>
          </cell>
        </row>
        <row r="3152">
          <cell r="C3152" t="str">
            <v>推广账户自动充值</v>
          </cell>
        </row>
        <row r="3152">
          <cell r="H3152" t="str">
            <v>华信店</v>
          </cell>
          <cell r="I3152">
            <v>46024</v>
          </cell>
          <cell r="J3152">
            <v>200</v>
          </cell>
        </row>
        <row r="3153">
          <cell r="C3153" t="str">
            <v>推广账户自动充值</v>
          </cell>
        </row>
        <row r="3153">
          <cell r="H3153" t="str">
            <v>黄雁村店</v>
          </cell>
          <cell r="I3153">
            <v>46024</v>
          </cell>
          <cell r="J3153">
            <v>200</v>
          </cell>
        </row>
        <row r="3154">
          <cell r="C3154" t="str">
            <v>推广账户自动充值</v>
          </cell>
        </row>
        <row r="3154">
          <cell r="H3154" t="str">
            <v>滨江店</v>
          </cell>
          <cell r="I3154">
            <v>46024</v>
          </cell>
          <cell r="J3154">
            <v>200</v>
          </cell>
        </row>
        <row r="3155">
          <cell r="C3155" t="str">
            <v>推广账户自动充值</v>
          </cell>
        </row>
        <row r="3155">
          <cell r="H3155" t="str">
            <v>官渡店</v>
          </cell>
          <cell r="I3155">
            <v>46024</v>
          </cell>
          <cell r="J3155">
            <v>200</v>
          </cell>
        </row>
        <row r="3156">
          <cell r="C3156" t="str">
            <v>推广账户自动充值</v>
          </cell>
        </row>
        <row r="3156">
          <cell r="H3156" t="str">
            <v>凤城二路店</v>
          </cell>
          <cell r="I3156">
            <v>46024</v>
          </cell>
          <cell r="J3156">
            <v>200</v>
          </cell>
        </row>
        <row r="3157">
          <cell r="C3157" t="str">
            <v>推广账户自动充值</v>
          </cell>
        </row>
        <row r="3157">
          <cell r="H3157" t="str">
            <v>五路口店</v>
          </cell>
          <cell r="I3157">
            <v>46024</v>
          </cell>
          <cell r="J3157">
            <v>200</v>
          </cell>
        </row>
        <row r="3158">
          <cell r="C3158" t="str">
            <v>推广账户自动充值</v>
          </cell>
        </row>
        <row r="3158">
          <cell r="H3158" t="str">
            <v>长沙店</v>
          </cell>
          <cell r="I3158">
            <v>46024</v>
          </cell>
          <cell r="J3158">
            <v>200</v>
          </cell>
        </row>
        <row r="3159">
          <cell r="C3159" t="str">
            <v>推广账户充值</v>
          </cell>
        </row>
        <row r="3159">
          <cell r="H3159" t="str">
            <v>东海店</v>
          </cell>
          <cell r="I3159">
            <v>46024</v>
          </cell>
          <cell r="J3159">
            <v>100</v>
          </cell>
        </row>
        <row r="3160">
          <cell r="C3160" t="str">
            <v>推广账户自动充值</v>
          </cell>
        </row>
        <row r="3160">
          <cell r="H3160" t="str">
            <v>西山店</v>
          </cell>
          <cell r="I3160">
            <v>46024</v>
          </cell>
          <cell r="J3160">
            <v>200</v>
          </cell>
        </row>
        <row r="3161">
          <cell r="C3161" t="str">
            <v>推广账户自动充值</v>
          </cell>
        </row>
        <row r="3161">
          <cell r="H3161" t="str">
            <v>诚毅店</v>
          </cell>
          <cell r="I3161">
            <v>46024</v>
          </cell>
          <cell r="J3161">
            <v>200</v>
          </cell>
        </row>
        <row r="3162">
          <cell r="C3162" t="str">
            <v>推广订单扣款</v>
          </cell>
        </row>
        <row r="3162">
          <cell r="H3162" t="str">
            <v>济南店</v>
          </cell>
          <cell r="I3162">
            <v>46025</v>
          </cell>
          <cell r="J3162">
            <v>-208.26</v>
          </cell>
        </row>
        <row r="3163">
          <cell r="C3163" t="str">
            <v>推广订单扣款</v>
          </cell>
        </row>
        <row r="3163">
          <cell r="H3163" t="str">
            <v>大坪店</v>
          </cell>
          <cell r="I3163">
            <v>46025</v>
          </cell>
          <cell r="J3163">
            <v>-140.91</v>
          </cell>
        </row>
        <row r="3164">
          <cell r="C3164" t="str">
            <v>推广订单扣款</v>
          </cell>
        </row>
        <row r="3164">
          <cell r="H3164" t="str">
            <v>金牛店</v>
          </cell>
          <cell r="I3164">
            <v>46025</v>
          </cell>
          <cell r="J3164">
            <v>-69.47</v>
          </cell>
        </row>
        <row r="3165">
          <cell r="C3165" t="str">
            <v>推广订单扣款</v>
          </cell>
        </row>
        <row r="3165">
          <cell r="H3165" t="str">
            <v>观音桥店</v>
          </cell>
          <cell r="I3165">
            <v>46025</v>
          </cell>
          <cell r="J3165">
            <v>-200</v>
          </cell>
        </row>
        <row r="3166">
          <cell r="C3166" t="str">
            <v>推广订单扣款</v>
          </cell>
        </row>
        <row r="3166">
          <cell r="H3166" t="str">
            <v>高新店</v>
          </cell>
          <cell r="I3166">
            <v>46025</v>
          </cell>
          <cell r="J3166">
            <v>-130.45</v>
          </cell>
        </row>
        <row r="3167">
          <cell r="C3167" t="str">
            <v>推广订单扣款</v>
          </cell>
        </row>
        <row r="3167">
          <cell r="H3167" t="str">
            <v>余杭店</v>
          </cell>
          <cell r="I3167">
            <v>46025</v>
          </cell>
          <cell r="J3167">
            <v>-160.95</v>
          </cell>
        </row>
        <row r="3168">
          <cell r="C3168" t="str">
            <v>推广订单扣款</v>
          </cell>
        </row>
        <row r="3168">
          <cell r="H3168" t="str">
            <v>西山店</v>
          </cell>
          <cell r="I3168">
            <v>46025</v>
          </cell>
          <cell r="J3168">
            <v>-223.45</v>
          </cell>
        </row>
        <row r="3169">
          <cell r="C3169" t="str">
            <v>推广订单扣款</v>
          </cell>
        </row>
        <row r="3169">
          <cell r="H3169" t="str">
            <v>湖里店</v>
          </cell>
          <cell r="I3169">
            <v>46025</v>
          </cell>
          <cell r="J3169">
            <v>-186.02</v>
          </cell>
        </row>
        <row r="3170">
          <cell r="C3170" t="str">
            <v>推广订单扣款</v>
          </cell>
        </row>
        <row r="3170">
          <cell r="H3170" t="str">
            <v>华信店</v>
          </cell>
          <cell r="I3170">
            <v>46025</v>
          </cell>
          <cell r="J3170">
            <v>-200</v>
          </cell>
        </row>
        <row r="3171">
          <cell r="C3171" t="str">
            <v>推广订单扣款</v>
          </cell>
        </row>
        <row r="3171">
          <cell r="H3171" t="str">
            <v>武侯店</v>
          </cell>
          <cell r="I3171">
            <v>46025</v>
          </cell>
          <cell r="J3171">
            <v>-34.16</v>
          </cell>
        </row>
        <row r="3172">
          <cell r="C3172" t="str">
            <v>推广订单扣款</v>
          </cell>
        </row>
        <row r="3172">
          <cell r="H3172" t="str">
            <v>首南店</v>
          </cell>
          <cell r="I3172">
            <v>46025</v>
          </cell>
          <cell r="J3172">
            <v>-113.63</v>
          </cell>
        </row>
        <row r="3173">
          <cell r="C3173" t="str">
            <v>推广订单扣款</v>
          </cell>
        </row>
        <row r="3173">
          <cell r="H3173" t="str">
            <v>青羊店</v>
          </cell>
          <cell r="I3173">
            <v>46025</v>
          </cell>
          <cell r="J3173">
            <v>-55.62</v>
          </cell>
        </row>
        <row r="3174">
          <cell r="C3174" t="str">
            <v>推广订单扣款</v>
          </cell>
        </row>
        <row r="3174">
          <cell r="H3174" t="str">
            <v>滨江店</v>
          </cell>
          <cell r="I3174">
            <v>46025</v>
          </cell>
          <cell r="J3174">
            <v>-200</v>
          </cell>
        </row>
        <row r="3175">
          <cell r="C3175" t="str">
            <v>推广订单扣款</v>
          </cell>
        </row>
        <row r="3175">
          <cell r="H3175" t="str">
            <v>凤城二路店</v>
          </cell>
          <cell r="I3175">
            <v>46025</v>
          </cell>
          <cell r="J3175">
            <v>-200</v>
          </cell>
        </row>
        <row r="3176">
          <cell r="C3176" t="str">
            <v>推广订单扣款</v>
          </cell>
        </row>
        <row r="3176">
          <cell r="H3176" t="str">
            <v>西湖店</v>
          </cell>
          <cell r="I3176">
            <v>46025</v>
          </cell>
          <cell r="J3176">
            <v>-96.01</v>
          </cell>
        </row>
        <row r="3177">
          <cell r="C3177" t="str">
            <v>推广订单扣款</v>
          </cell>
        </row>
        <row r="3177">
          <cell r="H3177" t="str">
            <v>首山店</v>
          </cell>
          <cell r="I3177">
            <v>46025</v>
          </cell>
          <cell r="J3177">
            <v>-105.26</v>
          </cell>
        </row>
        <row r="3178">
          <cell r="C3178" t="str">
            <v>推广订单扣款</v>
          </cell>
        </row>
        <row r="3178">
          <cell r="H3178" t="str">
            <v>鼓楼店</v>
          </cell>
          <cell r="I3178">
            <v>46025</v>
          </cell>
          <cell r="J3178">
            <v>-203</v>
          </cell>
        </row>
        <row r="3179">
          <cell r="C3179" t="str">
            <v>推广订单扣款</v>
          </cell>
        </row>
        <row r="3179">
          <cell r="H3179" t="str">
            <v>洛江店</v>
          </cell>
          <cell r="I3179">
            <v>46025</v>
          </cell>
          <cell r="J3179">
            <v>-63</v>
          </cell>
        </row>
        <row r="3180">
          <cell r="C3180" t="str">
            <v>推广订单扣款</v>
          </cell>
        </row>
        <row r="3180">
          <cell r="H3180" t="str">
            <v>五华店</v>
          </cell>
          <cell r="I3180">
            <v>46025</v>
          </cell>
          <cell r="J3180">
            <v>-121.46</v>
          </cell>
        </row>
        <row r="3181">
          <cell r="C3181" t="str">
            <v>推广订单扣款</v>
          </cell>
        </row>
        <row r="3181">
          <cell r="H3181" t="str">
            <v>长沙店</v>
          </cell>
          <cell r="I3181">
            <v>46025</v>
          </cell>
          <cell r="J3181">
            <v>-129.1</v>
          </cell>
        </row>
        <row r="3182">
          <cell r="C3182" t="str">
            <v>推广订单扣款</v>
          </cell>
        </row>
        <row r="3182">
          <cell r="H3182" t="str">
            <v>海口店</v>
          </cell>
          <cell r="I3182">
            <v>46025</v>
          </cell>
          <cell r="J3182">
            <v>-199.09</v>
          </cell>
        </row>
        <row r="3183">
          <cell r="C3183" t="str">
            <v>推广订单扣款</v>
          </cell>
        </row>
        <row r="3183">
          <cell r="H3183" t="str">
            <v>百丈店</v>
          </cell>
          <cell r="I3183">
            <v>46025</v>
          </cell>
          <cell r="J3183">
            <v>-156.85</v>
          </cell>
        </row>
        <row r="3184">
          <cell r="C3184" t="str">
            <v>推广订单扣款</v>
          </cell>
        </row>
        <row r="3184">
          <cell r="H3184" t="str">
            <v>五路口店</v>
          </cell>
          <cell r="I3184">
            <v>46025</v>
          </cell>
          <cell r="J3184">
            <v>-200</v>
          </cell>
        </row>
        <row r="3185">
          <cell r="C3185" t="str">
            <v>推广订单扣款</v>
          </cell>
        </row>
        <row r="3185">
          <cell r="H3185" t="str">
            <v>沙坪坝店</v>
          </cell>
          <cell r="I3185">
            <v>46025</v>
          </cell>
          <cell r="J3185">
            <v>-127.88</v>
          </cell>
        </row>
        <row r="3186">
          <cell r="C3186" t="str">
            <v>推广订单扣款</v>
          </cell>
        </row>
        <row r="3186">
          <cell r="H3186" t="str">
            <v>东新店</v>
          </cell>
          <cell r="I3186">
            <v>46025</v>
          </cell>
          <cell r="J3186">
            <v>-200</v>
          </cell>
        </row>
        <row r="3187">
          <cell r="C3187" t="str">
            <v>推广订单扣款</v>
          </cell>
        </row>
        <row r="3187">
          <cell r="H3187" t="str">
            <v>东海店</v>
          </cell>
          <cell r="I3187">
            <v>46025</v>
          </cell>
          <cell r="J3187">
            <v>-126.15</v>
          </cell>
        </row>
        <row r="3188">
          <cell r="C3188" t="str">
            <v>推广订单扣款</v>
          </cell>
        </row>
        <row r="3188">
          <cell r="H3188" t="str">
            <v>官渡店</v>
          </cell>
          <cell r="I3188">
            <v>46025</v>
          </cell>
          <cell r="J3188">
            <v>-173.05</v>
          </cell>
        </row>
        <row r="3189">
          <cell r="C3189" t="str">
            <v>推广订单扣款</v>
          </cell>
        </row>
        <row r="3189">
          <cell r="H3189" t="str">
            <v>百捷店</v>
          </cell>
          <cell r="I3189">
            <v>46025</v>
          </cell>
          <cell r="J3189">
            <v>-75.69</v>
          </cell>
        </row>
        <row r="3190">
          <cell r="C3190" t="str">
            <v>推广订单扣款</v>
          </cell>
        </row>
        <row r="3190">
          <cell r="H3190" t="str">
            <v>文灶店</v>
          </cell>
          <cell r="I3190">
            <v>46025</v>
          </cell>
          <cell r="J3190">
            <v>-211.82</v>
          </cell>
        </row>
        <row r="3191">
          <cell r="C3191" t="str">
            <v>推广订单扣款</v>
          </cell>
        </row>
        <row r="3191">
          <cell r="H3191" t="str">
            <v>启点店</v>
          </cell>
          <cell r="I3191">
            <v>46025</v>
          </cell>
          <cell r="J3191">
            <v>-123.05</v>
          </cell>
        </row>
        <row r="3192">
          <cell r="C3192" t="str">
            <v>推广订单扣款</v>
          </cell>
        </row>
        <row r="3192">
          <cell r="H3192" t="str">
            <v>黄雁村店</v>
          </cell>
          <cell r="I3192">
            <v>46025</v>
          </cell>
          <cell r="J3192">
            <v>-200</v>
          </cell>
        </row>
        <row r="3193">
          <cell r="C3193" t="str">
            <v>推广订单扣款</v>
          </cell>
        </row>
        <row r="3193">
          <cell r="H3193" t="str">
            <v>诚毅店</v>
          </cell>
          <cell r="I3193">
            <v>46025</v>
          </cell>
          <cell r="J3193">
            <v>-194.48</v>
          </cell>
        </row>
        <row r="3194">
          <cell r="C3194" t="str">
            <v>推广订单扣款</v>
          </cell>
        </row>
        <row r="3194">
          <cell r="H3194" t="str">
            <v>成华店</v>
          </cell>
          <cell r="I3194">
            <v>46025</v>
          </cell>
          <cell r="J3194">
            <v>-76.63</v>
          </cell>
        </row>
        <row r="3195">
          <cell r="C3195" t="str">
            <v>推广订单扣款</v>
          </cell>
        </row>
        <row r="3195">
          <cell r="H3195" t="str">
            <v>观桥店</v>
          </cell>
          <cell r="I3195">
            <v>46025</v>
          </cell>
          <cell r="J3195">
            <v>-166.46</v>
          </cell>
        </row>
        <row r="3196">
          <cell r="C3196" t="str">
            <v>推广订单扣款</v>
          </cell>
        </row>
        <row r="3196">
          <cell r="H3196" t="str">
            <v>文昌店</v>
          </cell>
          <cell r="I3196">
            <v>46025</v>
          </cell>
          <cell r="J3196">
            <v>-75.86</v>
          </cell>
        </row>
        <row r="3197">
          <cell r="C3197" t="str">
            <v>推广账户自动充值</v>
          </cell>
        </row>
        <row r="3197">
          <cell r="H3197" t="str">
            <v>湖里店</v>
          </cell>
          <cell r="I3197">
            <v>46025</v>
          </cell>
          <cell r="J3197">
            <v>200</v>
          </cell>
        </row>
        <row r="3198">
          <cell r="C3198" t="str">
            <v>推广账户自动充值</v>
          </cell>
        </row>
        <row r="3198">
          <cell r="H3198" t="str">
            <v>启点店</v>
          </cell>
          <cell r="I3198">
            <v>46025</v>
          </cell>
          <cell r="J3198">
            <v>200</v>
          </cell>
        </row>
        <row r="3199">
          <cell r="C3199" t="str">
            <v>推广账户自动充值</v>
          </cell>
        </row>
        <row r="3199">
          <cell r="H3199" t="str">
            <v>济南店</v>
          </cell>
          <cell r="I3199">
            <v>46025</v>
          </cell>
          <cell r="J3199">
            <v>200</v>
          </cell>
        </row>
        <row r="3200">
          <cell r="C3200" t="str">
            <v>推广账户自动充值</v>
          </cell>
        </row>
        <row r="3200">
          <cell r="H3200" t="str">
            <v>首南店</v>
          </cell>
          <cell r="I3200">
            <v>46025</v>
          </cell>
          <cell r="J3200">
            <v>200</v>
          </cell>
        </row>
        <row r="3201">
          <cell r="C3201" t="str">
            <v>推广账户自动充值</v>
          </cell>
        </row>
        <row r="3201">
          <cell r="H3201" t="str">
            <v>余杭店</v>
          </cell>
          <cell r="I3201">
            <v>46025</v>
          </cell>
          <cell r="J3201">
            <v>200</v>
          </cell>
        </row>
        <row r="3202">
          <cell r="C3202" t="str">
            <v>推广账户自动充值</v>
          </cell>
        </row>
        <row r="3202">
          <cell r="H3202" t="str">
            <v>东新店</v>
          </cell>
          <cell r="I3202">
            <v>46025</v>
          </cell>
          <cell r="J3202">
            <v>200</v>
          </cell>
        </row>
        <row r="3203">
          <cell r="C3203" t="str">
            <v>推广账户自动充值</v>
          </cell>
        </row>
        <row r="3203">
          <cell r="H3203" t="str">
            <v>海口店</v>
          </cell>
          <cell r="I3203">
            <v>46025</v>
          </cell>
          <cell r="J3203">
            <v>200</v>
          </cell>
        </row>
        <row r="3204">
          <cell r="C3204" t="str">
            <v>推广账户自动充值</v>
          </cell>
        </row>
        <row r="3204">
          <cell r="H3204" t="str">
            <v>东海店</v>
          </cell>
          <cell r="I3204">
            <v>46025</v>
          </cell>
          <cell r="J3204">
            <v>200</v>
          </cell>
        </row>
        <row r="3205">
          <cell r="C3205" t="str">
            <v>推广账户自动充值</v>
          </cell>
        </row>
        <row r="3205">
          <cell r="H3205" t="str">
            <v>青羊店</v>
          </cell>
          <cell r="I3205">
            <v>46025</v>
          </cell>
          <cell r="J3205">
            <v>200</v>
          </cell>
        </row>
        <row r="3206">
          <cell r="C3206" t="str">
            <v>推广账户自动充值</v>
          </cell>
        </row>
        <row r="3206">
          <cell r="H3206" t="str">
            <v>观音桥店</v>
          </cell>
          <cell r="I3206">
            <v>46025</v>
          </cell>
          <cell r="J3206">
            <v>200</v>
          </cell>
        </row>
        <row r="3207">
          <cell r="C3207" t="str">
            <v>推广订单扣款</v>
          </cell>
        </row>
        <row r="3207">
          <cell r="H3207" t="str">
            <v>华信店</v>
          </cell>
          <cell r="I3207">
            <v>46026</v>
          </cell>
          <cell r="J3207">
            <v>-198.79</v>
          </cell>
        </row>
        <row r="3208">
          <cell r="C3208" t="str">
            <v>推广订单扣款</v>
          </cell>
        </row>
        <row r="3208">
          <cell r="H3208" t="str">
            <v>湖里店</v>
          </cell>
          <cell r="I3208">
            <v>46026</v>
          </cell>
          <cell r="J3208">
            <v>-75.72</v>
          </cell>
        </row>
        <row r="3209">
          <cell r="C3209" t="str">
            <v>推广账户自动充值</v>
          </cell>
        </row>
        <row r="3209">
          <cell r="H3209" t="str">
            <v>东新店</v>
          </cell>
          <cell r="I3209">
            <v>46026</v>
          </cell>
          <cell r="J3209">
            <v>200</v>
          </cell>
        </row>
        <row r="3210">
          <cell r="C3210" t="str">
            <v>推广订单扣款</v>
          </cell>
        </row>
        <row r="3210">
          <cell r="H3210" t="str">
            <v>东新店</v>
          </cell>
          <cell r="I3210">
            <v>46026</v>
          </cell>
          <cell r="J3210">
            <v>-163.91</v>
          </cell>
        </row>
        <row r="3211">
          <cell r="C3211" t="str">
            <v>推广账户自动充值</v>
          </cell>
        </row>
        <row r="3211">
          <cell r="H3211" t="str">
            <v>启点店</v>
          </cell>
          <cell r="I3211">
            <v>46026</v>
          </cell>
          <cell r="J3211">
            <v>200</v>
          </cell>
        </row>
        <row r="3212">
          <cell r="C3212" t="str">
            <v>推广订单扣款</v>
          </cell>
        </row>
        <row r="3212">
          <cell r="H3212" t="str">
            <v>启点店</v>
          </cell>
          <cell r="I3212">
            <v>46026</v>
          </cell>
          <cell r="J3212">
            <v>-154.45</v>
          </cell>
        </row>
        <row r="3213">
          <cell r="C3213" t="str">
            <v>推广订单扣款</v>
          </cell>
        </row>
        <row r="3213">
          <cell r="H3213" t="str">
            <v>高新店</v>
          </cell>
          <cell r="I3213">
            <v>46026</v>
          </cell>
          <cell r="J3213">
            <v>-50.88</v>
          </cell>
        </row>
        <row r="3214">
          <cell r="C3214" t="str">
            <v>推广订单扣款</v>
          </cell>
        </row>
        <row r="3214">
          <cell r="H3214" t="str">
            <v>成华店</v>
          </cell>
          <cell r="I3214">
            <v>46026</v>
          </cell>
          <cell r="J3214">
            <v>-24.58</v>
          </cell>
        </row>
        <row r="3215">
          <cell r="C3215" t="str">
            <v>推广订单扣款</v>
          </cell>
        </row>
        <row r="3215">
          <cell r="H3215" t="str">
            <v>金牛店</v>
          </cell>
          <cell r="I3215">
            <v>46026</v>
          </cell>
          <cell r="J3215">
            <v>-48.68</v>
          </cell>
        </row>
        <row r="3216">
          <cell r="C3216" t="str">
            <v>推广订单扣款</v>
          </cell>
        </row>
        <row r="3216">
          <cell r="H3216" t="str">
            <v>西山店</v>
          </cell>
          <cell r="I3216">
            <v>46026</v>
          </cell>
          <cell r="J3216">
            <v>-66.92</v>
          </cell>
        </row>
        <row r="3217">
          <cell r="C3217" t="str">
            <v>推广订单扣款</v>
          </cell>
        </row>
        <row r="3217">
          <cell r="H3217" t="str">
            <v>沙坪坝店</v>
          </cell>
          <cell r="I3217">
            <v>46026</v>
          </cell>
          <cell r="J3217">
            <v>-34.44</v>
          </cell>
        </row>
        <row r="3218">
          <cell r="C3218" t="str">
            <v>推广订单扣款</v>
          </cell>
        </row>
        <row r="3218">
          <cell r="H3218" t="str">
            <v>凤城二路店</v>
          </cell>
          <cell r="I3218">
            <v>46026</v>
          </cell>
          <cell r="J3218">
            <v>-200</v>
          </cell>
        </row>
        <row r="3219">
          <cell r="C3219" t="str">
            <v>推广订单扣款</v>
          </cell>
        </row>
        <row r="3219">
          <cell r="H3219" t="str">
            <v>大坪店</v>
          </cell>
          <cell r="I3219">
            <v>46026</v>
          </cell>
          <cell r="J3219">
            <v>-55.55</v>
          </cell>
        </row>
        <row r="3220">
          <cell r="C3220" t="str">
            <v>推广订单扣款</v>
          </cell>
        </row>
        <row r="3220">
          <cell r="H3220" t="str">
            <v>五华店</v>
          </cell>
          <cell r="I3220">
            <v>46026</v>
          </cell>
          <cell r="J3220">
            <v>-62.58</v>
          </cell>
        </row>
        <row r="3221">
          <cell r="C3221" t="str">
            <v>推广订单扣款</v>
          </cell>
        </row>
        <row r="3221">
          <cell r="H3221" t="str">
            <v>官渡店</v>
          </cell>
          <cell r="I3221">
            <v>46026</v>
          </cell>
          <cell r="J3221">
            <v>-96.01</v>
          </cell>
        </row>
        <row r="3222">
          <cell r="C3222" t="str">
            <v>推广订单扣款</v>
          </cell>
        </row>
        <row r="3222">
          <cell r="H3222" t="str">
            <v>百捷店</v>
          </cell>
          <cell r="I3222">
            <v>46026</v>
          </cell>
          <cell r="J3222">
            <v>-19.17</v>
          </cell>
        </row>
        <row r="3223">
          <cell r="C3223" t="str">
            <v>推广订单扣款</v>
          </cell>
        </row>
        <row r="3223">
          <cell r="H3223" t="str">
            <v>济南店</v>
          </cell>
          <cell r="I3223">
            <v>46026</v>
          </cell>
          <cell r="J3223">
            <v>-266.82</v>
          </cell>
        </row>
        <row r="3224">
          <cell r="C3224" t="str">
            <v>推广订单扣款</v>
          </cell>
        </row>
        <row r="3224">
          <cell r="H3224" t="str">
            <v>观音桥店</v>
          </cell>
          <cell r="I3224">
            <v>46026</v>
          </cell>
          <cell r="J3224">
            <v>-131.35</v>
          </cell>
        </row>
        <row r="3225">
          <cell r="C3225" t="str">
            <v>推广订单扣款</v>
          </cell>
        </row>
        <row r="3225">
          <cell r="H3225" t="str">
            <v>长沙店</v>
          </cell>
          <cell r="I3225">
            <v>46026</v>
          </cell>
          <cell r="J3225">
            <v>-160.64</v>
          </cell>
        </row>
        <row r="3226">
          <cell r="C3226" t="str">
            <v>推广订单扣款</v>
          </cell>
        </row>
        <row r="3226">
          <cell r="H3226" t="str">
            <v>洛江店</v>
          </cell>
          <cell r="I3226">
            <v>46026</v>
          </cell>
          <cell r="J3226">
            <v>-11.1</v>
          </cell>
        </row>
        <row r="3227">
          <cell r="C3227" t="str">
            <v>推广订单扣款</v>
          </cell>
        </row>
        <row r="3227">
          <cell r="H3227" t="str">
            <v>五路口店</v>
          </cell>
          <cell r="I3227">
            <v>46026</v>
          </cell>
          <cell r="J3227">
            <v>-200</v>
          </cell>
        </row>
        <row r="3228">
          <cell r="C3228" t="str">
            <v>推广订单扣款</v>
          </cell>
        </row>
        <row r="3228">
          <cell r="H3228" t="str">
            <v>青羊店</v>
          </cell>
          <cell r="I3228">
            <v>46026</v>
          </cell>
          <cell r="J3228">
            <v>-46.54</v>
          </cell>
        </row>
        <row r="3229">
          <cell r="C3229" t="str">
            <v>推广订单扣款</v>
          </cell>
        </row>
        <row r="3229">
          <cell r="H3229" t="str">
            <v>武侯店</v>
          </cell>
          <cell r="I3229">
            <v>46026</v>
          </cell>
          <cell r="J3229">
            <v>-8.04</v>
          </cell>
        </row>
        <row r="3230">
          <cell r="C3230" t="str">
            <v>推广账户自动充值</v>
          </cell>
        </row>
        <row r="3230">
          <cell r="H3230" t="str">
            <v>鼓楼店</v>
          </cell>
          <cell r="I3230">
            <v>46026</v>
          </cell>
          <cell r="J3230">
            <v>200</v>
          </cell>
        </row>
        <row r="3231">
          <cell r="C3231" t="str">
            <v>推广订单扣款</v>
          </cell>
        </row>
        <row r="3231">
          <cell r="H3231" t="str">
            <v>鼓楼店</v>
          </cell>
          <cell r="I3231">
            <v>46026</v>
          </cell>
          <cell r="J3231">
            <v>-35.27</v>
          </cell>
        </row>
        <row r="3232">
          <cell r="C3232" t="str">
            <v>推广订单扣款</v>
          </cell>
        </row>
        <row r="3232">
          <cell r="H3232" t="str">
            <v>黄雁村店</v>
          </cell>
          <cell r="I3232">
            <v>46026</v>
          </cell>
          <cell r="J3232">
            <v>-200</v>
          </cell>
        </row>
        <row r="3233">
          <cell r="C3233" t="str">
            <v>推广订单扣款</v>
          </cell>
        </row>
        <row r="3233">
          <cell r="H3233" t="str">
            <v>西湖店</v>
          </cell>
          <cell r="I3233">
            <v>46026</v>
          </cell>
          <cell r="J3233">
            <v>-105.12</v>
          </cell>
        </row>
        <row r="3234">
          <cell r="C3234" t="str">
            <v>推广账户自动充值</v>
          </cell>
        </row>
        <row r="3234">
          <cell r="H3234" t="str">
            <v>百丈店</v>
          </cell>
          <cell r="I3234">
            <v>46026</v>
          </cell>
          <cell r="J3234">
            <v>200</v>
          </cell>
        </row>
        <row r="3235">
          <cell r="C3235" t="str">
            <v>推广订单扣款</v>
          </cell>
        </row>
        <row r="3235">
          <cell r="H3235" t="str">
            <v>百丈店</v>
          </cell>
          <cell r="I3235">
            <v>46026</v>
          </cell>
          <cell r="J3235">
            <v>-86.53</v>
          </cell>
        </row>
        <row r="3236">
          <cell r="C3236" t="str">
            <v>推广订单扣款</v>
          </cell>
        </row>
        <row r="3236">
          <cell r="H3236" t="str">
            <v>文昌店</v>
          </cell>
          <cell r="I3236">
            <v>46026</v>
          </cell>
          <cell r="J3236">
            <v>-51.36</v>
          </cell>
        </row>
        <row r="3237">
          <cell r="C3237" t="str">
            <v>推广账户自动充值</v>
          </cell>
        </row>
        <row r="3237">
          <cell r="H3237" t="str">
            <v>观桥店</v>
          </cell>
          <cell r="I3237">
            <v>46026</v>
          </cell>
          <cell r="J3237">
            <v>200</v>
          </cell>
        </row>
        <row r="3238">
          <cell r="C3238" t="str">
            <v>推广订单扣款</v>
          </cell>
        </row>
        <row r="3238">
          <cell r="H3238" t="str">
            <v>观桥店</v>
          </cell>
          <cell r="I3238">
            <v>46026</v>
          </cell>
          <cell r="J3238">
            <v>-25.54</v>
          </cell>
        </row>
        <row r="3239">
          <cell r="C3239" t="str">
            <v>推广账户自动充值</v>
          </cell>
        </row>
        <row r="3239">
          <cell r="H3239" t="str">
            <v>海口店</v>
          </cell>
          <cell r="I3239">
            <v>46026</v>
          </cell>
          <cell r="J3239">
            <v>200</v>
          </cell>
        </row>
        <row r="3240">
          <cell r="C3240" t="str">
            <v>推广订单扣款</v>
          </cell>
        </row>
        <row r="3240">
          <cell r="H3240" t="str">
            <v>海口店</v>
          </cell>
          <cell r="I3240">
            <v>46026</v>
          </cell>
          <cell r="J3240">
            <v>-200</v>
          </cell>
        </row>
        <row r="3241">
          <cell r="C3241" t="str">
            <v>推广账户自动充值</v>
          </cell>
        </row>
        <row r="3241">
          <cell r="H3241" t="str">
            <v>诚毅店</v>
          </cell>
          <cell r="I3241">
            <v>46026</v>
          </cell>
          <cell r="J3241">
            <v>200</v>
          </cell>
        </row>
        <row r="3242">
          <cell r="C3242" t="str">
            <v>推广订单扣款</v>
          </cell>
        </row>
        <row r="3242">
          <cell r="H3242" t="str">
            <v>诚毅店</v>
          </cell>
          <cell r="I3242">
            <v>46026</v>
          </cell>
          <cell r="J3242">
            <v>-183</v>
          </cell>
        </row>
        <row r="3243">
          <cell r="C3243" t="str">
            <v>推广订单扣款</v>
          </cell>
        </row>
        <row r="3243">
          <cell r="H3243" t="str">
            <v>首山店</v>
          </cell>
          <cell r="I3243">
            <v>46026</v>
          </cell>
          <cell r="J3243">
            <v>-96.33</v>
          </cell>
        </row>
        <row r="3244">
          <cell r="C3244" t="str">
            <v>推广订单扣款</v>
          </cell>
        </row>
        <row r="3244">
          <cell r="H3244" t="str">
            <v>首南店</v>
          </cell>
          <cell r="I3244">
            <v>46026</v>
          </cell>
          <cell r="J3244">
            <v>-102.04</v>
          </cell>
        </row>
        <row r="3245">
          <cell r="C3245" t="str">
            <v>推广账户自动充值</v>
          </cell>
        </row>
        <row r="3245">
          <cell r="H3245" t="str">
            <v>余杭店</v>
          </cell>
          <cell r="I3245">
            <v>46026</v>
          </cell>
          <cell r="J3245">
            <v>200</v>
          </cell>
        </row>
        <row r="3246">
          <cell r="C3246" t="str">
            <v>推广订单扣款</v>
          </cell>
        </row>
        <row r="3246">
          <cell r="H3246" t="str">
            <v>余杭店</v>
          </cell>
          <cell r="I3246">
            <v>46026</v>
          </cell>
          <cell r="J3246">
            <v>-198.92</v>
          </cell>
        </row>
        <row r="3247">
          <cell r="C3247" t="str">
            <v>推广订单扣款</v>
          </cell>
        </row>
        <row r="3247">
          <cell r="H3247" t="str">
            <v>东海店</v>
          </cell>
          <cell r="I3247">
            <v>46026</v>
          </cell>
          <cell r="J3247">
            <v>-126.49</v>
          </cell>
        </row>
        <row r="3248">
          <cell r="C3248" t="str">
            <v>推广订单扣款</v>
          </cell>
        </row>
        <row r="3248">
          <cell r="H3248" t="str">
            <v>文灶店</v>
          </cell>
          <cell r="I3248">
            <v>46026</v>
          </cell>
          <cell r="J3248">
            <v>-226.1</v>
          </cell>
        </row>
        <row r="3249">
          <cell r="C3249" t="str">
            <v>推广订单扣款</v>
          </cell>
        </row>
        <row r="3249">
          <cell r="H3249" t="str">
            <v>滨江店</v>
          </cell>
          <cell r="I3249">
            <v>46026</v>
          </cell>
          <cell r="J3249">
            <v>-162.37</v>
          </cell>
        </row>
        <row r="3250">
          <cell r="C3250" t="str">
            <v>推广订单扣款</v>
          </cell>
        </row>
        <row r="3250">
          <cell r="H3250" t="str">
            <v>华信店</v>
          </cell>
          <cell r="I3250">
            <v>46027</v>
          </cell>
          <cell r="J3250">
            <v>-200</v>
          </cell>
        </row>
        <row r="3251">
          <cell r="C3251" t="str">
            <v>推广订单扣款</v>
          </cell>
        </row>
        <row r="3251">
          <cell r="H3251" t="str">
            <v>湖里店</v>
          </cell>
          <cell r="I3251">
            <v>46027</v>
          </cell>
          <cell r="J3251">
            <v>-158.29</v>
          </cell>
        </row>
        <row r="3252">
          <cell r="C3252" t="str">
            <v>推广订单扣款</v>
          </cell>
        </row>
        <row r="3252">
          <cell r="H3252" t="str">
            <v>东新店</v>
          </cell>
          <cell r="I3252">
            <v>46027</v>
          </cell>
          <cell r="J3252">
            <v>-182.48</v>
          </cell>
        </row>
        <row r="3253">
          <cell r="C3253" t="str">
            <v>推广订单扣款</v>
          </cell>
        </row>
        <row r="3253">
          <cell r="H3253" t="str">
            <v>启点店</v>
          </cell>
          <cell r="I3253">
            <v>46027</v>
          </cell>
          <cell r="J3253">
            <v>-140.41</v>
          </cell>
        </row>
        <row r="3254">
          <cell r="C3254" t="str">
            <v>推广订单扣款</v>
          </cell>
        </row>
        <row r="3254">
          <cell r="H3254" t="str">
            <v>高新店</v>
          </cell>
          <cell r="I3254">
            <v>46027</v>
          </cell>
          <cell r="J3254">
            <v>-167.2</v>
          </cell>
        </row>
        <row r="3255">
          <cell r="C3255" t="str">
            <v>推广订单扣款</v>
          </cell>
        </row>
        <row r="3255">
          <cell r="H3255" t="str">
            <v>成华店</v>
          </cell>
          <cell r="I3255">
            <v>46027</v>
          </cell>
          <cell r="J3255">
            <v>-67.21</v>
          </cell>
        </row>
        <row r="3256">
          <cell r="C3256" t="str">
            <v>推广订单扣款</v>
          </cell>
        </row>
        <row r="3256">
          <cell r="H3256" t="str">
            <v>金牛店</v>
          </cell>
          <cell r="I3256">
            <v>46027</v>
          </cell>
          <cell r="J3256">
            <v>-94.56</v>
          </cell>
        </row>
        <row r="3257">
          <cell r="C3257" t="str">
            <v>推广订单扣款</v>
          </cell>
        </row>
        <row r="3257">
          <cell r="H3257" t="str">
            <v>西山店</v>
          </cell>
          <cell r="I3257">
            <v>46027</v>
          </cell>
          <cell r="J3257">
            <v>-160.02</v>
          </cell>
        </row>
        <row r="3258">
          <cell r="C3258" t="str">
            <v>推广订单扣款</v>
          </cell>
        </row>
        <row r="3258">
          <cell r="H3258" t="str">
            <v>沙坪坝店</v>
          </cell>
          <cell r="I3258">
            <v>46027</v>
          </cell>
          <cell r="J3258">
            <v>-106.59</v>
          </cell>
        </row>
        <row r="3259">
          <cell r="C3259" t="str">
            <v>推广订单扣款</v>
          </cell>
        </row>
        <row r="3259">
          <cell r="H3259" t="str">
            <v>凤城二路店</v>
          </cell>
          <cell r="I3259">
            <v>46027</v>
          </cell>
          <cell r="J3259">
            <v>-200</v>
          </cell>
        </row>
        <row r="3260">
          <cell r="C3260" t="str">
            <v>推广订单扣款</v>
          </cell>
        </row>
        <row r="3260">
          <cell r="H3260" t="str">
            <v>大坪店</v>
          </cell>
          <cell r="I3260">
            <v>46027</v>
          </cell>
          <cell r="J3260">
            <v>-186.73</v>
          </cell>
        </row>
        <row r="3261">
          <cell r="C3261" t="str">
            <v>推广订单扣款</v>
          </cell>
        </row>
        <row r="3261">
          <cell r="H3261" t="str">
            <v>五华店</v>
          </cell>
          <cell r="I3261">
            <v>46027</v>
          </cell>
          <cell r="J3261">
            <v>-114.81</v>
          </cell>
        </row>
        <row r="3262">
          <cell r="C3262" t="str">
            <v>推广订单扣款</v>
          </cell>
        </row>
        <row r="3262">
          <cell r="H3262" t="str">
            <v>官渡店</v>
          </cell>
          <cell r="I3262">
            <v>46027</v>
          </cell>
          <cell r="J3262">
            <v>-165.49</v>
          </cell>
        </row>
        <row r="3263">
          <cell r="C3263" t="str">
            <v>推广订单扣款</v>
          </cell>
        </row>
        <row r="3263">
          <cell r="H3263" t="str">
            <v>百捷店</v>
          </cell>
          <cell r="I3263">
            <v>46027</v>
          </cell>
          <cell r="J3263">
            <v>-72.92</v>
          </cell>
        </row>
        <row r="3264">
          <cell r="C3264" t="str">
            <v>推广订单扣款</v>
          </cell>
        </row>
        <row r="3264">
          <cell r="H3264" t="str">
            <v>济南店</v>
          </cell>
          <cell r="I3264">
            <v>46027</v>
          </cell>
          <cell r="J3264">
            <v>-200</v>
          </cell>
        </row>
        <row r="3265">
          <cell r="C3265" t="str">
            <v>推广订单扣款</v>
          </cell>
        </row>
        <row r="3265">
          <cell r="H3265" t="str">
            <v>观音桥店</v>
          </cell>
          <cell r="I3265">
            <v>46027</v>
          </cell>
          <cell r="J3265">
            <v>-200</v>
          </cell>
        </row>
        <row r="3266">
          <cell r="C3266" t="str">
            <v>推广订单扣款</v>
          </cell>
        </row>
        <row r="3266">
          <cell r="H3266" t="str">
            <v>长沙店</v>
          </cell>
          <cell r="I3266">
            <v>46027</v>
          </cell>
          <cell r="J3266">
            <v>-153</v>
          </cell>
        </row>
        <row r="3267">
          <cell r="C3267" t="str">
            <v>推广订单扣款</v>
          </cell>
        </row>
        <row r="3267">
          <cell r="H3267" t="str">
            <v>洛江店</v>
          </cell>
          <cell r="I3267">
            <v>46027</v>
          </cell>
          <cell r="J3267">
            <v>-7.46</v>
          </cell>
        </row>
        <row r="3268">
          <cell r="C3268" t="str">
            <v>推广订单扣款</v>
          </cell>
        </row>
        <row r="3268">
          <cell r="H3268" t="str">
            <v>五路口店</v>
          </cell>
          <cell r="I3268">
            <v>46027</v>
          </cell>
          <cell r="J3268">
            <v>-200</v>
          </cell>
        </row>
        <row r="3269">
          <cell r="C3269" t="str">
            <v>推广订单扣款</v>
          </cell>
        </row>
        <row r="3269">
          <cell r="H3269" t="str">
            <v>青羊店</v>
          </cell>
          <cell r="I3269">
            <v>46027</v>
          </cell>
          <cell r="J3269">
            <v>-43.75</v>
          </cell>
        </row>
        <row r="3270">
          <cell r="C3270" t="str">
            <v>推广订单扣款</v>
          </cell>
        </row>
        <row r="3270">
          <cell r="H3270" t="str">
            <v>武侯店</v>
          </cell>
          <cell r="I3270">
            <v>46027</v>
          </cell>
          <cell r="J3270">
            <v>-74.26</v>
          </cell>
        </row>
        <row r="3271">
          <cell r="C3271" t="str">
            <v>推广订单扣款</v>
          </cell>
        </row>
        <row r="3271">
          <cell r="H3271" t="str">
            <v>鼓楼店</v>
          </cell>
          <cell r="I3271">
            <v>46027</v>
          </cell>
          <cell r="J3271">
            <v>-234.49</v>
          </cell>
        </row>
        <row r="3272">
          <cell r="C3272" t="str">
            <v>推广订单扣款</v>
          </cell>
        </row>
        <row r="3272">
          <cell r="H3272" t="str">
            <v>黄雁村店</v>
          </cell>
          <cell r="I3272">
            <v>46027</v>
          </cell>
          <cell r="J3272">
            <v>-200</v>
          </cell>
        </row>
        <row r="3273">
          <cell r="C3273" t="str">
            <v>推广订单扣款</v>
          </cell>
        </row>
        <row r="3273">
          <cell r="H3273" t="str">
            <v>西湖店</v>
          </cell>
          <cell r="I3273">
            <v>46027</v>
          </cell>
          <cell r="J3273">
            <v>-87.8</v>
          </cell>
        </row>
        <row r="3274">
          <cell r="C3274" t="str">
            <v>推广订单扣款</v>
          </cell>
        </row>
        <row r="3274">
          <cell r="H3274" t="str">
            <v>百丈店</v>
          </cell>
          <cell r="I3274">
            <v>46027</v>
          </cell>
          <cell r="J3274">
            <v>-122.99</v>
          </cell>
        </row>
        <row r="3275">
          <cell r="C3275" t="str">
            <v>推广订单扣款</v>
          </cell>
        </row>
        <row r="3275">
          <cell r="H3275" t="str">
            <v>文昌店</v>
          </cell>
          <cell r="I3275">
            <v>46027</v>
          </cell>
          <cell r="J3275">
            <v>-79.68</v>
          </cell>
        </row>
        <row r="3276">
          <cell r="C3276" t="str">
            <v>推广订单扣款</v>
          </cell>
        </row>
        <row r="3276">
          <cell r="H3276" t="str">
            <v>观桥店</v>
          </cell>
          <cell r="I3276">
            <v>46027</v>
          </cell>
          <cell r="J3276">
            <v>-179.25</v>
          </cell>
        </row>
        <row r="3277">
          <cell r="C3277" t="str">
            <v>推广订单扣款</v>
          </cell>
        </row>
        <row r="3277">
          <cell r="H3277" t="str">
            <v>海口店</v>
          </cell>
          <cell r="I3277">
            <v>46027</v>
          </cell>
          <cell r="J3277">
            <v>-200</v>
          </cell>
        </row>
        <row r="3278">
          <cell r="C3278" t="str">
            <v>推广订单扣款</v>
          </cell>
        </row>
        <row r="3278">
          <cell r="H3278" t="str">
            <v>诚毅店</v>
          </cell>
          <cell r="I3278">
            <v>46027</v>
          </cell>
          <cell r="J3278">
            <v>-195.75</v>
          </cell>
        </row>
        <row r="3279">
          <cell r="C3279" t="str">
            <v>推广订单扣款</v>
          </cell>
        </row>
        <row r="3279">
          <cell r="H3279" t="str">
            <v>首山店</v>
          </cell>
          <cell r="I3279">
            <v>46027</v>
          </cell>
          <cell r="J3279">
            <v>-210.45</v>
          </cell>
        </row>
        <row r="3280">
          <cell r="C3280" t="str">
            <v>推广订单扣款</v>
          </cell>
        </row>
        <row r="3280">
          <cell r="H3280" t="str">
            <v>首南店</v>
          </cell>
          <cell r="I3280">
            <v>46027</v>
          </cell>
          <cell r="J3280">
            <v>-192.63</v>
          </cell>
        </row>
        <row r="3281">
          <cell r="C3281" t="str">
            <v>推广订单扣款</v>
          </cell>
        </row>
        <row r="3281">
          <cell r="H3281" t="str">
            <v>余杭店</v>
          </cell>
          <cell r="I3281">
            <v>46027</v>
          </cell>
          <cell r="J3281">
            <v>-198.27</v>
          </cell>
        </row>
        <row r="3282">
          <cell r="C3282" t="str">
            <v>推广订单扣款</v>
          </cell>
        </row>
        <row r="3282">
          <cell r="H3282" t="str">
            <v>东海店</v>
          </cell>
          <cell r="I3282">
            <v>46027</v>
          </cell>
          <cell r="J3282">
            <v>-129.21</v>
          </cell>
        </row>
        <row r="3283">
          <cell r="C3283" t="str">
            <v>推广订单扣款</v>
          </cell>
        </row>
        <row r="3283">
          <cell r="H3283" t="str">
            <v>文灶店</v>
          </cell>
          <cell r="I3283">
            <v>46027</v>
          </cell>
          <cell r="J3283">
            <v>-143.61</v>
          </cell>
        </row>
        <row r="3284">
          <cell r="C3284" t="str">
            <v>推广订单扣款</v>
          </cell>
        </row>
        <row r="3284">
          <cell r="H3284" t="str">
            <v>滨江店</v>
          </cell>
          <cell r="I3284">
            <v>46027</v>
          </cell>
          <cell r="J3284">
            <v>-200</v>
          </cell>
        </row>
        <row r="3285">
          <cell r="C3285" t="str">
            <v>推广订单扣款</v>
          </cell>
        </row>
        <row r="3285">
          <cell r="H3285" t="str">
            <v>华信店</v>
          </cell>
          <cell r="I3285">
            <v>46028</v>
          </cell>
          <cell r="J3285">
            <v>-200</v>
          </cell>
        </row>
        <row r="3286">
          <cell r="C3286" t="str">
            <v>推广订单扣款</v>
          </cell>
        </row>
        <row r="3286">
          <cell r="H3286" t="str">
            <v>湖里店</v>
          </cell>
          <cell r="I3286">
            <v>46028</v>
          </cell>
          <cell r="J3286">
            <v>-212.22</v>
          </cell>
        </row>
        <row r="3287">
          <cell r="C3287" t="str">
            <v>推广账户自动充值</v>
          </cell>
        </row>
        <row r="3287">
          <cell r="H3287" t="str">
            <v>东新店</v>
          </cell>
          <cell r="I3287">
            <v>46028</v>
          </cell>
          <cell r="J3287">
            <v>200</v>
          </cell>
        </row>
        <row r="3288">
          <cell r="C3288" t="str">
            <v>推广订单扣款</v>
          </cell>
        </row>
        <row r="3288">
          <cell r="H3288" t="str">
            <v>东新店</v>
          </cell>
          <cell r="I3288">
            <v>46028</v>
          </cell>
          <cell r="J3288">
            <v>-199.59</v>
          </cell>
        </row>
        <row r="3289">
          <cell r="C3289" t="str">
            <v>推广订单扣款</v>
          </cell>
        </row>
        <row r="3289">
          <cell r="H3289" t="str">
            <v>启点店</v>
          </cell>
          <cell r="I3289">
            <v>46028</v>
          </cell>
          <cell r="J3289">
            <v>-153.17</v>
          </cell>
        </row>
        <row r="3290">
          <cell r="C3290" t="str">
            <v>推广订单扣款</v>
          </cell>
        </row>
        <row r="3290">
          <cell r="H3290" t="str">
            <v>高新店</v>
          </cell>
          <cell r="I3290">
            <v>46028</v>
          </cell>
          <cell r="J3290">
            <v>-150.88</v>
          </cell>
        </row>
        <row r="3291">
          <cell r="C3291" t="str">
            <v>推广订单扣款</v>
          </cell>
        </row>
        <row r="3291">
          <cell r="H3291" t="str">
            <v>成华店</v>
          </cell>
          <cell r="I3291">
            <v>46028</v>
          </cell>
          <cell r="J3291">
            <v>-130.52</v>
          </cell>
        </row>
        <row r="3292">
          <cell r="C3292" t="str">
            <v>推广订单扣款</v>
          </cell>
        </row>
        <row r="3292">
          <cell r="H3292" t="str">
            <v>金牛店</v>
          </cell>
          <cell r="I3292">
            <v>46028</v>
          </cell>
          <cell r="J3292">
            <v>-97.79</v>
          </cell>
        </row>
        <row r="3293">
          <cell r="C3293" t="str">
            <v>推广订单扣款</v>
          </cell>
        </row>
        <row r="3293">
          <cell r="H3293" t="str">
            <v>西山店</v>
          </cell>
          <cell r="I3293">
            <v>46028</v>
          </cell>
          <cell r="J3293">
            <v>-157.92</v>
          </cell>
        </row>
        <row r="3294">
          <cell r="C3294" t="str">
            <v>推广订单扣款</v>
          </cell>
        </row>
        <row r="3294">
          <cell r="H3294" t="str">
            <v>沙坪坝店</v>
          </cell>
          <cell r="I3294">
            <v>46028</v>
          </cell>
          <cell r="J3294">
            <v>-59.77</v>
          </cell>
        </row>
        <row r="3295">
          <cell r="C3295" t="str">
            <v>推广账户自动充值</v>
          </cell>
        </row>
        <row r="3295">
          <cell r="H3295" t="str">
            <v>凤城二路店</v>
          </cell>
          <cell r="I3295">
            <v>46028</v>
          </cell>
          <cell r="J3295">
            <v>200</v>
          </cell>
        </row>
        <row r="3296">
          <cell r="C3296" t="str">
            <v>推广订单扣款</v>
          </cell>
        </row>
        <row r="3296">
          <cell r="H3296" t="str">
            <v>凤城二路店</v>
          </cell>
          <cell r="I3296">
            <v>46028</v>
          </cell>
          <cell r="J3296">
            <v>-200</v>
          </cell>
        </row>
        <row r="3297">
          <cell r="C3297" t="str">
            <v>推广账户自动充值</v>
          </cell>
        </row>
        <row r="3297">
          <cell r="H3297" t="str">
            <v>大坪店</v>
          </cell>
          <cell r="I3297">
            <v>46028</v>
          </cell>
          <cell r="J3297">
            <v>200</v>
          </cell>
        </row>
        <row r="3298">
          <cell r="C3298" t="str">
            <v>推广订单扣款</v>
          </cell>
        </row>
        <row r="3298">
          <cell r="H3298" t="str">
            <v>大坪店</v>
          </cell>
          <cell r="I3298">
            <v>46028</v>
          </cell>
          <cell r="J3298">
            <v>-200</v>
          </cell>
        </row>
        <row r="3299">
          <cell r="C3299" t="str">
            <v>推广账户自动充值</v>
          </cell>
        </row>
        <row r="3299">
          <cell r="H3299" t="str">
            <v>五华店</v>
          </cell>
          <cell r="I3299">
            <v>46028</v>
          </cell>
          <cell r="J3299">
            <v>200</v>
          </cell>
        </row>
        <row r="3300">
          <cell r="C3300" t="str">
            <v>推广订单扣款</v>
          </cell>
        </row>
        <row r="3300">
          <cell r="H3300" t="str">
            <v>五华店</v>
          </cell>
          <cell r="I3300">
            <v>46028</v>
          </cell>
          <cell r="J3300">
            <v>-183.88</v>
          </cell>
        </row>
        <row r="3301">
          <cell r="C3301" t="str">
            <v>推广账户自动充值</v>
          </cell>
        </row>
        <row r="3301">
          <cell r="H3301" t="str">
            <v>官渡店</v>
          </cell>
          <cell r="I3301">
            <v>46028</v>
          </cell>
          <cell r="J3301">
            <v>200</v>
          </cell>
        </row>
        <row r="3302">
          <cell r="C3302" t="str">
            <v>推广订单扣款</v>
          </cell>
        </row>
        <row r="3302">
          <cell r="H3302" t="str">
            <v>官渡店</v>
          </cell>
          <cell r="I3302">
            <v>46028</v>
          </cell>
          <cell r="J3302">
            <v>-215.32</v>
          </cell>
        </row>
        <row r="3303">
          <cell r="C3303" t="str">
            <v>推广订单扣款</v>
          </cell>
        </row>
        <row r="3303">
          <cell r="H3303" t="str">
            <v>百捷店</v>
          </cell>
          <cell r="I3303">
            <v>46028</v>
          </cell>
          <cell r="J3303">
            <v>-99.05</v>
          </cell>
        </row>
        <row r="3304">
          <cell r="C3304" t="str">
            <v>推广账户自动充值</v>
          </cell>
        </row>
        <row r="3304">
          <cell r="H3304" t="str">
            <v>济南店</v>
          </cell>
          <cell r="I3304">
            <v>46028</v>
          </cell>
          <cell r="J3304">
            <v>200</v>
          </cell>
        </row>
        <row r="3305">
          <cell r="C3305" t="str">
            <v>推广订单扣款</v>
          </cell>
        </row>
        <row r="3305">
          <cell r="H3305" t="str">
            <v>济南店</v>
          </cell>
          <cell r="I3305">
            <v>46028</v>
          </cell>
          <cell r="J3305">
            <v>-200</v>
          </cell>
        </row>
        <row r="3306">
          <cell r="C3306" t="str">
            <v>推广账户自动充值</v>
          </cell>
        </row>
        <row r="3306">
          <cell r="H3306" t="str">
            <v>观音桥店</v>
          </cell>
          <cell r="I3306">
            <v>46028</v>
          </cell>
          <cell r="J3306">
            <v>200</v>
          </cell>
        </row>
        <row r="3307">
          <cell r="C3307" t="str">
            <v>推广订单扣款</v>
          </cell>
        </row>
        <row r="3307">
          <cell r="H3307" t="str">
            <v>观音桥店</v>
          </cell>
          <cell r="I3307">
            <v>46028</v>
          </cell>
          <cell r="J3307">
            <v>-200</v>
          </cell>
        </row>
        <row r="3308">
          <cell r="C3308" t="str">
            <v>推广账户自动充值</v>
          </cell>
        </row>
        <row r="3308">
          <cell r="H3308" t="str">
            <v>长沙店</v>
          </cell>
          <cell r="I3308">
            <v>46028</v>
          </cell>
          <cell r="J3308">
            <v>200</v>
          </cell>
        </row>
        <row r="3309">
          <cell r="C3309" t="str">
            <v>推广订单扣款</v>
          </cell>
        </row>
        <row r="3309">
          <cell r="H3309" t="str">
            <v>长沙店</v>
          </cell>
          <cell r="I3309">
            <v>46028</v>
          </cell>
          <cell r="J3309">
            <v>-186.76</v>
          </cell>
        </row>
        <row r="3310">
          <cell r="C3310" t="str">
            <v>推广订单扣款</v>
          </cell>
        </row>
        <row r="3310">
          <cell r="H3310" t="str">
            <v>洛江店</v>
          </cell>
          <cell r="I3310">
            <v>46028</v>
          </cell>
          <cell r="J3310">
            <v>-52.24</v>
          </cell>
        </row>
        <row r="3311">
          <cell r="C3311" t="str">
            <v>推广订单扣款</v>
          </cell>
        </row>
        <row r="3311">
          <cell r="H3311" t="str">
            <v>五路口店</v>
          </cell>
          <cell r="I3311">
            <v>46028</v>
          </cell>
          <cell r="J3311">
            <v>-200</v>
          </cell>
        </row>
        <row r="3312">
          <cell r="C3312" t="str">
            <v>推广订单扣款</v>
          </cell>
        </row>
        <row r="3312">
          <cell r="H3312" t="str">
            <v>青羊店</v>
          </cell>
          <cell r="I3312">
            <v>46028</v>
          </cell>
          <cell r="J3312">
            <v>-64.47</v>
          </cell>
        </row>
        <row r="3313">
          <cell r="C3313" t="str">
            <v>推广订单扣款</v>
          </cell>
        </row>
        <row r="3313">
          <cell r="H3313" t="str">
            <v>武侯店</v>
          </cell>
          <cell r="I3313">
            <v>46028</v>
          </cell>
          <cell r="J3313">
            <v>-68.41</v>
          </cell>
        </row>
        <row r="3314">
          <cell r="C3314" t="str">
            <v>推广订单扣款</v>
          </cell>
        </row>
        <row r="3314">
          <cell r="H3314" t="str">
            <v>鼓楼店</v>
          </cell>
          <cell r="I3314">
            <v>46028</v>
          </cell>
          <cell r="J3314">
            <v>-269.14</v>
          </cell>
        </row>
        <row r="3315">
          <cell r="C3315" t="str">
            <v>推广订单扣款</v>
          </cell>
        </row>
        <row r="3315">
          <cell r="H3315" t="str">
            <v>黄雁村店</v>
          </cell>
          <cell r="I3315">
            <v>46028</v>
          </cell>
          <cell r="J3315">
            <v>-200</v>
          </cell>
        </row>
        <row r="3316">
          <cell r="C3316" t="str">
            <v>推广账户自动充值</v>
          </cell>
        </row>
        <row r="3316">
          <cell r="H3316" t="str">
            <v>西湖店</v>
          </cell>
          <cell r="I3316">
            <v>46028</v>
          </cell>
          <cell r="J3316">
            <v>200</v>
          </cell>
        </row>
        <row r="3317">
          <cell r="C3317" t="str">
            <v>推广订单扣款</v>
          </cell>
        </row>
        <row r="3317">
          <cell r="H3317" t="str">
            <v>西湖店</v>
          </cell>
          <cell r="I3317">
            <v>46028</v>
          </cell>
          <cell r="J3317">
            <v>-131.39</v>
          </cell>
        </row>
        <row r="3318">
          <cell r="C3318" t="str">
            <v>推广订单扣款</v>
          </cell>
        </row>
        <row r="3318">
          <cell r="H3318" t="str">
            <v>百丈店</v>
          </cell>
          <cell r="I3318">
            <v>46028</v>
          </cell>
          <cell r="J3318">
            <v>-172.39</v>
          </cell>
        </row>
        <row r="3319">
          <cell r="C3319" t="str">
            <v>推广订单扣款</v>
          </cell>
        </row>
        <row r="3319">
          <cell r="H3319" t="str">
            <v>文昌店</v>
          </cell>
          <cell r="I3319">
            <v>46028</v>
          </cell>
          <cell r="J3319">
            <v>-95.99</v>
          </cell>
        </row>
        <row r="3320">
          <cell r="C3320" t="str">
            <v>推广账户自动充值</v>
          </cell>
        </row>
        <row r="3320">
          <cell r="H3320" t="str">
            <v>观桥店</v>
          </cell>
          <cell r="I3320">
            <v>46028</v>
          </cell>
          <cell r="J3320">
            <v>200</v>
          </cell>
        </row>
        <row r="3321">
          <cell r="C3321" t="str">
            <v>推广订单扣款</v>
          </cell>
        </row>
        <row r="3321">
          <cell r="H3321" t="str">
            <v>观桥店</v>
          </cell>
          <cell r="I3321">
            <v>46028</v>
          </cell>
          <cell r="J3321">
            <v>-171.71</v>
          </cell>
        </row>
        <row r="3322">
          <cell r="C3322" t="str">
            <v>推广账户自动充值</v>
          </cell>
        </row>
        <row r="3322">
          <cell r="H3322" t="str">
            <v>海口店</v>
          </cell>
          <cell r="I3322">
            <v>46028</v>
          </cell>
          <cell r="J3322">
            <v>200</v>
          </cell>
        </row>
        <row r="3323">
          <cell r="C3323" t="str">
            <v>推广订单扣款</v>
          </cell>
        </row>
        <row r="3323">
          <cell r="H3323" t="str">
            <v>海口店</v>
          </cell>
          <cell r="I3323">
            <v>46028</v>
          </cell>
          <cell r="J3323">
            <v>-200</v>
          </cell>
        </row>
        <row r="3324">
          <cell r="C3324" t="str">
            <v>推广账户自动充值</v>
          </cell>
        </row>
        <row r="3324">
          <cell r="H3324" t="str">
            <v>诚毅店</v>
          </cell>
          <cell r="I3324">
            <v>46028</v>
          </cell>
          <cell r="J3324">
            <v>200</v>
          </cell>
        </row>
        <row r="3325">
          <cell r="C3325" t="str">
            <v>推广订单扣款</v>
          </cell>
        </row>
        <row r="3325">
          <cell r="H3325" t="str">
            <v>诚毅店</v>
          </cell>
          <cell r="I3325">
            <v>46028</v>
          </cell>
          <cell r="J3325">
            <v>-184.31</v>
          </cell>
        </row>
        <row r="3326">
          <cell r="C3326" t="str">
            <v>推广订单扣款</v>
          </cell>
        </row>
        <row r="3326">
          <cell r="H3326" t="str">
            <v>首山店</v>
          </cell>
          <cell r="I3326">
            <v>46028</v>
          </cell>
          <cell r="J3326">
            <v>-145.62</v>
          </cell>
        </row>
        <row r="3327">
          <cell r="C3327" t="str">
            <v>推广账户自动充值</v>
          </cell>
        </row>
        <row r="3327">
          <cell r="H3327" t="str">
            <v>首山店</v>
          </cell>
          <cell r="I3327">
            <v>46028</v>
          </cell>
          <cell r="J3327">
            <v>200</v>
          </cell>
        </row>
        <row r="3328">
          <cell r="C3328" t="str">
            <v>推广账户自动充值</v>
          </cell>
        </row>
        <row r="3328">
          <cell r="H3328" t="str">
            <v>首南店</v>
          </cell>
          <cell r="I3328">
            <v>46028</v>
          </cell>
          <cell r="J3328">
            <v>200</v>
          </cell>
        </row>
        <row r="3329">
          <cell r="C3329" t="str">
            <v>推广订单扣款</v>
          </cell>
        </row>
        <row r="3329">
          <cell r="H3329" t="str">
            <v>首南店</v>
          </cell>
          <cell r="I3329">
            <v>46028</v>
          </cell>
          <cell r="J3329">
            <v>-116.6</v>
          </cell>
        </row>
        <row r="3330">
          <cell r="C3330" t="str">
            <v>推广订单扣款</v>
          </cell>
        </row>
        <row r="3330">
          <cell r="H3330" t="str">
            <v>余杭店</v>
          </cell>
          <cell r="I3330">
            <v>46028</v>
          </cell>
          <cell r="J3330">
            <v>-170.82</v>
          </cell>
        </row>
        <row r="3331">
          <cell r="C3331" t="str">
            <v>推广账户自动充值</v>
          </cell>
        </row>
        <row r="3331">
          <cell r="H3331" t="str">
            <v>东海店</v>
          </cell>
          <cell r="I3331">
            <v>46028</v>
          </cell>
          <cell r="J3331">
            <v>200</v>
          </cell>
        </row>
        <row r="3332">
          <cell r="C3332" t="str">
            <v>推广订单扣款</v>
          </cell>
        </row>
        <row r="3332">
          <cell r="H3332" t="str">
            <v>东海店</v>
          </cell>
          <cell r="I3332">
            <v>46028</v>
          </cell>
          <cell r="J3332">
            <v>-146.34</v>
          </cell>
        </row>
        <row r="3333">
          <cell r="C3333" t="str">
            <v>推广订单扣款</v>
          </cell>
        </row>
        <row r="3333">
          <cell r="H3333" t="str">
            <v>文灶店</v>
          </cell>
          <cell r="I3333">
            <v>46028</v>
          </cell>
          <cell r="J3333">
            <v>-141.48</v>
          </cell>
        </row>
        <row r="3334">
          <cell r="C3334" t="str">
            <v>推广账户自动充值</v>
          </cell>
        </row>
        <row r="3334">
          <cell r="H3334" t="str">
            <v>滨江店</v>
          </cell>
          <cell r="I3334">
            <v>46028</v>
          </cell>
          <cell r="J3334">
            <v>200</v>
          </cell>
        </row>
        <row r="3335">
          <cell r="C3335" t="str">
            <v>推广订单扣款</v>
          </cell>
        </row>
        <row r="3335">
          <cell r="H3335" t="str">
            <v>滨江店</v>
          </cell>
          <cell r="I3335">
            <v>46028</v>
          </cell>
          <cell r="J3335">
            <v>-200</v>
          </cell>
        </row>
        <row r="3336">
          <cell r="C3336" t="str">
            <v>推广订单扣款</v>
          </cell>
        </row>
        <row r="3336">
          <cell r="H3336" t="str">
            <v>湖里店</v>
          </cell>
          <cell r="I3336">
            <v>46029</v>
          </cell>
          <cell r="J3336">
            <v>-236.54</v>
          </cell>
        </row>
        <row r="3337">
          <cell r="C3337" t="str">
            <v>推广订单扣款</v>
          </cell>
        </row>
        <row r="3337">
          <cell r="H3337" t="str">
            <v>东新店</v>
          </cell>
          <cell r="I3337">
            <v>46029</v>
          </cell>
          <cell r="J3337">
            <v>-200</v>
          </cell>
        </row>
        <row r="3338">
          <cell r="C3338" t="str">
            <v>推广订单扣款</v>
          </cell>
        </row>
        <row r="3338">
          <cell r="H3338" t="str">
            <v>启点店</v>
          </cell>
          <cell r="I3338">
            <v>46029</v>
          </cell>
          <cell r="J3338">
            <v>-174.11</v>
          </cell>
        </row>
        <row r="3339">
          <cell r="C3339" t="str">
            <v>推广订单扣款</v>
          </cell>
        </row>
        <row r="3339">
          <cell r="H3339" t="str">
            <v>高新店</v>
          </cell>
          <cell r="I3339">
            <v>46029</v>
          </cell>
          <cell r="J3339">
            <v>-223.46</v>
          </cell>
        </row>
        <row r="3340">
          <cell r="C3340" t="str">
            <v>推广订单扣款</v>
          </cell>
        </row>
        <row r="3340">
          <cell r="H3340" t="str">
            <v>成华店</v>
          </cell>
          <cell r="I3340">
            <v>46029</v>
          </cell>
          <cell r="J3340">
            <v>-196.26</v>
          </cell>
        </row>
        <row r="3341">
          <cell r="C3341" t="str">
            <v>推广订单扣款</v>
          </cell>
        </row>
        <row r="3341">
          <cell r="H3341" t="str">
            <v>金牛店</v>
          </cell>
          <cell r="I3341">
            <v>46029</v>
          </cell>
          <cell r="J3341">
            <v>-123.47</v>
          </cell>
        </row>
        <row r="3342">
          <cell r="C3342" t="str">
            <v>推广订单扣款</v>
          </cell>
        </row>
        <row r="3342">
          <cell r="H3342" t="str">
            <v>西山店</v>
          </cell>
          <cell r="I3342">
            <v>46029</v>
          </cell>
          <cell r="J3342">
            <v>-215.61</v>
          </cell>
        </row>
        <row r="3343">
          <cell r="C3343" t="str">
            <v>推广订单扣款</v>
          </cell>
        </row>
        <row r="3343">
          <cell r="H3343" t="str">
            <v>沙坪坝店</v>
          </cell>
          <cell r="I3343">
            <v>46029</v>
          </cell>
          <cell r="J3343">
            <v>-212.53</v>
          </cell>
        </row>
        <row r="3344">
          <cell r="C3344" t="str">
            <v>推广订单扣款</v>
          </cell>
        </row>
        <row r="3344">
          <cell r="H3344" t="str">
            <v>凤城二路店</v>
          </cell>
          <cell r="I3344">
            <v>46029</v>
          </cell>
          <cell r="J3344">
            <v>-200</v>
          </cell>
        </row>
        <row r="3345">
          <cell r="C3345" t="str">
            <v>推广账户自动充值</v>
          </cell>
        </row>
        <row r="3345">
          <cell r="H3345" t="str">
            <v>大坪店</v>
          </cell>
          <cell r="I3345">
            <v>46029</v>
          </cell>
          <cell r="J3345">
            <v>200</v>
          </cell>
        </row>
        <row r="3346">
          <cell r="C3346" t="str">
            <v>推广订单扣款</v>
          </cell>
        </row>
        <row r="3346">
          <cell r="H3346" t="str">
            <v>大坪店</v>
          </cell>
          <cell r="I3346">
            <v>46029</v>
          </cell>
          <cell r="J3346">
            <v>-200</v>
          </cell>
        </row>
        <row r="3347">
          <cell r="C3347" t="str">
            <v>推广订单扣款</v>
          </cell>
        </row>
        <row r="3347">
          <cell r="H3347" t="str">
            <v>五华店</v>
          </cell>
          <cell r="I3347">
            <v>46029</v>
          </cell>
          <cell r="J3347">
            <v>-154.68</v>
          </cell>
        </row>
        <row r="3348">
          <cell r="C3348" t="str">
            <v>推广订单扣款</v>
          </cell>
        </row>
        <row r="3348">
          <cell r="H3348" t="str">
            <v>官渡店</v>
          </cell>
          <cell r="I3348">
            <v>46029</v>
          </cell>
          <cell r="J3348">
            <v>-302.79</v>
          </cell>
        </row>
        <row r="3349">
          <cell r="C3349" t="str">
            <v>推广订单扣款</v>
          </cell>
        </row>
        <row r="3349">
          <cell r="H3349" t="str">
            <v>百捷店</v>
          </cell>
          <cell r="I3349">
            <v>46029</v>
          </cell>
          <cell r="J3349">
            <v>-59.02</v>
          </cell>
        </row>
        <row r="3350">
          <cell r="C3350" t="str">
            <v>推广订单扣款</v>
          </cell>
        </row>
        <row r="3350">
          <cell r="H3350" t="str">
            <v>济南店</v>
          </cell>
          <cell r="I3350">
            <v>46029</v>
          </cell>
          <cell r="J3350">
            <v>-200</v>
          </cell>
        </row>
        <row r="3351">
          <cell r="C3351" t="str">
            <v>推广订单扣款</v>
          </cell>
        </row>
        <row r="3351">
          <cell r="H3351" t="str">
            <v>观音桥店</v>
          </cell>
          <cell r="I3351">
            <v>46029</v>
          </cell>
          <cell r="J3351">
            <v>-200</v>
          </cell>
        </row>
        <row r="3352">
          <cell r="C3352" t="str">
            <v>推广订单扣款</v>
          </cell>
        </row>
        <row r="3352">
          <cell r="H3352" t="str">
            <v>长沙店</v>
          </cell>
          <cell r="I3352">
            <v>46029</v>
          </cell>
          <cell r="J3352">
            <v>-139.2</v>
          </cell>
        </row>
        <row r="3353">
          <cell r="C3353" t="str">
            <v>推广订单扣款</v>
          </cell>
        </row>
        <row r="3353">
          <cell r="H3353" t="str">
            <v>洛江店</v>
          </cell>
          <cell r="I3353">
            <v>46029</v>
          </cell>
          <cell r="J3353">
            <v>-61.11</v>
          </cell>
        </row>
        <row r="3354">
          <cell r="C3354" t="str">
            <v>推广订单扣款</v>
          </cell>
        </row>
        <row r="3354">
          <cell r="H3354" t="str">
            <v>五路口店</v>
          </cell>
          <cell r="I3354">
            <v>46029</v>
          </cell>
          <cell r="J3354">
            <v>-200</v>
          </cell>
        </row>
        <row r="3355">
          <cell r="C3355" t="str">
            <v>推广订单扣款</v>
          </cell>
        </row>
        <row r="3355">
          <cell r="H3355" t="str">
            <v>青羊店</v>
          </cell>
          <cell r="I3355">
            <v>46029</v>
          </cell>
          <cell r="J3355">
            <v>-46.54</v>
          </cell>
        </row>
        <row r="3356">
          <cell r="C3356" t="str">
            <v>推广订单扣款</v>
          </cell>
        </row>
        <row r="3356">
          <cell r="H3356" t="str">
            <v>武侯店</v>
          </cell>
          <cell r="I3356">
            <v>46029</v>
          </cell>
          <cell r="J3356">
            <v>-82.61</v>
          </cell>
        </row>
        <row r="3357">
          <cell r="C3357" t="str">
            <v>推广订单扣款</v>
          </cell>
        </row>
        <row r="3357">
          <cell r="H3357" t="str">
            <v>鼓楼店</v>
          </cell>
          <cell r="I3357">
            <v>46029</v>
          </cell>
          <cell r="J3357">
            <v>-200</v>
          </cell>
        </row>
        <row r="3358">
          <cell r="C3358" t="str">
            <v>推广订单扣款</v>
          </cell>
        </row>
        <row r="3358">
          <cell r="H3358" t="str">
            <v>黄雁村店</v>
          </cell>
          <cell r="I3358">
            <v>46029</v>
          </cell>
          <cell r="J3358">
            <v>-200</v>
          </cell>
        </row>
        <row r="3359">
          <cell r="C3359" t="str">
            <v>推广订单扣款</v>
          </cell>
        </row>
        <row r="3359">
          <cell r="H3359" t="str">
            <v>西湖店</v>
          </cell>
          <cell r="I3359">
            <v>46029</v>
          </cell>
          <cell r="J3359">
            <v>-216.46</v>
          </cell>
        </row>
        <row r="3360">
          <cell r="C3360" t="str">
            <v>推广订单扣款</v>
          </cell>
        </row>
        <row r="3360">
          <cell r="H3360" t="str">
            <v>百丈店</v>
          </cell>
          <cell r="I3360">
            <v>46029</v>
          </cell>
          <cell r="J3360">
            <v>-118.39</v>
          </cell>
        </row>
        <row r="3361">
          <cell r="C3361" t="str">
            <v>推广订单扣款</v>
          </cell>
        </row>
        <row r="3361">
          <cell r="H3361" t="str">
            <v>文昌店</v>
          </cell>
          <cell r="I3361">
            <v>46029</v>
          </cell>
          <cell r="J3361">
            <v>-117.08</v>
          </cell>
        </row>
        <row r="3362">
          <cell r="C3362" t="str">
            <v>推广订单扣款</v>
          </cell>
        </row>
        <row r="3362">
          <cell r="H3362" t="str">
            <v>观桥店</v>
          </cell>
          <cell r="I3362">
            <v>46029</v>
          </cell>
          <cell r="J3362">
            <v>-200</v>
          </cell>
        </row>
        <row r="3363">
          <cell r="C3363" t="str">
            <v>推广订单扣款</v>
          </cell>
        </row>
        <row r="3363">
          <cell r="H3363" t="str">
            <v>海口店</v>
          </cell>
          <cell r="I3363">
            <v>46029</v>
          </cell>
          <cell r="J3363">
            <v>-200</v>
          </cell>
        </row>
        <row r="3364">
          <cell r="C3364" t="str">
            <v>推广订单扣款</v>
          </cell>
        </row>
        <row r="3364">
          <cell r="H3364" t="str">
            <v>诚毅店</v>
          </cell>
          <cell r="I3364">
            <v>46029</v>
          </cell>
          <cell r="J3364">
            <v>-200</v>
          </cell>
        </row>
        <row r="3365">
          <cell r="C3365" t="str">
            <v>推广账户自动充值</v>
          </cell>
        </row>
        <row r="3365">
          <cell r="H3365" t="str">
            <v>首山店</v>
          </cell>
          <cell r="I3365">
            <v>46029</v>
          </cell>
          <cell r="J3365">
            <v>200</v>
          </cell>
        </row>
        <row r="3366">
          <cell r="C3366" t="str">
            <v>推广订单扣款</v>
          </cell>
        </row>
        <row r="3366">
          <cell r="H3366" t="str">
            <v>首山店</v>
          </cell>
          <cell r="I3366">
            <v>46029</v>
          </cell>
          <cell r="J3366">
            <v>-198.81</v>
          </cell>
        </row>
        <row r="3367">
          <cell r="C3367" t="str">
            <v>推广订单扣款</v>
          </cell>
        </row>
        <row r="3367">
          <cell r="H3367" t="str">
            <v>首南店</v>
          </cell>
          <cell r="I3367">
            <v>46029</v>
          </cell>
          <cell r="J3367">
            <v>-183.68</v>
          </cell>
        </row>
        <row r="3368">
          <cell r="C3368" t="str">
            <v>推广订单扣款</v>
          </cell>
        </row>
        <row r="3368">
          <cell r="H3368" t="str">
            <v>余杭店</v>
          </cell>
          <cell r="I3368">
            <v>46029</v>
          </cell>
          <cell r="J3368">
            <v>-153.28</v>
          </cell>
        </row>
        <row r="3369">
          <cell r="C3369" t="str">
            <v>推广订单扣款</v>
          </cell>
        </row>
        <row r="3369">
          <cell r="H3369" t="str">
            <v>东海店</v>
          </cell>
          <cell r="I3369">
            <v>46029</v>
          </cell>
          <cell r="J3369">
            <v>-164.46</v>
          </cell>
        </row>
        <row r="3370">
          <cell r="C3370" t="str">
            <v>推广订单扣款</v>
          </cell>
        </row>
        <row r="3370">
          <cell r="H3370" t="str">
            <v>文灶店</v>
          </cell>
          <cell r="I3370">
            <v>46029</v>
          </cell>
          <cell r="J3370">
            <v>-190.58</v>
          </cell>
        </row>
        <row r="3371">
          <cell r="C3371" t="str">
            <v>推广订单扣款</v>
          </cell>
        </row>
        <row r="3371">
          <cell r="H3371" t="str">
            <v>滨江店</v>
          </cell>
          <cell r="I3371">
            <v>46029</v>
          </cell>
          <cell r="J3371">
            <v>-200</v>
          </cell>
        </row>
        <row r="3372">
          <cell r="C3372" t="str">
            <v>推广订单扣款</v>
          </cell>
        </row>
        <row r="3372">
          <cell r="H3372" t="str">
            <v>华信店</v>
          </cell>
          <cell r="I3372">
            <v>46029</v>
          </cell>
          <cell r="J3372">
            <v>-200</v>
          </cell>
        </row>
        <row r="3373">
          <cell r="C3373" t="str">
            <v>推广订单扣款</v>
          </cell>
        </row>
        <row r="3373">
          <cell r="H3373" t="str">
            <v>华信店</v>
          </cell>
          <cell r="I3373">
            <v>46030</v>
          </cell>
          <cell r="J3373">
            <v>-200</v>
          </cell>
        </row>
        <row r="3374">
          <cell r="C3374" t="str">
            <v>推广订单扣款</v>
          </cell>
        </row>
        <row r="3374">
          <cell r="H3374" t="str">
            <v>湖里店</v>
          </cell>
          <cell r="I3374">
            <v>46030</v>
          </cell>
          <cell r="J3374">
            <v>-172.6</v>
          </cell>
        </row>
        <row r="3375">
          <cell r="C3375" t="str">
            <v>推广订单扣款</v>
          </cell>
        </row>
        <row r="3375">
          <cell r="H3375" t="str">
            <v>东新店</v>
          </cell>
          <cell r="I3375">
            <v>46030</v>
          </cell>
          <cell r="J3375">
            <v>-176.01</v>
          </cell>
        </row>
        <row r="3376">
          <cell r="C3376" t="str">
            <v>推广订单扣款</v>
          </cell>
        </row>
        <row r="3376">
          <cell r="H3376" t="str">
            <v>启点店</v>
          </cell>
          <cell r="I3376">
            <v>46030</v>
          </cell>
          <cell r="J3376">
            <v>-122.32</v>
          </cell>
        </row>
        <row r="3377">
          <cell r="C3377" t="str">
            <v>推广订单扣款</v>
          </cell>
        </row>
        <row r="3377">
          <cell r="H3377" t="str">
            <v>高新店</v>
          </cell>
          <cell r="I3377">
            <v>46030</v>
          </cell>
          <cell r="J3377">
            <v>-155.6</v>
          </cell>
        </row>
        <row r="3378">
          <cell r="C3378" t="str">
            <v>推广订单扣款</v>
          </cell>
        </row>
        <row r="3378">
          <cell r="H3378" t="str">
            <v>成华店</v>
          </cell>
          <cell r="I3378">
            <v>46030</v>
          </cell>
          <cell r="J3378">
            <v>-94.9</v>
          </cell>
        </row>
        <row r="3379">
          <cell r="C3379" t="str">
            <v>推广订单扣款</v>
          </cell>
        </row>
        <row r="3379">
          <cell r="H3379" t="str">
            <v>金牛店</v>
          </cell>
          <cell r="I3379">
            <v>46030</v>
          </cell>
          <cell r="J3379">
            <v>-86.22</v>
          </cell>
        </row>
        <row r="3380">
          <cell r="C3380" t="str">
            <v>推广订单扣款</v>
          </cell>
        </row>
        <row r="3380">
          <cell r="H3380" t="str">
            <v>西山店</v>
          </cell>
          <cell r="I3380">
            <v>46030</v>
          </cell>
          <cell r="J3380">
            <v>-172</v>
          </cell>
        </row>
        <row r="3381">
          <cell r="C3381" t="str">
            <v>推广订单扣款</v>
          </cell>
        </row>
        <row r="3381">
          <cell r="H3381" t="str">
            <v>沙坪坝店</v>
          </cell>
          <cell r="I3381">
            <v>46030</v>
          </cell>
          <cell r="J3381">
            <v>-83.95</v>
          </cell>
        </row>
        <row r="3382">
          <cell r="C3382" t="str">
            <v>推广订单扣款</v>
          </cell>
        </row>
        <row r="3382">
          <cell r="H3382" t="str">
            <v>凤城二路店</v>
          </cell>
          <cell r="I3382">
            <v>46030</v>
          </cell>
          <cell r="J3382">
            <v>-200</v>
          </cell>
        </row>
        <row r="3383">
          <cell r="C3383" t="str">
            <v>推广订单扣款</v>
          </cell>
        </row>
        <row r="3383">
          <cell r="H3383" t="str">
            <v>大坪店</v>
          </cell>
          <cell r="I3383">
            <v>46030</v>
          </cell>
          <cell r="J3383">
            <v>-199.53</v>
          </cell>
        </row>
        <row r="3384">
          <cell r="C3384" t="str">
            <v>推广订单扣款</v>
          </cell>
        </row>
        <row r="3384">
          <cell r="H3384" t="str">
            <v>五华店</v>
          </cell>
          <cell r="I3384">
            <v>46030</v>
          </cell>
          <cell r="J3384">
            <v>-179.52</v>
          </cell>
        </row>
        <row r="3385">
          <cell r="C3385" t="str">
            <v>推广订单扣款</v>
          </cell>
        </row>
        <row r="3385">
          <cell r="H3385" t="str">
            <v>官渡店</v>
          </cell>
          <cell r="I3385">
            <v>46030</v>
          </cell>
          <cell r="J3385">
            <v>-221.07</v>
          </cell>
        </row>
        <row r="3386">
          <cell r="C3386" t="str">
            <v>推广订单扣款</v>
          </cell>
        </row>
        <row r="3386">
          <cell r="H3386" t="str">
            <v>百捷店</v>
          </cell>
          <cell r="I3386">
            <v>46030</v>
          </cell>
          <cell r="J3386">
            <v>-68.57</v>
          </cell>
        </row>
        <row r="3387">
          <cell r="C3387" t="str">
            <v>推广订单扣款</v>
          </cell>
        </row>
        <row r="3387">
          <cell r="H3387" t="str">
            <v>济南店</v>
          </cell>
          <cell r="I3387">
            <v>46030</v>
          </cell>
          <cell r="J3387">
            <v>-200</v>
          </cell>
        </row>
        <row r="3388">
          <cell r="C3388" t="str">
            <v>推广订单扣款</v>
          </cell>
        </row>
        <row r="3388">
          <cell r="H3388" t="str">
            <v>观音桥店</v>
          </cell>
          <cell r="I3388">
            <v>46030</v>
          </cell>
          <cell r="J3388">
            <v>-200</v>
          </cell>
        </row>
        <row r="3389">
          <cell r="C3389" t="str">
            <v>推广订单扣款</v>
          </cell>
        </row>
        <row r="3389">
          <cell r="H3389" t="str">
            <v>长沙店</v>
          </cell>
          <cell r="I3389">
            <v>46030</v>
          </cell>
          <cell r="J3389">
            <v>-120.56</v>
          </cell>
        </row>
        <row r="3390">
          <cell r="C3390" t="str">
            <v>推广订单扣款</v>
          </cell>
        </row>
        <row r="3390">
          <cell r="H3390" t="str">
            <v>洛江店</v>
          </cell>
          <cell r="I3390">
            <v>46030</v>
          </cell>
          <cell r="J3390">
            <v>-43.57</v>
          </cell>
        </row>
        <row r="3391">
          <cell r="C3391" t="str">
            <v>推广订单扣款</v>
          </cell>
        </row>
        <row r="3391">
          <cell r="H3391" t="str">
            <v>五路口店</v>
          </cell>
          <cell r="I3391">
            <v>46030</v>
          </cell>
          <cell r="J3391">
            <v>-200</v>
          </cell>
        </row>
        <row r="3392">
          <cell r="C3392" t="str">
            <v>推广订单扣款</v>
          </cell>
        </row>
        <row r="3392">
          <cell r="H3392" t="str">
            <v>青羊店</v>
          </cell>
          <cell r="I3392">
            <v>46030</v>
          </cell>
          <cell r="J3392">
            <v>-58.52</v>
          </cell>
        </row>
        <row r="3393">
          <cell r="C3393" t="str">
            <v>推广订单扣款</v>
          </cell>
        </row>
        <row r="3393">
          <cell r="H3393" t="str">
            <v>武侯店</v>
          </cell>
          <cell r="I3393">
            <v>46030</v>
          </cell>
          <cell r="J3393">
            <v>-72.14</v>
          </cell>
        </row>
        <row r="3394">
          <cell r="C3394" t="str">
            <v>推广订单扣款</v>
          </cell>
        </row>
        <row r="3394">
          <cell r="H3394" t="str">
            <v>鼓楼店</v>
          </cell>
          <cell r="I3394">
            <v>46030</v>
          </cell>
          <cell r="J3394">
            <v>-176.77</v>
          </cell>
        </row>
        <row r="3395">
          <cell r="C3395" t="str">
            <v>推广订单扣款</v>
          </cell>
        </row>
        <row r="3395">
          <cell r="H3395" t="str">
            <v>黄雁村店</v>
          </cell>
          <cell r="I3395">
            <v>46030</v>
          </cell>
          <cell r="J3395">
            <v>-200</v>
          </cell>
        </row>
        <row r="3396">
          <cell r="C3396" t="str">
            <v>推广订单扣款</v>
          </cell>
        </row>
        <row r="3396">
          <cell r="H3396" t="str">
            <v>西湖店</v>
          </cell>
          <cell r="I3396">
            <v>46030</v>
          </cell>
          <cell r="J3396">
            <v>-101.68</v>
          </cell>
        </row>
        <row r="3397">
          <cell r="C3397" t="str">
            <v>推广订单扣款</v>
          </cell>
        </row>
        <row r="3397">
          <cell r="H3397" t="str">
            <v>百丈店</v>
          </cell>
          <cell r="I3397">
            <v>46030</v>
          </cell>
          <cell r="J3397">
            <v>-120.37</v>
          </cell>
        </row>
        <row r="3398">
          <cell r="C3398" t="str">
            <v>推广订单扣款</v>
          </cell>
        </row>
        <row r="3398">
          <cell r="H3398" t="str">
            <v>文昌店</v>
          </cell>
          <cell r="I3398">
            <v>46030</v>
          </cell>
          <cell r="J3398">
            <v>-91.66</v>
          </cell>
        </row>
        <row r="3399">
          <cell r="C3399" t="str">
            <v>推广订单扣款</v>
          </cell>
        </row>
        <row r="3399">
          <cell r="H3399" t="str">
            <v>观桥店</v>
          </cell>
          <cell r="I3399">
            <v>46030</v>
          </cell>
          <cell r="J3399">
            <v>-87.47</v>
          </cell>
        </row>
        <row r="3400">
          <cell r="C3400" t="str">
            <v>推广订单扣款</v>
          </cell>
        </row>
        <row r="3400">
          <cell r="H3400" t="str">
            <v>海口店</v>
          </cell>
          <cell r="I3400">
            <v>46030</v>
          </cell>
          <cell r="J3400">
            <v>-200</v>
          </cell>
        </row>
        <row r="3401">
          <cell r="C3401" t="str">
            <v>推广订单扣款</v>
          </cell>
        </row>
        <row r="3401">
          <cell r="H3401" t="str">
            <v>诚毅店</v>
          </cell>
          <cell r="I3401">
            <v>46030</v>
          </cell>
          <cell r="J3401">
            <v>-174.82</v>
          </cell>
        </row>
        <row r="3402">
          <cell r="C3402" t="str">
            <v>推广订单扣款</v>
          </cell>
        </row>
        <row r="3402">
          <cell r="H3402" t="str">
            <v>首山店</v>
          </cell>
          <cell r="I3402">
            <v>46030</v>
          </cell>
          <cell r="J3402">
            <v>-224.46</v>
          </cell>
        </row>
        <row r="3403">
          <cell r="C3403" t="str">
            <v>推广订单扣款</v>
          </cell>
        </row>
        <row r="3403">
          <cell r="H3403" t="str">
            <v>首南店</v>
          </cell>
          <cell r="I3403">
            <v>46030</v>
          </cell>
          <cell r="J3403">
            <v>-111.03</v>
          </cell>
        </row>
        <row r="3404">
          <cell r="C3404" t="str">
            <v>推广订单扣款</v>
          </cell>
        </row>
        <row r="3404">
          <cell r="H3404" t="str">
            <v>余杭店</v>
          </cell>
          <cell r="I3404">
            <v>46030</v>
          </cell>
          <cell r="J3404">
            <v>-177.45</v>
          </cell>
        </row>
        <row r="3405">
          <cell r="C3405" t="str">
            <v>推广订单扣款</v>
          </cell>
        </row>
        <row r="3405">
          <cell r="H3405" t="str">
            <v>东海店</v>
          </cell>
          <cell r="I3405">
            <v>46030</v>
          </cell>
          <cell r="J3405">
            <v>-98.76</v>
          </cell>
        </row>
        <row r="3406">
          <cell r="C3406" t="str">
            <v>推广订单扣款</v>
          </cell>
        </row>
        <row r="3406">
          <cell r="H3406" t="str">
            <v>文灶店</v>
          </cell>
          <cell r="I3406">
            <v>46030</v>
          </cell>
          <cell r="J3406">
            <v>-180.88</v>
          </cell>
        </row>
        <row r="3407">
          <cell r="C3407" t="str">
            <v>推广订单扣款</v>
          </cell>
        </row>
        <row r="3407">
          <cell r="H3407" t="str">
            <v>滨江店</v>
          </cell>
          <cell r="I3407">
            <v>46030</v>
          </cell>
          <cell r="J3407">
            <v>-200</v>
          </cell>
        </row>
        <row r="3408">
          <cell r="C3408" t="str">
            <v>推广订单扣款</v>
          </cell>
        </row>
        <row r="3408">
          <cell r="H3408" t="str">
            <v>济南店</v>
          </cell>
          <cell r="I3408">
            <v>46031</v>
          </cell>
          <cell r="J3408">
            <v>-200</v>
          </cell>
        </row>
        <row r="3409">
          <cell r="C3409" t="str">
            <v>推广订单扣款</v>
          </cell>
        </row>
        <row r="3409">
          <cell r="H3409" t="str">
            <v>大坪店</v>
          </cell>
          <cell r="I3409">
            <v>46031</v>
          </cell>
          <cell r="J3409">
            <v>-175.85</v>
          </cell>
        </row>
        <row r="3410">
          <cell r="C3410" t="str">
            <v>推广订单扣款</v>
          </cell>
        </row>
        <row r="3410">
          <cell r="H3410" t="str">
            <v>金牛店</v>
          </cell>
          <cell r="I3410">
            <v>46031</v>
          </cell>
          <cell r="J3410">
            <v>-125.26</v>
          </cell>
        </row>
        <row r="3411">
          <cell r="C3411" t="str">
            <v>推广订单扣款</v>
          </cell>
        </row>
        <row r="3411">
          <cell r="H3411" t="str">
            <v>观音桥店</v>
          </cell>
          <cell r="I3411">
            <v>46031</v>
          </cell>
          <cell r="J3411">
            <v>-200</v>
          </cell>
        </row>
        <row r="3412">
          <cell r="C3412" t="str">
            <v>推广订单扣款</v>
          </cell>
        </row>
        <row r="3412">
          <cell r="H3412" t="str">
            <v>高新店</v>
          </cell>
          <cell r="I3412">
            <v>46031</v>
          </cell>
          <cell r="J3412">
            <v>-189.53</v>
          </cell>
        </row>
        <row r="3413">
          <cell r="C3413" t="str">
            <v>推广订单扣款</v>
          </cell>
        </row>
        <row r="3413">
          <cell r="H3413" t="str">
            <v>西山店</v>
          </cell>
          <cell r="I3413">
            <v>46031</v>
          </cell>
          <cell r="J3413">
            <v>-173.4</v>
          </cell>
        </row>
        <row r="3414">
          <cell r="C3414" t="str">
            <v>推广订单扣款</v>
          </cell>
        </row>
        <row r="3414">
          <cell r="H3414" t="str">
            <v>余杭店</v>
          </cell>
          <cell r="I3414">
            <v>46031</v>
          </cell>
          <cell r="J3414">
            <v>-174.1</v>
          </cell>
        </row>
        <row r="3415">
          <cell r="C3415" t="str">
            <v>推广订单扣款</v>
          </cell>
        </row>
        <row r="3415">
          <cell r="H3415" t="str">
            <v>华信店</v>
          </cell>
          <cell r="I3415">
            <v>46031</v>
          </cell>
          <cell r="J3415">
            <v>-200</v>
          </cell>
        </row>
        <row r="3416">
          <cell r="C3416" t="str">
            <v>推广订单扣款</v>
          </cell>
        </row>
        <row r="3416">
          <cell r="H3416" t="str">
            <v>武侯店</v>
          </cell>
          <cell r="I3416">
            <v>46031</v>
          </cell>
          <cell r="J3416">
            <v>-67.7</v>
          </cell>
        </row>
        <row r="3417">
          <cell r="C3417" t="str">
            <v>推广订单扣款</v>
          </cell>
        </row>
        <row r="3417">
          <cell r="H3417" t="str">
            <v>湖里店</v>
          </cell>
          <cell r="I3417">
            <v>46031</v>
          </cell>
          <cell r="J3417">
            <v>-166.38</v>
          </cell>
        </row>
        <row r="3418">
          <cell r="C3418" t="str">
            <v>推广订单扣款</v>
          </cell>
        </row>
        <row r="3418">
          <cell r="H3418" t="str">
            <v>青羊店</v>
          </cell>
          <cell r="I3418">
            <v>46031</v>
          </cell>
          <cell r="J3418">
            <v>-56.68</v>
          </cell>
        </row>
        <row r="3419">
          <cell r="C3419" t="str">
            <v>推广订单扣款</v>
          </cell>
        </row>
        <row r="3419">
          <cell r="H3419" t="str">
            <v>首南店</v>
          </cell>
          <cell r="I3419">
            <v>46031</v>
          </cell>
          <cell r="J3419">
            <v>-128.36</v>
          </cell>
        </row>
        <row r="3420">
          <cell r="C3420" t="str">
            <v>推广订单扣款</v>
          </cell>
        </row>
        <row r="3420">
          <cell r="H3420" t="str">
            <v>滨江店</v>
          </cell>
          <cell r="I3420">
            <v>46031</v>
          </cell>
          <cell r="J3420">
            <v>-193.13</v>
          </cell>
        </row>
        <row r="3421">
          <cell r="C3421" t="str">
            <v>推广订单扣款</v>
          </cell>
        </row>
        <row r="3421">
          <cell r="H3421" t="str">
            <v>凤城二路店</v>
          </cell>
          <cell r="I3421">
            <v>46031</v>
          </cell>
          <cell r="J3421">
            <v>-200</v>
          </cell>
        </row>
        <row r="3422">
          <cell r="C3422" t="str">
            <v>推广订单扣款</v>
          </cell>
        </row>
        <row r="3422">
          <cell r="H3422" t="str">
            <v>西湖店</v>
          </cell>
          <cell r="I3422">
            <v>46031</v>
          </cell>
          <cell r="J3422">
            <v>-118.96</v>
          </cell>
        </row>
        <row r="3423">
          <cell r="C3423" t="str">
            <v>推广订单扣款</v>
          </cell>
        </row>
        <row r="3423">
          <cell r="H3423" t="str">
            <v>首山店</v>
          </cell>
          <cell r="I3423">
            <v>46031</v>
          </cell>
          <cell r="J3423">
            <v>-153.4</v>
          </cell>
        </row>
        <row r="3424">
          <cell r="C3424" t="str">
            <v>推广订单扣款</v>
          </cell>
        </row>
        <row r="3424">
          <cell r="H3424" t="str">
            <v>鼓楼店</v>
          </cell>
          <cell r="I3424">
            <v>46031</v>
          </cell>
          <cell r="J3424">
            <v>-189.81</v>
          </cell>
        </row>
        <row r="3425">
          <cell r="C3425" t="str">
            <v>推广订单扣款</v>
          </cell>
        </row>
        <row r="3425">
          <cell r="H3425" t="str">
            <v>洛江店</v>
          </cell>
          <cell r="I3425">
            <v>46031</v>
          </cell>
          <cell r="J3425">
            <v>-62.42</v>
          </cell>
        </row>
        <row r="3426">
          <cell r="C3426" t="str">
            <v>推广订单扣款</v>
          </cell>
        </row>
        <row r="3426">
          <cell r="H3426" t="str">
            <v>长沙店</v>
          </cell>
          <cell r="I3426">
            <v>46031</v>
          </cell>
          <cell r="J3426">
            <v>-114.07</v>
          </cell>
        </row>
        <row r="3427">
          <cell r="C3427" t="str">
            <v>推广订单扣款</v>
          </cell>
        </row>
        <row r="3427">
          <cell r="H3427" t="str">
            <v>五路口店</v>
          </cell>
          <cell r="I3427">
            <v>46031</v>
          </cell>
          <cell r="J3427">
            <v>-200</v>
          </cell>
        </row>
        <row r="3428">
          <cell r="C3428" t="str">
            <v>推广订单扣款</v>
          </cell>
        </row>
        <row r="3428">
          <cell r="H3428" t="str">
            <v>百丈店</v>
          </cell>
          <cell r="I3428">
            <v>46031</v>
          </cell>
          <cell r="J3428">
            <v>-132.31</v>
          </cell>
        </row>
        <row r="3429">
          <cell r="C3429" t="str">
            <v>推广订单扣款</v>
          </cell>
        </row>
        <row r="3429">
          <cell r="H3429" t="str">
            <v>海口店</v>
          </cell>
          <cell r="I3429">
            <v>46031</v>
          </cell>
          <cell r="J3429">
            <v>-200</v>
          </cell>
        </row>
        <row r="3430">
          <cell r="C3430" t="str">
            <v>推广订单扣款</v>
          </cell>
        </row>
        <row r="3430">
          <cell r="H3430" t="str">
            <v>五华店</v>
          </cell>
          <cell r="I3430">
            <v>46031</v>
          </cell>
          <cell r="J3430">
            <v>-150.74</v>
          </cell>
        </row>
        <row r="3431">
          <cell r="C3431" t="str">
            <v>推广订单扣款</v>
          </cell>
        </row>
        <row r="3431">
          <cell r="H3431" t="str">
            <v>沙坪坝店</v>
          </cell>
          <cell r="I3431">
            <v>46031</v>
          </cell>
          <cell r="J3431">
            <v>-111.63</v>
          </cell>
        </row>
        <row r="3432">
          <cell r="C3432" t="str">
            <v>推广订单扣款</v>
          </cell>
        </row>
        <row r="3432">
          <cell r="H3432" t="str">
            <v>东新店</v>
          </cell>
          <cell r="I3432">
            <v>46031</v>
          </cell>
          <cell r="J3432">
            <v>-198.76</v>
          </cell>
        </row>
        <row r="3433">
          <cell r="C3433" t="str">
            <v>推广订单扣款</v>
          </cell>
        </row>
        <row r="3433">
          <cell r="H3433" t="str">
            <v>官渡店</v>
          </cell>
          <cell r="I3433">
            <v>46031</v>
          </cell>
          <cell r="J3433">
            <v>-196.13</v>
          </cell>
        </row>
        <row r="3434">
          <cell r="C3434" t="str">
            <v>推广订单扣款</v>
          </cell>
        </row>
        <row r="3434">
          <cell r="H3434" t="str">
            <v>东海店</v>
          </cell>
          <cell r="I3434">
            <v>46031</v>
          </cell>
          <cell r="J3434">
            <v>-113.34</v>
          </cell>
        </row>
        <row r="3435">
          <cell r="C3435" t="str">
            <v>推广订单扣款</v>
          </cell>
        </row>
        <row r="3435">
          <cell r="H3435" t="str">
            <v>文灶店</v>
          </cell>
          <cell r="I3435">
            <v>46031</v>
          </cell>
          <cell r="J3435">
            <v>-202.76</v>
          </cell>
        </row>
        <row r="3436">
          <cell r="C3436" t="str">
            <v>推广订单扣款</v>
          </cell>
        </row>
        <row r="3436">
          <cell r="H3436" t="str">
            <v>百捷店</v>
          </cell>
          <cell r="I3436">
            <v>46031</v>
          </cell>
          <cell r="J3436">
            <v>-110.55</v>
          </cell>
        </row>
        <row r="3437">
          <cell r="C3437" t="str">
            <v>推广订单扣款</v>
          </cell>
        </row>
        <row r="3437">
          <cell r="H3437" t="str">
            <v>黄雁村店</v>
          </cell>
          <cell r="I3437">
            <v>46031</v>
          </cell>
          <cell r="J3437">
            <v>-200</v>
          </cell>
        </row>
        <row r="3438">
          <cell r="C3438" t="str">
            <v>推广订单扣款</v>
          </cell>
        </row>
        <row r="3438">
          <cell r="H3438" t="str">
            <v>启点店</v>
          </cell>
          <cell r="I3438">
            <v>46031</v>
          </cell>
          <cell r="J3438">
            <v>-107.37</v>
          </cell>
        </row>
        <row r="3439">
          <cell r="C3439" t="str">
            <v>推广订单扣款</v>
          </cell>
        </row>
        <row r="3439">
          <cell r="H3439" t="str">
            <v>成华店</v>
          </cell>
          <cell r="I3439">
            <v>46031</v>
          </cell>
          <cell r="J3439">
            <v>-109.56</v>
          </cell>
        </row>
        <row r="3440">
          <cell r="C3440" t="str">
            <v>推广订单扣款</v>
          </cell>
        </row>
        <row r="3440">
          <cell r="H3440" t="str">
            <v>诚毅店</v>
          </cell>
          <cell r="I3440">
            <v>46031</v>
          </cell>
          <cell r="J3440">
            <v>-174.67</v>
          </cell>
        </row>
        <row r="3441">
          <cell r="C3441" t="str">
            <v>推广订单扣款</v>
          </cell>
        </row>
        <row r="3441">
          <cell r="H3441" t="str">
            <v>观桥店</v>
          </cell>
          <cell r="I3441">
            <v>46031</v>
          </cell>
          <cell r="J3441">
            <v>-200</v>
          </cell>
        </row>
        <row r="3442">
          <cell r="C3442" t="str">
            <v>推广订单扣款</v>
          </cell>
        </row>
        <row r="3442">
          <cell r="H3442" t="str">
            <v>文昌店</v>
          </cell>
          <cell r="I3442">
            <v>46031</v>
          </cell>
          <cell r="J3442">
            <v>-117.05</v>
          </cell>
        </row>
        <row r="3443">
          <cell r="C3443" t="str">
            <v>推广账户自动充值</v>
          </cell>
        </row>
        <row r="3443">
          <cell r="H3443" t="str">
            <v>观桥店</v>
          </cell>
          <cell r="I3443">
            <v>46031</v>
          </cell>
          <cell r="J3443">
            <v>200</v>
          </cell>
        </row>
        <row r="3444">
          <cell r="C3444" t="str">
            <v>推广账户自动充值</v>
          </cell>
        </row>
        <row r="3444">
          <cell r="H3444" t="str">
            <v>五华店</v>
          </cell>
          <cell r="I3444">
            <v>46031</v>
          </cell>
          <cell r="J3444">
            <v>200</v>
          </cell>
        </row>
        <row r="3445">
          <cell r="C3445" t="str">
            <v>推广账户自动充值</v>
          </cell>
        </row>
        <row r="3445">
          <cell r="H3445" t="str">
            <v>西山店</v>
          </cell>
          <cell r="I3445">
            <v>46031</v>
          </cell>
          <cell r="J3445">
            <v>200</v>
          </cell>
        </row>
        <row r="3446">
          <cell r="C3446" t="str">
            <v>推广账户自动充值</v>
          </cell>
        </row>
        <row r="3446">
          <cell r="H3446" t="str">
            <v>大坪店</v>
          </cell>
          <cell r="I3446">
            <v>46031</v>
          </cell>
          <cell r="J3446">
            <v>200</v>
          </cell>
        </row>
        <row r="3447">
          <cell r="C3447" t="str">
            <v>推广账户自动充值</v>
          </cell>
        </row>
        <row r="3447">
          <cell r="H3447" t="str">
            <v>首山店</v>
          </cell>
          <cell r="I3447">
            <v>46031</v>
          </cell>
          <cell r="J3447">
            <v>200</v>
          </cell>
        </row>
        <row r="3448">
          <cell r="C3448" t="str">
            <v>推广账户自动充值</v>
          </cell>
        </row>
        <row r="3448">
          <cell r="H3448" t="str">
            <v>诚毅店</v>
          </cell>
          <cell r="I3448">
            <v>46031</v>
          </cell>
          <cell r="J3448">
            <v>200</v>
          </cell>
        </row>
        <row r="3449">
          <cell r="C3449" t="str">
            <v>推广账户自动充值</v>
          </cell>
        </row>
        <row r="3449">
          <cell r="H3449" t="str">
            <v>海口店</v>
          </cell>
          <cell r="I3449">
            <v>46031</v>
          </cell>
          <cell r="J3449">
            <v>200</v>
          </cell>
        </row>
        <row r="3450">
          <cell r="C3450" t="str">
            <v>推广账户自动充值</v>
          </cell>
        </row>
        <row r="3450">
          <cell r="H3450" t="str">
            <v>华信店</v>
          </cell>
          <cell r="I3450">
            <v>46031</v>
          </cell>
          <cell r="J3450">
            <v>200</v>
          </cell>
        </row>
        <row r="3451">
          <cell r="C3451" t="str">
            <v>推广账户自动充值</v>
          </cell>
        </row>
        <row r="3451">
          <cell r="H3451" t="str">
            <v>东海店</v>
          </cell>
          <cell r="I3451">
            <v>46031</v>
          </cell>
          <cell r="J3451">
            <v>200</v>
          </cell>
        </row>
        <row r="3452">
          <cell r="C3452" t="str">
            <v>推广账户自动充值</v>
          </cell>
        </row>
        <row r="3452">
          <cell r="H3452" t="str">
            <v>滨江店</v>
          </cell>
          <cell r="I3452">
            <v>46031</v>
          </cell>
          <cell r="J3452">
            <v>200</v>
          </cell>
        </row>
        <row r="3453">
          <cell r="C3453" t="str">
            <v>推广账户自动充值</v>
          </cell>
        </row>
        <row r="3453">
          <cell r="H3453" t="str">
            <v>东新店</v>
          </cell>
          <cell r="I3453">
            <v>46031</v>
          </cell>
          <cell r="J3453">
            <v>200</v>
          </cell>
        </row>
        <row r="3454">
          <cell r="C3454" t="str">
            <v>推广账户自动充值</v>
          </cell>
        </row>
        <row r="3454">
          <cell r="H3454" t="str">
            <v>百捷店</v>
          </cell>
          <cell r="I3454">
            <v>46031</v>
          </cell>
          <cell r="J3454">
            <v>200</v>
          </cell>
        </row>
        <row r="3455">
          <cell r="C3455" t="str">
            <v>推广账户自动充值</v>
          </cell>
        </row>
        <row r="3455">
          <cell r="H3455" t="str">
            <v>凤城二路店</v>
          </cell>
          <cell r="I3455">
            <v>46031</v>
          </cell>
          <cell r="J3455">
            <v>200</v>
          </cell>
        </row>
        <row r="3456">
          <cell r="C3456" t="str">
            <v>推广账户自动充值</v>
          </cell>
        </row>
        <row r="3456">
          <cell r="H3456" t="str">
            <v>启点店</v>
          </cell>
          <cell r="I3456">
            <v>46031</v>
          </cell>
          <cell r="J3456">
            <v>200</v>
          </cell>
        </row>
        <row r="3457">
          <cell r="C3457" t="str">
            <v>推广账户自动充值</v>
          </cell>
        </row>
        <row r="3457">
          <cell r="H3457" t="str">
            <v>五路口店</v>
          </cell>
          <cell r="I3457">
            <v>46031</v>
          </cell>
          <cell r="J3457">
            <v>200</v>
          </cell>
        </row>
        <row r="3458">
          <cell r="C3458" t="str">
            <v>推广账户自动充值</v>
          </cell>
        </row>
        <row r="3458">
          <cell r="H3458" t="str">
            <v>长沙店</v>
          </cell>
          <cell r="I3458">
            <v>46031</v>
          </cell>
          <cell r="J3458">
            <v>200</v>
          </cell>
        </row>
        <row r="3459">
          <cell r="C3459" t="str">
            <v>推广账户自动充值</v>
          </cell>
        </row>
        <row r="3459">
          <cell r="H3459" t="str">
            <v>百丈店</v>
          </cell>
          <cell r="I3459">
            <v>46031</v>
          </cell>
          <cell r="J3459">
            <v>200</v>
          </cell>
        </row>
        <row r="3460">
          <cell r="C3460" t="str">
            <v>推广账户自动充值</v>
          </cell>
        </row>
        <row r="3460">
          <cell r="H3460" t="str">
            <v>文昌店</v>
          </cell>
          <cell r="I3460">
            <v>46031</v>
          </cell>
          <cell r="J3460">
            <v>200</v>
          </cell>
        </row>
        <row r="3461">
          <cell r="C3461" t="str">
            <v>推广账户自动充值</v>
          </cell>
        </row>
        <row r="3461">
          <cell r="H3461" t="str">
            <v>观音桥店</v>
          </cell>
          <cell r="I3461">
            <v>46031</v>
          </cell>
          <cell r="J3461">
            <v>200</v>
          </cell>
        </row>
        <row r="3462">
          <cell r="C3462" t="str">
            <v>推广账户自动充值</v>
          </cell>
        </row>
        <row r="3462">
          <cell r="H3462" t="str">
            <v>济南店</v>
          </cell>
          <cell r="I3462">
            <v>46031</v>
          </cell>
          <cell r="J3462">
            <v>200</v>
          </cell>
        </row>
        <row r="3463">
          <cell r="C3463" t="str">
            <v>推广账户自动充值</v>
          </cell>
        </row>
        <row r="3463">
          <cell r="H3463" t="str">
            <v>洛江店</v>
          </cell>
          <cell r="I3463">
            <v>46031</v>
          </cell>
          <cell r="J3463">
            <v>200</v>
          </cell>
        </row>
        <row r="3464">
          <cell r="C3464" t="str">
            <v>推广账户自动充值</v>
          </cell>
        </row>
        <row r="3464">
          <cell r="H3464" t="str">
            <v>成华店</v>
          </cell>
          <cell r="I3464">
            <v>46031</v>
          </cell>
          <cell r="J3464">
            <v>200</v>
          </cell>
        </row>
        <row r="3465">
          <cell r="C3465" t="str">
            <v>推广账户自动充值</v>
          </cell>
        </row>
        <row r="3465">
          <cell r="H3465" t="str">
            <v>官渡店</v>
          </cell>
          <cell r="I3465">
            <v>46031</v>
          </cell>
          <cell r="J3465">
            <v>200</v>
          </cell>
        </row>
        <row r="3466">
          <cell r="C3466" t="str">
            <v>推广账户自动充值</v>
          </cell>
        </row>
        <row r="3466">
          <cell r="H3466" t="str">
            <v>沙坪坝店</v>
          </cell>
          <cell r="I3466">
            <v>46031</v>
          </cell>
          <cell r="J3466">
            <v>200</v>
          </cell>
        </row>
        <row r="3467">
          <cell r="C3467" t="str">
            <v>推广订单扣款</v>
          </cell>
        </row>
        <row r="3467">
          <cell r="H3467" t="str">
            <v>济南店</v>
          </cell>
          <cell r="I3467">
            <v>46032</v>
          </cell>
          <cell r="J3467">
            <v>-198.29</v>
          </cell>
        </row>
        <row r="3468">
          <cell r="C3468" t="str">
            <v>推广订单扣款</v>
          </cell>
        </row>
        <row r="3468">
          <cell r="H3468" t="str">
            <v>大坪店</v>
          </cell>
          <cell r="I3468">
            <v>46032</v>
          </cell>
          <cell r="J3468">
            <v>-183.47</v>
          </cell>
        </row>
        <row r="3469">
          <cell r="C3469" t="str">
            <v>推广订单扣款</v>
          </cell>
        </row>
        <row r="3469">
          <cell r="H3469" t="str">
            <v>金牛店</v>
          </cell>
          <cell r="I3469">
            <v>46032</v>
          </cell>
          <cell r="J3469">
            <v>-73.93</v>
          </cell>
        </row>
        <row r="3470">
          <cell r="C3470" t="str">
            <v>推广订单扣款</v>
          </cell>
        </row>
        <row r="3470">
          <cell r="H3470" t="str">
            <v>观音桥店</v>
          </cell>
          <cell r="I3470">
            <v>46032</v>
          </cell>
          <cell r="J3470">
            <v>-200</v>
          </cell>
        </row>
        <row r="3471">
          <cell r="C3471" t="str">
            <v>推广订单扣款</v>
          </cell>
        </row>
        <row r="3471">
          <cell r="H3471" t="str">
            <v>高新店</v>
          </cell>
          <cell r="I3471">
            <v>46032</v>
          </cell>
          <cell r="J3471">
            <v>-114.45</v>
          </cell>
        </row>
        <row r="3472">
          <cell r="C3472" t="str">
            <v>推广订单扣款</v>
          </cell>
        </row>
        <row r="3472">
          <cell r="H3472" t="str">
            <v>余杭店</v>
          </cell>
          <cell r="I3472">
            <v>46032</v>
          </cell>
          <cell r="J3472">
            <v>-127.3</v>
          </cell>
        </row>
        <row r="3473">
          <cell r="C3473" t="str">
            <v>推广订单扣款</v>
          </cell>
        </row>
        <row r="3473">
          <cell r="H3473" t="str">
            <v>西山店</v>
          </cell>
          <cell r="I3473">
            <v>46032</v>
          </cell>
          <cell r="J3473">
            <v>-164.83</v>
          </cell>
        </row>
        <row r="3474">
          <cell r="C3474" t="str">
            <v>推广订单扣款</v>
          </cell>
        </row>
        <row r="3474">
          <cell r="H3474" t="str">
            <v>华信店</v>
          </cell>
          <cell r="I3474">
            <v>46032</v>
          </cell>
          <cell r="J3474">
            <v>-200</v>
          </cell>
        </row>
        <row r="3475">
          <cell r="C3475" t="str">
            <v>推广订单扣款</v>
          </cell>
        </row>
        <row r="3475">
          <cell r="H3475" t="str">
            <v>武侯店</v>
          </cell>
          <cell r="I3475">
            <v>46032</v>
          </cell>
          <cell r="J3475">
            <v>-25.32</v>
          </cell>
        </row>
        <row r="3476">
          <cell r="C3476" t="str">
            <v>推广订单扣款</v>
          </cell>
        </row>
        <row r="3476">
          <cell r="H3476" t="str">
            <v>湖里店</v>
          </cell>
          <cell r="I3476">
            <v>46032</v>
          </cell>
          <cell r="J3476">
            <v>-191.48</v>
          </cell>
        </row>
        <row r="3477">
          <cell r="C3477" t="str">
            <v>推广订单扣款</v>
          </cell>
        </row>
        <row r="3477">
          <cell r="H3477" t="str">
            <v>青羊店</v>
          </cell>
          <cell r="I3477">
            <v>46032</v>
          </cell>
          <cell r="J3477">
            <v>-91.16</v>
          </cell>
        </row>
        <row r="3478">
          <cell r="C3478" t="str">
            <v>推广订单扣款</v>
          </cell>
        </row>
        <row r="3478">
          <cell r="H3478" t="str">
            <v>首南店</v>
          </cell>
          <cell r="I3478">
            <v>46032</v>
          </cell>
          <cell r="J3478">
            <v>-123.15</v>
          </cell>
        </row>
        <row r="3479">
          <cell r="C3479" t="str">
            <v>推广订单扣款</v>
          </cell>
        </row>
        <row r="3479">
          <cell r="H3479" t="str">
            <v>滨江店</v>
          </cell>
          <cell r="I3479">
            <v>46032</v>
          </cell>
          <cell r="J3479">
            <v>-209.01</v>
          </cell>
        </row>
        <row r="3480">
          <cell r="C3480" t="str">
            <v>推广订单扣款</v>
          </cell>
        </row>
        <row r="3480">
          <cell r="H3480" t="str">
            <v>凤城二路店</v>
          </cell>
          <cell r="I3480">
            <v>46032</v>
          </cell>
          <cell r="J3480">
            <v>-200</v>
          </cell>
        </row>
        <row r="3481">
          <cell r="C3481" t="str">
            <v>推广订单扣款</v>
          </cell>
        </row>
        <row r="3481">
          <cell r="H3481" t="str">
            <v>西湖店</v>
          </cell>
          <cell r="I3481">
            <v>46032</v>
          </cell>
          <cell r="J3481">
            <v>-106.09</v>
          </cell>
        </row>
        <row r="3482">
          <cell r="C3482" t="str">
            <v>推广订单扣款</v>
          </cell>
        </row>
        <row r="3482">
          <cell r="H3482" t="str">
            <v>鼓楼店</v>
          </cell>
          <cell r="I3482">
            <v>46032</v>
          </cell>
          <cell r="J3482">
            <v>-127.38</v>
          </cell>
        </row>
        <row r="3483">
          <cell r="C3483" t="str">
            <v>推广订单扣款</v>
          </cell>
        </row>
        <row r="3483">
          <cell r="H3483" t="str">
            <v>首山店</v>
          </cell>
          <cell r="I3483">
            <v>46032</v>
          </cell>
          <cell r="J3483">
            <v>-170.93</v>
          </cell>
        </row>
        <row r="3484">
          <cell r="C3484" t="str">
            <v>推广订单扣款</v>
          </cell>
        </row>
        <row r="3484">
          <cell r="H3484" t="str">
            <v>洛江店</v>
          </cell>
          <cell r="I3484">
            <v>46032</v>
          </cell>
          <cell r="J3484">
            <v>-69.11</v>
          </cell>
        </row>
        <row r="3485">
          <cell r="C3485" t="str">
            <v>推广订单扣款</v>
          </cell>
        </row>
        <row r="3485">
          <cell r="H3485" t="str">
            <v>长沙店</v>
          </cell>
          <cell r="I3485">
            <v>46032</v>
          </cell>
          <cell r="J3485">
            <v>-101.29</v>
          </cell>
        </row>
        <row r="3486">
          <cell r="C3486" t="str">
            <v>推广订单扣款</v>
          </cell>
        </row>
        <row r="3486">
          <cell r="H3486" t="str">
            <v>百丈店</v>
          </cell>
          <cell r="I3486">
            <v>46032</v>
          </cell>
          <cell r="J3486">
            <v>-163.88</v>
          </cell>
        </row>
        <row r="3487">
          <cell r="C3487" t="str">
            <v>推广订单扣款</v>
          </cell>
        </row>
        <row r="3487">
          <cell r="H3487" t="str">
            <v>五路口店</v>
          </cell>
          <cell r="I3487">
            <v>46032</v>
          </cell>
          <cell r="J3487">
            <v>-200</v>
          </cell>
        </row>
        <row r="3488">
          <cell r="C3488" t="str">
            <v>推广订单扣款</v>
          </cell>
        </row>
        <row r="3488">
          <cell r="H3488" t="str">
            <v>五华店</v>
          </cell>
          <cell r="I3488">
            <v>46032</v>
          </cell>
          <cell r="J3488">
            <v>-143.34</v>
          </cell>
        </row>
        <row r="3489">
          <cell r="C3489" t="str">
            <v>推广订单扣款</v>
          </cell>
        </row>
        <row r="3489">
          <cell r="H3489" t="str">
            <v>海口店</v>
          </cell>
          <cell r="I3489">
            <v>46032</v>
          </cell>
          <cell r="J3489">
            <v>-200</v>
          </cell>
        </row>
        <row r="3490">
          <cell r="C3490" t="str">
            <v>推广订单扣款</v>
          </cell>
        </row>
        <row r="3490">
          <cell r="H3490" t="str">
            <v>沙坪坝店</v>
          </cell>
          <cell r="I3490">
            <v>46032</v>
          </cell>
          <cell r="J3490">
            <v>-123.65</v>
          </cell>
        </row>
        <row r="3491">
          <cell r="C3491" t="str">
            <v>推广订单扣款</v>
          </cell>
        </row>
        <row r="3491">
          <cell r="H3491" t="str">
            <v>东新店</v>
          </cell>
          <cell r="I3491">
            <v>46032</v>
          </cell>
          <cell r="J3491">
            <v>-182.02</v>
          </cell>
        </row>
        <row r="3492">
          <cell r="C3492" t="str">
            <v>推广订单扣款</v>
          </cell>
        </row>
        <row r="3492">
          <cell r="H3492" t="str">
            <v>东海店</v>
          </cell>
          <cell r="I3492">
            <v>46032</v>
          </cell>
          <cell r="J3492">
            <v>-150.15</v>
          </cell>
        </row>
        <row r="3493">
          <cell r="C3493" t="str">
            <v>推广订单扣款</v>
          </cell>
        </row>
        <row r="3493">
          <cell r="H3493" t="str">
            <v>官渡店</v>
          </cell>
          <cell r="I3493">
            <v>46032</v>
          </cell>
          <cell r="J3493">
            <v>-157.82</v>
          </cell>
        </row>
        <row r="3494">
          <cell r="C3494" t="str">
            <v>推广订单扣款</v>
          </cell>
        </row>
        <row r="3494">
          <cell r="H3494" t="str">
            <v>文灶店</v>
          </cell>
          <cell r="I3494">
            <v>46032</v>
          </cell>
          <cell r="J3494">
            <v>-238.55</v>
          </cell>
        </row>
        <row r="3495">
          <cell r="C3495" t="str">
            <v>推广订单扣款</v>
          </cell>
        </row>
        <row r="3495">
          <cell r="H3495" t="str">
            <v>百捷店</v>
          </cell>
          <cell r="I3495">
            <v>46032</v>
          </cell>
          <cell r="J3495">
            <v>-134.25</v>
          </cell>
        </row>
        <row r="3496">
          <cell r="C3496" t="str">
            <v>推广订单扣款</v>
          </cell>
        </row>
        <row r="3496">
          <cell r="H3496" t="str">
            <v>启点店</v>
          </cell>
          <cell r="I3496">
            <v>46032</v>
          </cell>
          <cell r="J3496">
            <v>-175.36</v>
          </cell>
        </row>
        <row r="3497">
          <cell r="C3497" t="str">
            <v>推广订单扣款</v>
          </cell>
        </row>
        <row r="3497">
          <cell r="H3497" t="str">
            <v>成华店</v>
          </cell>
          <cell r="I3497">
            <v>46032</v>
          </cell>
          <cell r="J3497">
            <v>-115.94</v>
          </cell>
        </row>
        <row r="3498">
          <cell r="C3498" t="str">
            <v>推广订单扣款</v>
          </cell>
        </row>
        <row r="3498">
          <cell r="H3498" t="str">
            <v>诚毅店</v>
          </cell>
          <cell r="I3498">
            <v>46032</v>
          </cell>
          <cell r="J3498">
            <v>-197.5</v>
          </cell>
        </row>
        <row r="3499">
          <cell r="C3499" t="str">
            <v>推广订单扣款</v>
          </cell>
        </row>
        <row r="3499">
          <cell r="H3499" t="str">
            <v>黄雁村店</v>
          </cell>
          <cell r="I3499">
            <v>46032</v>
          </cell>
          <cell r="J3499">
            <v>-100</v>
          </cell>
        </row>
        <row r="3500">
          <cell r="C3500" t="str">
            <v>推广订单扣款</v>
          </cell>
        </row>
        <row r="3500">
          <cell r="H3500" t="str">
            <v>观桥店</v>
          </cell>
          <cell r="I3500">
            <v>46032</v>
          </cell>
          <cell r="J3500">
            <v>-177.01</v>
          </cell>
        </row>
        <row r="3501">
          <cell r="C3501" t="str">
            <v>推广订单扣款</v>
          </cell>
        </row>
        <row r="3501">
          <cell r="H3501" t="str">
            <v>文昌店</v>
          </cell>
          <cell r="I3501">
            <v>46032</v>
          </cell>
          <cell r="J3501">
            <v>-106.25</v>
          </cell>
        </row>
        <row r="3502">
          <cell r="C3502" t="str">
            <v>推广账户自动充值</v>
          </cell>
        </row>
        <row r="3502">
          <cell r="H3502" t="str">
            <v>余杭店</v>
          </cell>
          <cell r="I3502">
            <v>46032</v>
          </cell>
          <cell r="J3502">
            <v>200</v>
          </cell>
        </row>
        <row r="3503">
          <cell r="C3503" t="str">
            <v>推广账户自动充值</v>
          </cell>
        </row>
        <row r="3503">
          <cell r="H3503" t="str">
            <v>湖里店</v>
          </cell>
          <cell r="I3503">
            <v>46032</v>
          </cell>
          <cell r="J3503">
            <v>200</v>
          </cell>
        </row>
        <row r="3504">
          <cell r="C3504" t="str">
            <v>推广账户自动充值</v>
          </cell>
        </row>
        <row r="3504">
          <cell r="H3504" t="str">
            <v>观桥店</v>
          </cell>
          <cell r="I3504">
            <v>46032</v>
          </cell>
          <cell r="J3504">
            <v>200</v>
          </cell>
        </row>
        <row r="3505">
          <cell r="C3505" t="str">
            <v>推广账户自动充值</v>
          </cell>
        </row>
        <row r="3505">
          <cell r="H3505" t="str">
            <v>鼓楼店</v>
          </cell>
          <cell r="I3505">
            <v>46032</v>
          </cell>
          <cell r="J3505">
            <v>200</v>
          </cell>
        </row>
        <row r="3506">
          <cell r="C3506" t="str">
            <v>推广账户自动充值</v>
          </cell>
        </row>
        <row r="3506">
          <cell r="H3506" t="str">
            <v>海口店</v>
          </cell>
          <cell r="I3506">
            <v>46032</v>
          </cell>
          <cell r="J3506">
            <v>200</v>
          </cell>
        </row>
        <row r="3507">
          <cell r="C3507" t="str">
            <v>推广账户自动充值</v>
          </cell>
        </row>
        <row r="3507">
          <cell r="H3507" t="str">
            <v>五华店</v>
          </cell>
          <cell r="I3507">
            <v>46032</v>
          </cell>
          <cell r="J3507">
            <v>200</v>
          </cell>
        </row>
        <row r="3508">
          <cell r="C3508" t="str">
            <v>推广账户自动充值</v>
          </cell>
        </row>
        <row r="3508">
          <cell r="H3508" t="str">
            <v>西山店</v>
          </cell>
          <cell r="I3508">
            <v>46032</v>
          </cell>
          <cell r="J3508">
            <v>200</v>
          </cell>
        </row>
        <row r="3509">
          <cell r="C3509" t="str">
            <v>推广账户自动充值</v>
          </cell>
        </row>
        <row r="3509">
          <cell r="H3509" t="str">
            <v>华信店</v>
          </cell>
          <cell r="I3509">
            <v>46032</v>
          </cell>
          <cell r="J3509">
            <v>200</v>
          </cell>
        </row>
        <row r="3510">
          <cell r="C3510" t="str">
            <v>推广账户自动充值</v>
          </cell>
        </row>
        <row r="3510">
          <cell r="H3510" t="str">
            <v>诚毅店</v>
          </cell>
          <cell r="I3510">
            <v>46032</v>
          </cell>
          <cell r="J3510">
            <v>200</v>
          </cell>
        </row>
        <row r="3511">
          <cell r="C3511" t="str">
            <v>推广账户自动充值</v>
          </cell>
        </row>
        <row r="3511">
          <cell r="H3511" t="str">
            <v>首南店</v>
          </cell>
          <cell r="I3511">
            <v>46032</v>
          </cell>
          <cell r="J3511">
            <v>200</v>
          </cell>
        </row>
        <row r="3512">
          <cell r="C3512" t="str">
            <v>推广账户自动充值</v>
          </cell>
        </row>
        <row r="3512">
          <cell r="H3512" t="str">
            <v>首山店</v>
          </cell>
          <cell r="I3512">
            <v>46032</v>
          </cell>
          <cell r="J3512">
            <v>200</v>
          </cell>
        </row>
        <row r="3513">
          <cell r="C3513" t="str">
            <v>推广账户自动充值</v>
          </cell>
        </row>
        <row r="3513">
          <cell r="H3513" t="str">
            <v>黄雁村店</v>
          </cell>
          <cell r="I3513">
            <v>46032</v>
          </cell>
          <cell r="J3513">
            <v>200</v>
          </cell>
        </row>
        <row r="3514">
          <cell r="C3514" t="str">
            <v>推广账户自动充值</v>
          </cell>
        </row>
        <row r="3514">
          <cell r="H3514" t="str">
            <v>济南店</v>
          </cell>
          <cell r="I3514">
            <v>46032</v>
          </cell>
          <cell r="J3514">
            <v>200</v>
          </cell>
        </row>
        <row r="3515">
          <cell r="C3515" t="str">
            <v>推广账户自动充值</v>
          </cell>
        </row>
        <row r="3515">
          <cell r="H3515" t="str">
            <v>青羊店</v>
          </cell>
          <cell r="I3515">
            <v>46032</v>
          </cell>
          <cell r="J3515">
            <v>200</v>
          </cell>
        </row>
        <row r="3516">
          <cell r="C3516" t="str">
            <v>推广账户自动充值</v>
          </cell>
        </row>
        <row r="3516">
          <cell r="H3516" t="str">
            <v>观音桥店</v>
          </cell>
          <cell r="I3516">
            <v>46032</v>
          </cell>
          <cell r="J3516">
            <v>200</v>
          </cell>
        </row>
        <row r="3517">
          <cell r="C3517" t="str">
            <v>推广账户自动充值</v>
          </cell>
        </row>
        <row r="3517">
          <cell r="H3517" t="str">
            <v>东新店</v>
          </cell>
          <cell r="I3517">
            <v>46032</v>
          </cell>
          <cell r="J3517">
            <v>200</v>
          </cell>
        </row>
        <row r="3518">
          <cell r="C3518" t="str">
            <v>推广账户自动充值</v>
          </cell>
        </row>
        <row r="3518">
          <cell r="H3518" t="str">
            <v>大坪店</v>
          </cell>
          <cell r="I3518">
            <v>46032</v>
          </cell>
          <cell r="J3518">
            <v>200</v>
          </cell>
        </row>
        <row r="3519">
          <cell r="C3519" t="str">
            <v>推广账户自动充值</v>
          </cell>
        </row>
        <row r="3519">
          <cell r="H3519" t="str">
            <v>滨江店</v>
          </cell>
          <cell r="I3519">
            <v>46032</v>
          </cell>
          <cell r="J3519">
            <v>200</v>
          </cell>
        </row>
        <row r="3520">
          <cell r="C3520" t="str">
            <v>推广账户自动充值</v>
          </cell>
        </row>
        <row r="3520">
          <cell r="H3520" t="str">
            <v>高新店</v>
          </cell>
          <cell r="I3520">
            <v>46032</v>
          </cell>
          <cell r="J3520">
            <v>200</v>
          </cell>
        </row>
        <row r="3521">
          <cell r="C3521" t="str">
            <v>推广账户自动充值</v>
          </cell>
        </row>
        <row r="3521">
          <cell r="H3521" t="str">
            <v>东海店</v>
          </cell>
          <cell r="I3521">
            <v>46032</v>
          </cell>
          <cell r="J3521">
            <v>200</v>
          </cell>
        </row>
        <row r="3522">
          <cell r="C3522" t="str">
            <v>推广账户自动充值</v>
          </cell>
        </row>
        <row r="3522">
          <cell r="H3522" t="str">
            <v>西湖店</v>
          </cell>
          <cell r="I3522">
            <v>46032</v>
          </cell>
          <cell r="J3522">
            <v>200</v>
          </cell>
        </row>
        <row r="3523">
          <cell r="C3523" t="str">
            <v>推广账户自动充值</v>
          </cell>
        </row>
        <row r="3523">
          <cell r="H3523" t="str">
            <v>凤城二路店</v>
          </cell>
          <cell r="I3523">
            <v>46032</v>
          </cell>
          <cell r="J3523">
            <v>200</v>
          </cell>
        </row>
        <row r="3524">
          <cell r="C3524" t="str">
            <v>推广账户自动充值</v>
          </cell>
        </row>
        <row r="3524">
          <cell r="H3524" t="str">
            <v>五路口店</v>
          </cell>
          <cell r="I3524">
            <v>46032</v>
          </cell>
          <cell r="J3524">
            <v>200</v>
          </cell>
        </row>
        <row r="3525">
          <cell r="C3525" t="str">
            <v>推广订单扣款</v>
          </cell>
        </row>
        <row r="3525">
          <cell r="H3525" t="str">
            <v>济南店</v>
          </cell>
          <cell r="I3525">
            <v>46033</v>
          </cell>
          <cell r="J3525">
            <v>-200</v>
          </cell>
        </row>
        <row r="3526">
          <cell r="C3526" t="str">
            <v>推广订单扣款</v>
          </cell>
        </row>
        <row r="3526">
          <cell r="H3526" t="str">
            <v>大坪店</v>
          </cell>
          <cell r="I3526">
            <v>46033</v>
          </cell>
          <cell r="J3526">
            <v>-133.59</v>
          </cell>
        </row>
        <row r="3527">
          <cell r="C3527" t="str">
            <v>推广订单扣款</v>
          </cell>
        </row>
        <row r="3527">
          <cell r="H3527" t="str">
            <v>金牛店</v>
          </cell>
          <cell r="I3527">
            <v>46033</v>
          </cell>
          <cell r="J3527">
            <v>-74.61</v>
          </cell>
        </row>
        <row r="3528">
          <cell r="C3528" t="str">
            <v>推广订单扣款</v>
          </cell>
        </row>
        <row r="3528">
          <cell r="H3528" t="str">
            <v>观音桥店</v>
          </cell>
          <cell r="I3528">
            <v>46033</v>
          </cell>
          <cell r="J3528">
            <v>-200</v>
          </cell>
        </row>
        <row r="3529">
          <cell r="C3529" t="str">
            <v>推广订单扣款</v>
          </cell>
        </row>
        <row r="3529">
          <cell r="H3529" t="str">
            <v>高新店</v>
          </cell>
          <cell r="I3529">
            <v>46033</v>
          </cell>
          <cell r="J3529">
            <v>-120.67</v>
          </cell>
        </row>
        <row r="3530">
          <cell r="C3530" t="str">
            <v>推广订单扣款</v>
          </cell>
        </row>
        <row r="3530">
          <cell r="H3530" t="str">
            <v>余杭店</v>
          </cell>
          <cell r="I3530">
            <v>46033</v>
          </cell>
          <cell r="J3530">
            <v>-185.51</v>
          </cell>
        </row>
        <row r="3531">
          <cell r="C3531" t="str">
            <v>推广订单扣款</v>
          </cell>
        </row>
        <row r="3531">
          <cell r="H3531" t="str">
            <v>西山店</v>
          </cell>
          <cell r="I3531">
            <v>46033</v>
          </cell>
          <cell r="J3531">
            <v>-152.44</v>
          </cell>
        </row>
        <row r="3532">
          <cell r="C3532" t="str">
            <v>推广订单扣款</v>
          </cell>
        </row>
        <row r="3532">
          <cell r="H3532" t="str">
            <v>华信店</v>
          </cell>
          <cell r="I3532">
            <v>46033</v>
          </cell>
          <cell r="J3532">
            <v>-200</v>
          </cell>
        </row>
        <row r="3533">
          <cell r="C3533" t="str">
            <v>推广订单扣款</v>
          </cell>
        </row>
        <row r="3533">
          <cell r="H3533" t="str">
            <v>湖里店</v>
          </cell>
          <cell r="I3533">
            <v>46033</v>
          </cell>
          <cell r="J3533">
            <v>-161.56</v>
          </cell>
        </row>
        <row r="3534">
          <cell r="C3534" t="str">
            <v>推广订单扣款</v>
          </cell>
        </row>
        <row r="3534">
          <cell r="H3534" t="str">
            <v>武侯店</v>
          </cell>
          <cell r="I3534">
            <v>46033</v>
          </cell>
          <cell r="J3534">
            <v>-60.83</v>
          </cell>
        </row>
        <row r="3535">
          <cell r="C3535" t="str">
            <v>推广订单扣款</v>
          </cell>
        </row>
        <row r="3535">
          <cell r="H3535" t="str">
            <v>青羊店</v>
          </cell>
          <cell r="I3535">
            <v>46033</v>
          </cell>
          <cell r="J3535">
            <v>-48.67</v>
          </cell>
        </row>
        <row r="3536">
          <cell r="C3536" t="str">
            <v>推广订单扣款</v>
          </cell>
        </row>
        <row r="3536">
          <cell r="H3536" t="str">
            <v>首南店</v>
          </cell>
          <cell r="I3536">
            <v>46033</v>
          </cell>
          <cell r="J3536">
            <v>-156.94</v>
          </cell>
        </row>
        <row r="3537">
          <cell r="C3537" t="str">
            <v>推广订单扣款</v>
          </cell>
        </row>
        <row r="3537">
          <cell r="H3537" t="str">
            <v>滨江店</v>
          </cell>
          <cell r="I3537">
            <v>46033</v>
          </cell>
          <cell r="J3537">
            <v>-260.16</v>
          </cell>
        </row>
        <row r="3538">
          <cell r="C3538" t="str">
            <v>推广订单扣款</v>
          </cell>
        </row>
        <row r="3538">
          <cell r="H3538" t="str">
            <v>凤城二路店</v>
          </cell>
          <cell r="I3538">
            <v>46033</v>
          </cell>
          <cell r="J3538">
            <v>-200</v>
          </cell>
        </row>
        <row r="3539">
          <cell r="C3539" t="str">
            <v>推广订单扣款</v>
          </cell>
        </row>
        <row r="3539">
          <cell r="H3539" t="str">
            <v>西湖店</v>
          </cell>
          <cell r="I3539">
            <v>46033</v>
          </cell>
          <cell r="J3539">
            <v>-90.56</v>
          </cell>
        </row>
        <row r="3540">
          <cell r="C3540" t="str">
            <v>推广订单扣款</v>
          </cell>
        </row>
        <row r="3540">
          <cell r="H3540" t="str">
            <v>鼓楼店</v>
          </cell>
          <cell r="I3540">
            <v>46033</v>
          </cell>
          <cell r="J3540">
            <v>-180.09</v>
          </cell>
        </row>
        <row r="3541">
          <cell r="C3541" t="str">
            <v>推广订单扣款</v>
          </cell>
        </row>
        <row r="3541">
          <cell r="H3541" t="str">
            <v>首山店</v>
          </cell>
          <cell r="I3541">
            <v>46033</v>
          </cell>
          <cell r="J3541">
            <v>-146.7</v>
          </cell>
        </row>
        <row r="3542">
          <cell r="C3542" t="str">
            <v>推广订单扣款</v>
          </cell>
        </row>
        <row r="3542">
          <cell r="H3542" t="str">
            <v>长沙店</v>
          </cell>
          <cell r="I3542">
            <v>46033</v>
          </cell>
          <cell r="J3542">
            <v>-143.27</v>
          </cell>
        </row>
        <row r="3543">
          <cell r="C3543" t="str">
            <v>推广订单扣款</v>
          </cell>
        </row>
        <row r="3543">
          <cell r="H3543" t="str">
            <v>五路口店</v>
          </cell>
          <cell r="I3543">
            <v>46033</v>
          </cell>
          <cell r="J3543">
            <v>-199.43</v>
          </cell>
        </row>
        <row r="3544">
          <cell r="C3544" t="str">
            <v>推广订单扣款</v>
          </cell>
        </row>
        <row r="3544">
          <cell r="H3544" t="str">
            <v>百丈店</v>
          </cell>
          <cell r="I3544">
            <v>46033</v>
          </cell>
          <cell r="J3544">
            <v>-119.71</v>
          </cell>
        </row>
        <row r="3545">
          <cell r="C3545" t="str">
            <v>推广订单扣款</v>
          </cell>
        </row>
        <row r="3545">
          <cell r="H3545" t="str">
            <v>海口店</v>
          </cell>
          <cell r="I3545">
            <v>46033</v>
          </cell>
          <cell r="J3545">
            <v>-200</v>
          </cell>
        </row>
        <row r="3546">
          <cell r="C3546" t="str">
            <v>推广订单扣款</v>
          </cell>
        </row>
        <row r="3546">
          <cell r="H3546" t="str">
            <v>五华店</v>
          </cell>
          <cell r="I3546">
            <v>46033</v>
          </cell>
          <cell r="J3546">
            <v>-120.03</v>
          </cell>
        </row>
        <row r="3547">
          <cell r="C3547" t="str">
            <v>推广订单扣款</v>
          </cell>
        </row>
        <row r="3547">
          <cell r="H3547" t="str">
            <v>沙坪坝店</v>
          </cell>
          <cell r="I3547">
            <v>46033</v>
          </cell>
          <cell r="J3547">
            <v>-90.96</v>
          </cell>
        </row>
        <row r="3548">
          <cell r="C3548" t="str">
            <v>推广订单扣款</v>
          </cell>
        </row>
        <row r="3548">
          <cell r="H3548" t="str">
            <v>东新店</v>
          </cell>
          <cell r="I3548">
            <v>46033</v>
          </cell>
          <cell r="J3548">
            <v>-189.77</v>
          </cell>
        </row>
        <row r="3549">
          <cell r="C3549" t="str">
            <v>推广订单扣款</v>
          </cell>
        </row>
        <row r="3549">
          <cell r="H3549" t="str">
            <v>东海店</v>
          </cell>
          <cell r="I3549">
            <v>46033</v>
          </cell>
          <cell r="J3549">
            <v>-161.69</v>
          </cell>
        </row>
        <row r="3550">
          <cell r="C3550" t="str">
            <v>推广订单扣款</v>
          </cell>
        </row>
        <row r="3550">
          <cell r="H3550" t="str">
            <v>官渡店</v>
          </cell>
          <cell r="I3550">
            <v>46033</v>
          </cell>
          <cell r="J3550">
            <v>-124.13</v>
          </cell>
        </row>
        <row r="3551">
          <cell r="C3551" t="str">
            <v>推广订单扣款</v>
          </cell>
        </row>
        <row r="3551">
          <cell r="H3551" t="str">
            <v>百捷店</v>
          </cell>
          <cell r="I3551">
            <v>46033</v>
          </cell>
          <cell r="J3551">
            <v>-55.55</v>
          </cell>
        </row>
        <row r="3552">
          <cell r="C3552" t="str">
            <v>推广订单扣款</v>
          </cell>
        </row>
        <row r="3552">
          <cell r="H3552" t="str">
            <v>文灶店</v>
          </cell>
          <cell r="I3552">
            <v>46033</v>
          </cell>
          <cell r="J3552">
            <v>-180.28</v>
          </cell>
        </row>
        <row r="3553">
          <cell r="C3553" t="str">
            <v>推广订单扣款</v>
          </cell>
        </row>
        <row r="3553">
          <cell r="H3553" t="str">
            <v>启点店</v>
          </cell>
          <cell r="I3553">
            <v>46033</v>
          </cell>
          <cell r="J3553">
            <v>-121.51</v>
          </cell>
        </row>
        <row r="3554">
          <cell r="C3554" t="str">
            <v>推广订单扣款</v>
          </cell>
        </row>
        <row r="3554">
          <cell r="H3554" t="str">
            <v>诚毅店</v>
          </cell>
          <cell r="I3554">
            <v>46033</v>
          </cell>
          <cell r="J3554">
            <v>-183.05</v>
          </cell>
        </row>
        <row r="3555">
          <cell r="C3555" t="str">
            <v>推广订单扣款</v>
          </cell>
        </row>
        <row r="3555">
          <cell r="H3555" t="str">
            <v>成华店</v>
          </cell>
          <cell r="I3555">
            <v>46033</v>
          </cell>
          <cell r="J3555">
            <v>-113.74</v>
          </cell>
        </row>
        <row r="3556">
          <cell r="C3556" t="str">
            <v>推广订单扣款</v>
          </cell>
        </row>
        <row r="3556">
          <cell r="H3556" t="str">
            <v>黄雁村店</v>
          </cell>
          <cell r="I3556">
            <v>46033</v>
          </cell>
          <cell r="J3556">
            <v>-197.79</v>
          </cell>
        </row>
        <row r="3557">
          <cell r="C3557" t="str">
            <v>推广订单扣款</v>
          </cell>
        </row>
        <row r="3557">
          <cell r="H3557" t="str">
            <v>观桥店</v>
          </cell>
          <cell r="I3557">
            <v>46033</v>
          </cell>
          <cell r="J3557">
            <v>-121.01</v>
          </cell>
        </row>
        <row r="3558">
          <cell r="C3558" t="str">
            <v>推广订单扣款</v>
          </cell>
        </row>
        <row r="3558">
          <cell r="H3558" t="str">
            <v>文昌店</v>
          </cell>
          <cell r="I3558">
            <v>46033</v>
          </cell>
          <cell r="J3558">
            <v>-101.45</v>
          </cell>
        </row>
        <row r="3559">
          <cell r="C3559" t="str">
            <v>推广账户自动充值</v>
          </cell>
        </row>
        <row r="3559">
          <cell r="H3559" t="str">
            <v>黄雁村店</v>
          </cell>
          <cell r="I3559">
            <v>46033</v>
          </cell>
          <cell r="J3559">
            <v>200</v>
          </cell>
        </row>
        <row r="3560">
          <cell r="C3560" t="str">
            <v>推广账户自动充值</v>
          </cell>
        </row>
        <row r="3560">
          <cell r="H3560" t="str">
            <v>金牛店</v>
          </cell>
          <cell r="I3560">
            <v>46033</v>
          </cell>
          <cell r="J3560">
            <v>200</v>
          </cell>
        </row>
        <row r="3561">
          <cell r="C3561" t="str">
            <v>推广账户自动充值</v>
          </cell>
        </row>
        <row r="3561">
          <cell r="H3561" t="str">
            <v>海口店</v>
          </cell>
          <cell r="I3561">
            <v>46033</v>
          </cell>
          <cell r="J3561">
            <v>200</v>
          </cell>
        </row>
        <row r="3562">
          <cell r="C3562" t="str">
            <v>推广账户自动充值</v>
          </cell>
        </row>
        <row r="3562">
          <cell r="H3562" t="str">
            <v>官渡店</v>
          </cell>
          <cell r="I3562">
            <v>46033</v>
          </cell>
          <cell r="J3562">
            <v>200</v>
          </cell>
        </row>
        <row r="3563">
          <cell r="C3563" t="str">
            <v>推广账户自动充值</v>
          </cell>
        </row>
        <row r="3563">
          <cell r="H3563" t="str">
            <v>长沙店</v>
          </cell>
          <cell r="I3563">
            <v>46033</v>
          </cell>
          <cell r="J3563">
            <v>200</v>
          </cell>
        </row>
        <row r="3564">
          <cell r="C3564" t="str">
            <v>推广账户自动充值</v>
          </cell>
        </row>
        <row r="3564">
          <cell r="H3564" t="str">
            <v>湖里店</v>
          </cell>
          <cell r="I3564">
            <v>46033</v>
          </cell>
          <cell r="J3564">
            <v>200</v>
          </cell>
        </row>
        <row r="3565">
          <cell r="C3565" t="str">
            <v>推广账户自动充值</v>
          </cell>
        </row>
        <row r="3565">
          <cell r="H3565" t="str">
            <v>滨江店</v>
          </cell>
          <cell r="I3565">
            <v>46033</v>
          </cell>
          <cell r="J3565">
            <v>200</v>
          </cell>
        </row>
        <row r="3566">
          <cell r="C3566" t="str">
            <v>推广账户自动充值</v>
          </cell>
        </row>
        <row r="3566">
          <cell r="H3566" t="str">
            <v>鼓楼店</v>
          </cell>
          <cell r="I3566">
            <v>46033</v>
          </cell>
          <cell r="J3566">
            <v>200</v>
          </cell>
        </row>
        <row r="3567">
          <cell r="C3567" t="str">
            <v>推广账户自动充值</v>
          </cell>
        </row>
        <row r="3567">
          <cell r="H3567" t="str">
            <v>华信店</v>
          </cell>
          <cell r="I3567">
            <v>46034</v>
          </cell>
          <cell r="J3567">
            <v>200</v>
          </cell>
        </row>
        <row r="3568">
          <cell r="C3568" t="str">
            <v>推广订单扣款</v>
          </cell>
        </row>
        <row r="3568">
          <cell r="H3568" t="str">
            <v>华信店</v>
          </cell>
          <cell r="I3568">
            <v>46034</v>
          </cell>
          <cell r="J3568">
            <v>-200</v>
          </cell>
        </row>
        <row r="3569">
          <cell r="C3569" t="str">
            <v>推广订单扣款</v>
          </cell>
        </row>
        <row r="3569">
          <cell r="H3569" t="str">
            <v>湖里店</v>
          </cell>
          <cell r="I3569">
            <v>46034</v>
          </cell>
          <cell r="J3569">
            <v>-228.47</v>
          </cell>
        </row>
        <row r="3570">
          <cell r="C3570" t="str">
            <v>推广订单扣款</v>
          </cell>
        </row>
        <row r="3570">
          <cell r="H3570" t="str">
            <v>东新店</v>
          </cell>
          <cell r="I3570">
            <v>46034</v>
          </cell>
          <cell r="J3570">
            <v>-182.17</v>
          </cell>
        </row>
        <row r="3571">
          <cell r="C3571" t="str">
            <v>推广订单扣款</v>
          </cell>
        </row>
        <row r="3571">
          <cell r="H3571" t="str">
            <v>启点店</v>
          </cell>
          <cell r="I3571">
            <v>46034</v>
          </cell>
          <cell r="J3571">
            <v>-73.44</v>
          </cell>
        </row>
        <row r="3572">
          <cell r="C3572" t="str">
            <v>推广订单扣款</v>
          </cell>
        </row>
        <row r="3572">
          <cell r="H3572" t="str">
            <v>高新店</v>
          </cell>
          <cell r="I3572">
            <v>46034</v>
          </cell>
          <cell r="J3572">
            <v>-211.28</v>
          </cell>
        </row>
        <row r="3573">
          <cell r="C3573" t="str">
            <v>推广订单扣款</v>
          </cell>
        </row>
        <row r="3573">
          <cell r="H3573" t="str">
            <v>成华店</v>
          </cell>
          <cell r="I3573">
            <v>46034</v>
          </cell>
          <cell r="J3573">
            <v>-149.86</v>
          </cell>
        </row>
        <row r="3574">
          <cell r="C3574" t="str">
            <v>推广订单扣款</v>
          </cell>
        </row>
        <row r="3574">
          <cell r="H3574" t="str">
            <v>金牛店</v>
          </cell>
          <cell r="I3574">
            <v>46034</v>
          </cell>
          <cell r="J3574">
            <v>-131.1</v>
          </cell>
        </row>
        <row r="3575">
          <cell r="C3575" t="str">
            <v>推广订单扣款</v>
          </cell>
        </row>
        <row r="3575">
          <cell r="H3575" t="str">
            <v>西山店</v>
          </cell>
          <cell r="I3575">
            <v>46034</v>
          </cell>
          <cell r="J3575">
            <v>-71.11</v>
          </cell>
        </row>
        <row r="3576">
          <cell r="C3576" t="str">
            <v>推广订单扣款</v>
          </cell>
        </row>
        <row r="3576">
          <cell r="H3576" t="str">
            <v>沙坪坝店</v>
          </cell>
          <cell r="I3576">
            <v>46034</v>
          </cell>
          <cell r="J3576">
            <v>-109.52</v>
          </cell>
        </row>
        <row r="3577">
          <cell r="C3577" t="str">
            <v>推广订单扣款</v>
          </cell>
        </row>
        <row r="3577">
          <cell r="H3577" t="str">
            <v>凤城二路店</v>
          </cell>
          <cell r="I3577">
            <v>46034</v>
          </cell>
          <cell r="J3577">
            <v>-200</v>
          </cell>
        </row>
        <row r="3578">
          <cell r="C3578" t="str">
            <v>推广订单扣款</v>
          </cell>
        </row>
        <row r="3578">
          <cell r="H3578" t="str">
            <v>大坪店</v>
          </cell>
          <cell r="I3578">
            <v>46034</v>
          </cell>
          <cell r="J3578">
            <v>-162.83</v>
          </cell>
        </row>
        <row r="3579">
          <cell r="C3579" t="str">
            <v>推广订单扣款</v>
          </cell>
        </row>
        <row r="3579">
          <cell r="H3579" t="str">
            <v>五华店</v>
          </cell>
          <cell r="I3579">
            <v>46034</v>
          </cell>
          <cell r="J3579">
            <v>-147.58</v>
          </cell>
        </row>
        <row r="3580">
          <cell r="C3580" t="str">
            <v>推广订单扣款</v>
          </cell>
        </row>
        <row r="3580">
          <cell r="H3580" t="str">
            <v>官渡店</v>
          </cell>
          <cell r="I3580">
            <v>46034</v>
          </cell>
          <cell r="J3580">
            <v>-198.58</v>
          </cell>
        </row>
        <row r="3581">
          <cell r="C3581" t="str">
            <v>推广订单扣款</v>
          </cell>
        </row>
        <row r="3581">
          <cell r="H3581" t="str">
            <v>百捷店</v>
          </cell>
          <cell r="I3581">
            <v>46034</v>
          </cell>
          <cell r="J3581">
            <v>-94.88</v>
          </cell>
        </row>
        <row r="3582">
          <cell r="C3582" t="str">
            <v>推广订单扣款</v>
          </cell>
        </row>
        <row r="3582">
          <cell r="H3582" t="str">
            <v>济南店</v>
          </cell>
          <cell r="I3582">
            <v>46034</v>
          </cell>
          <cell r="J3582">
            <v>-200</v>
          </cell>
        </row>
        <row r="3583">
          <cell r="C3583" t="str">
            <v>推广订单扣款</v>
          </cell>
        </row>
        <row r="3583">
          <cell r="H3583" t="str">
            <v>观音桥店</v>
          </cell>
          <cell r="I3583">
            <v>46034</v>
          </cell>
          <cell r="J3583">
            <v>-200</v>
          </cell>
        </row>
        <row r="3584">
          <cell r="C3584" t="str">
            <v>推广订单扣款</v>
          </cell>
        </row>
        <row r="3584">
          <cell r="H3584" t="str">
            <v>长沙店</v>
          </cell>
          <cell r="I3584">
            <v>46034</v>
          </cell>
          <cell r="J3584">
            <v>-148.46</v>
          </cell>
        </row>
        <row r="3585">
          <cell r="C3585" t="str">
            <v>推广订单扣款</v>
          </cell>
        </row>
        <row r="3585">
          <cell r="H3585" t="str">
            <v>洛江店</v>
          </cell>
          <cell r="I3585">
            <v>46034</v>
          </cell>
          <cell r="J3585">
            <v>-59.43</v>
          </cell>
        </row>
        <row r="3586">
          <cell r="C3586" t="str">
            <v>推广订单扣款</v>
          </cell>
        </row>
        <row r="3586">
          <cell r="H3586" t="str">
            <v>五路口店</v>
          </cell>
          <cell r="I3586">
            <v>46034</v>
          </cell>
          <cell r="J3586">
            <v>-200</v>
          </cell>
        </row>
        <row r="3587">
          <cell r="C3587" t="str">
            <v>推广订单扣款</v>
          </cell>
        </row>
        <row r="3587">
          <cell r="H3587" t="str">
            <v>青羊店</v>
          </cell>
          <cell r="I3587">
            <v>46034</v>
          </cell>
          <cell r="J3587">
            <v>-81.77</v>
          </cell>
        </row>
        <row r="3588">
          <cell r="C3588" t="str">
            <v>推广订单扣款</v>
          </cell>
        </row>
        <row r="3588">
          <cell r="H3588" t="str">
            <v>武侯店</v>
          </cell>
          <cell r="I3588">
            <v>46034</v>
          </cell>
          <cell r="J3588">
            <v>-82.17</v>
          </cell>
        </row>
        <row r="3589">
          <cell r="C3589" t="str">
            <v>推广订单扣款</v>
          </cell>
        </row>
        <row r="3589">
          <cell r="H3589" t="str">
            <v>鼓楼店</v>
          </cell>
          <cell r="I3589">
            <v>46034</v>
          </cell>
          <cell r="J3589">
            <v>-200</v>
          </cell>
        </row>
        <row r="3590">
          <cell r="C3590" t="str">
            <v>推广订单扣款</v>
          </cell>
        </row>
        <row r="3590">
          <cell r="H3590" t="str">
            <v>黄雁村店</v>
          </cell>
          <cell r="I3590">
            <v>46034</v>
          </cell>
          <cell r="J3590">
            <v>-200</v>
          </cell>
        </row>
        <row r="3591">
          <cell r="C3591" t="str">
            <v>推广订单扣款</v>
          </cell>
        </row>
        <row r="3591">
          <cell r="H3591" t="str">
            <v>西湖店</v>
          </cell>
          <cell r="I3591">
            <v>46034</v>
          </cell>
          <cell r="J3591">
            <v>-83.77</v>
          </cell>
        </row>
        <row r="3592">
          <cell r="C3592" t="str">
            <v>推广订单扣款</v>
          </cell>
        </row>
        <row r="3592">
          <cell r="H3592" t="str">
            <v>百丈店</v>
          </cell>
          <cell r="I3592">
            <v>46034</v>
          </cell>
          <cell r="J3592">
            <v>-138.75</v>
          </cell>
        </row>
        <row r="3593">
          <cell r="C3593" t="str">
            <v>推广账户自动充值</v>
          </cell>
        </row>
        <row r="3593">
          <cell r="H3593" t="str">
            <v>文昌店</v>
          </cell>
          <cell r="I3593">
            <v>46034</v>
          </cell>
          <cell r="J3593">
            <v>200</v>
          </cell>
        </row>
        <row r="3594">
          <cell r="C3594" t="str">
            <v>推广订单扣款</v>
          </cell>
        </row>
        <row r="3594">
          <cell r="H3594" t="str">
            <v>文昌店</v>
          </cell>
          <cell r="I3594">
            <v>46034</v>
          </cell>
          <cell r="J3594">
            <v>-73.27</v>
          </cell>
        </row>
        <row r="3595">
          <cell r="C3595" t="str">
            <v>推广订单扣款</v>
          </cell>
        </row>
        <row r="3595">
          <cell r="H3595" t="str">
            <v>观桥店</v>
          </cell>
          <cell r="I3595">
            <v>46034</v>
          </cell>
          <cell r="J3595">
            <v>-190.11</v>
          </cell>
        </row>
        <row r="3596">
          <cell r="C3596" t="str">
            <v>推广订单扣款</v>
          </cell>
        </row>
        <row r="3596">
          <cell r="H3596" t="str">
            <v>海口店</v>
          </cell>
          <cell r="I3596">
            <v>46034</v>
          </cell>
          <cell r="J3596">
            <v>-200</v>
          </cell>
        </row>
        <row r="3597">
          <cell r="C3597" t="str">
            <v>推广订单扣款</v>
          </cell>
        </row>
        <row r="3597">
          <cell r="H3597" t="str">
            <v>诚毅店</v>
          </cell>
          <cell r="I3597">
            <v>46034</v>
          </cell>
          <cell r="J3597">
            <v>-199.31</v>
          </cell>
        </row>
        <row r="3598">
          <cell r="C3598" t="str">
            <v>推广订单扣款</v>
          </cell>
        </row>
        <row r="3598">
          <cell r="H3598" t="str">
            <v>首山店</v>
          </cell>
          <cell r="I3598">
            <v>46034</v>
          </cell>
          <cell r="J3598">
            <v>-137.44</v>
          </cell>
        </row>
        <row r="3599">
          <cell r="C3599" t="str">
            <v>推广订单扣款</v>
          </cell>
        </row>
        <row r="3599">
          <cell r="H3599" t="str">
            <v>首南店</v>
          </cell>
          <cell r="I3599">
            <v>46034</v>
          </cell>
          <cell r="J3599">
            <v>-193.33</v>
          </cell>
        </row>
        <row r="3600">
          <cell r="C3600" t="str">
            <v>推广订单扣款</v>
          </cell>
        </row>
        <row r="3600">
          <cell r="H3600" t="str">
            <v>余杭店</v>
          </cell>
          <cell r="I3600">
            <v>46034</v>
          </cell>
          <cell r="J3600">
            <v>-167.21</v>
          </cell>
        </row>
        <row r="3601">
          <cell r="C3601" t="str">
            <v>推广订单扣款</v>
          </cell>
        </row>
        <row r="3601">
          <cell r="H3601" t="str">
            <v>东海店</v>
          </cell>
          <cell r="I3601">
            <v>46034</v>
          </cell>
          <cell r="J3601">
            <v>-136.01</v>
          </cell>
        </row>
        <row r="3602">
          <cell r="C3602" t="str">
            <v>推广订单扣款</v>
          </cell>
        </row>
        <row r="3602">
          <cell r="H3602" t="str">
            <v>文灶店</v>
          </cell>
          <cell r="I3602">
            <v>46034</v>
          </cell>
          <cell r="J3602">
            <v>-150.48</v>
          </cell>
        </row>
        <row r="3603">
          <cell r="C3603" t="str">
            <v>推广订单扣款</v>
          </cell>
        </row>
        <row r="3603">
          <cell r="H3603" t="str">
            <v>滨江店</v>
          </cell>
          <cell r="I3603">
            <v>46034</v>
          </cell>
          <cell r="J3603">
            <v>-200</v>
          </cell>
        </row>
        <row r="3604">
          <cell r="C3604" t="str">
            <v>推广订单扣款</v>
          </cell>
        </row>
        <row r="3604">
          <cell r="H3604" t="str">
            <v>华信店</v>
          </cell>
          <cell r="I3604">
            <v>46035</v>
          </cell>
          <cell r="J3604">
            <v>-200</v>
          </cell>
        </row>
        <row r="3605">
          <cell r="C3605" t="str">
            <v>推广订单扣款</v>
          </cell>
        </row>
        <row r="3605">
          <cell r="H3605" t="str">
            <v>湖里店</v>
          </cell>
          <cell r="I3605">
            <v>46035</v>
          </cell>
          <cell r="J3605">
            <v>-145.36</v>
          </cell>
        </row>
        <row r="3606">
          <cell r="C3606" t="str">
            <v>推广订单扣款</v>
          </cell>
        </row>
        <row r="3606">
          <cell r="H3606" t="str">
            <v>东新店</v>
          </cell>
          <cell r="I3606">
            <v>46035</v>
          </cell>
          <cell r="J3606">
            <v>-164.54</v>
          </cell>
        </row>
        <row r="3607">
          <cell r="C3607" t="str">
            <v>推广订单扣款</v>
          </cell>
        </row>
        <row r="3607">
          <cell r="H3607" t="str">
            <v>启点店</v>
          </cell>
          <cell r="I3607">
            <v>46035</v>
          </cell>
          <cell r="J3607">
            <v>-141.64</v>
          </cell>
        </row>
        <row r="3608">
          <cell r="C3608" t="str">
            <v>推广订单扣款</v>
          </cell>
        </row>
        <row r="3608">
          <cell r="H3608" t="str">
            <v>高新店</v>
          </cell>
          <cell r="I3608">
            <v>46035</v>
          </cell>
          <cell r="J3608">
            <v>-156.55</v>
          </cell>
        </row>
        <row r="3609">
          <cell r="C3609" t="str">
            <v>推广订单扣款</v>
          </cell>
        </row>
        <row r="3609">
          <cell r="H3609" t="str">
            <v>成华店</v>
          </cell>
          <cell r="I3609">
            <v>46035</v>
          </cell>
          <cell r="J3609">
            <v>-113.12</v>
          </cell>
        </row>
        <row r="3610">
          <cell r="C3610" t="str">
            <v>推广订单扣款</v>
          </cell>
        </row>
        <row r="3610">
          <cell r="H3610" t="str">
            <v>金牛店</v>
          </cell>
          <cell r="I3610">
            <v>46035</v>
          </cell>
          <cell r="J3610">
            <v>-123.61</v>
          </cell>
        </row>
        <row r="3611">
          <cell r="C3611" t="str">
            <v>推广订单扣款</v>
          </cell>
        </row>
        <row r="3611">
          <cell r="H3611" t="str">
            <v>西山店</v>
          </cell>
          <cell r="I3611">
            <v>46035</v>
          </cell>
          <cell r="J3611">
            <v>-191.86</v>
          </cell>
        </row>
        <row r="3612">
          <cell r="C3612" t="str">
            <v>推广订单扣款</v>
          </cell>
        </row>
        <row r="3612">
          <cell r="H3612" t="str">
            <v>沙坪坝店</v>
          </cell>
          <cell r="I3612">
            <v>46035</v>
          </cell>
          <cell r="J3612">
            <v>-139.55</v>
          </cell>
        </row>
        <row r="3613">
          <cell r="C3613" t="str">
            <v>推广订单扣款</v>
          </cell>
        </row>
        <row r="3613">
          <cell r="H3613" t="str">
            <v>凤城二路店</v>
          </cell>
          <cell r="I3613">
            <v>46035</v>
          </cell>
          <cell r="J3613">
            <v>-200</v>
          </cell>
        </row>
        <row r="3614">
          <cell r="C3614" t="str">
            <v>推广账户自动充值</v>
          </cell>
        </row>
        <row r="3614">
          <cell r="H3614" t="str">
            <v>大坪店</v>
          </cell>
          <cell r="I3614">
            <v>46035</v>
          </cell>
          <cell r="J3614">
            <v>200</v>
          </cell>
        </row>
        <row r="3615">
          <cell r="C3615" t="str">
            <v>推广订单扣款</v>
          </cell>
        </row>
        <row r="3615">
          <cell r="H3615" t="str">
            <v>大坪店</v>
          </cell>
          <cell r="I3615">
            <v>46035</v>
          </cell>
          <cell r="J3615">
            <v>-161.54</v>
          </cell>
        </row>
        <row r="3616">
          <cell r="C3616" t="str">
            <v>推广订单扣款</v>
          </cell>
        </row>
        <row r="3616">
          <cell r="H3616" t="str">
            <v>五华店</v>
          </cell>
          <cell r="I3616">
            <v>46035</v>
          </cell>
          <cell r="J3616">
            <v>-136.26</v>
          </cell>
        </row>
        <row r="3617">
          <cell r="C3617" t="str">
            <v>推广订单扣款</v>
          </cell>
        </row>
        <row r="3617">
          <cell r="H3617" t="str">
            <v>官渡店</v>
          </cell>
          <cell r="I3617">
            <v>46035</v>
          </cell>
          <cell r="J3617">
            <v>-226.13</v>
          </cell>
        </row>
        <row r="3618">
          <cell r="C3618" t="str">
            <v>推广订单扣款</v>
          </cell>
        </row>
        <row r="3618">
          <cell r="H3618" t="str">
            <v>百捷店</v>
          </cell>
          <cell r="I3618">
            <v>46035</v>
          </cell>
          <cell r="J3618">
            <v>-127.4</v>
          </cell>
        </row>
        <row r="3619">
          <cell r="C3619" t="str">
            <v>推广订单扣款</v>
          </cell>
        </row>
        <row r="3619">
          <cell r="H3619" t="str">
            <v>济南店</v>
          </cell>
          <cell r="I3619">
            <v>46035</v>
          </cell>
          <cell r="J3619">
            <v>-200</v>
          </cell>
        </row>
        <row r="3620">
          <cell r="C3620" t="str">
            <v>推广订单扣款</v>
          </cell>
        </row>
        <row r="3620">
          <cell r="H3620" t="str">
            <v>观音桥店</v>
          </cell>
          <cell r="I3620">
            <v>46035</v>
          </cell>
          <cell r="J3620">
            <v>-200</v>
          </cell>
        </row>
        <row r="3621">
          <cell r="C3621" t="str">
            <v>推广订单扣款</v>
          </cell>
        </row>
        <row r="3621">
          <cell r="H3621" t="str">
            <v>长沙店</v>
          </cell>
          <cell r="I3621">
            <v>46035</v>
          </cell>
          <cell r="J3621">
            <v>-144.58</v>
          </cell>
        </row>
        <row r="3622">
          <cell r="C3622" t="str">
            <v>推广订单扣款</v>
          </cell>
        </row>
        <row r="3622">
          <cell r="H3622" t="str">
            <v>洛江店</v>
          </cell>
          <cell r="I3622">
            <v>46035</v>
          </cell>
          <cell r="J3622">
            <v>-46.53</v>
          </cell>
        </row>
        <row r="3623">
          <cell r="C3623" t="str">
            <v>推广订单扣款</v>
          </cell>
        </row>
        <row r="3623">
          <cell r="H3623" t="str">
            <v>五路口店</v>
          </cell>
          <cell r="I3623">
            <v>46035</v>
          </cell>
          <cell r="J3623">
            <v>-200</v>
          </cell>
        </row>
        <row r="3624">
          <cell r="C3624" t="str">
            <v>推广订单扣款</v>
          </cell>
        </row>
        <row r="3624">
          <cell r="H3624" t="str">
            <v>青羊店</v>
          </cell>
          <cell r="I3624">
            <v>46035</v>
          </cell>
          <cell r="J3624">
            <v>-98.59</v>
          </cell>
        </row>
        <row r="3625">
          <cell r="C3625" t="str">
            <v>推广订单扣款</v>
          </cell>
        </row>
        <row r="3625">
          <cell r="H3625" t="str">
            <v>武侯店</v>
          </cell>
          <cell r="I3625">
            <v>46035</v>
          </cell>
          <cell r="J3625">
            <v>-83.87</v>
          </cell>
        </row>
        <row r="3626">
          <cell r="C3626" t="str">
            <v>推广订单扣款</v>
          </cell>
        </row>
        <row r="3626">
          <cell r="H3626" t="str">
            <v>鼓楼店</v>
          </cell>
          <cell r="I3626">
            <v>46035</v>
          </cell>
          <cell r="J3626">
            <v>-198.24</v>
          </cell>
        </row>
        <row r="3627">
          <cell r="C3627" t="str">
            <v>推广订单扣款</v>
          </cell>
        </row>
        <row r="3627">
          <cell r="H3627" t="str">
            <v>黄雁村店</v>
          </cell>
          <cell r="I3627">
            <v>46035</v>
          </cell>
          <cell r="J3627">
            <v>-200</v>
          </cell>
        </row>
        <row r="3628">
          <cell r="C3628" t="str">
            <v>推广订单扣款</v>
          </cell>
        </row>
        <row r="3628">
          <cell r="H3628" t="str">
            <v>西湖店</v>
          </cell>
          <cell r="I3628">
            <v>46035</v>
          </cell>
          <cell r="J3628">
            <v>-81.53</v>
          </cell>
        </row>
        <row r="3629">
          <cell r="C3629" t="str">
            <v>推广订单扣款</v>
          </cell>
        </row>
        <row r="3629">
          <cell r="H3629" t="str">
            <v>百丈店</v>
          </cell>
          <cell r="I3629">
            <v>46035</v>
          </cell>
          <cell r="J3629">
            <v>-132.2</v>
          </cell>
        </row>
        <row r="3630">
          <cell r="C3630" t="str">
            <v>推广订单扣款</v>
          </cell>
        </row>
        <row r="3630">
          <cell r="H3630" t="str">
            <v>文昌店</v>
          </cell>
          <cell r="I3630">
            <v>46035</v>
          </cell>
          <cell r="J3630">
            <v>-58.71</v>
          </cell>
        </row>
        <row r="3631">
          <cell r="C3631" t="str">
            <v>推广订单扣款</v>
          </cell>
        </row>
        <row r="3631">
          <cell r="H3631" t="str">
            <v>观桥店</v>
          </cell>
          <cell r="I3631">
            <v>46035</v>
          </cell>
          <cell r="J3631">
            <v>-162.9</v>
          </cell>
        </row>
        <row r="3632">
          <cell r="C3632" t="str">
            <v>推广订单扣款</v>
          </cell>
        </row>
        <row r="3632">
          <cell r="H3632" t="str">
            <v>海口店</v>
          </cell>
          <cell r="I3632">
            <v>46035</v>
          </cell>
          <cell r="J3632">
            <v>-200</v>
          </cell>
        </row>
        <row r="3633">
          <cell r="C3633" t="str">
            <v>推广订单扣款</v>
          </cell>
        </row>
        <row r="3633">
          <cell r="H3633" t="str">
            <v>诚毅店</v>
          </cell>
          <cell r="I3633">
            <v>46035</v>
          </cell>
          <cell r="J3633">
            <v>-165.33</v>
          </cell>
        </row>
        <row r="3634">
          <cell r="C3634" t="str">
            <v>推广订单扣款</v>
          </cell>
        </row>
        <row r="3634">
          <cell r="H3634" t="str">
            <v>首山店</v>
          </cell>
          <cell r="I3634">
            <v>46035</v>
          </cell>
          <cell r="J3634">
            <v>-148.74</v>
          </cell>
        </row>
        <row r="3635">
          <cell r="C3635" t="str">
            <v>推广订单扣款</v>
          </cell>
        </row>
        <row r="3635">
          <cell r="H3635" t="str">
            <v>首南店</v>
          </cell>
          <cell r="I3635">
            <v>46035</v>
          </cell>
          <cell r="J3635">
            <v>-118.1</v>
          </cell>
        </row>
        <row r="3636">
          <cell r="C3636" t="str">
            <v>推广订单扣款</v>
          </cell>
        </row>
        <row r="3636">
          <cell r="H3636" t="str">
            <v>余杭店</v>
          </cell>
          <cell r="I3636">
            <v>46035</v>
          </cell>
          <cell r="J3636">
            <v>-186.82</v>
          </cell>
        </row>
        <row r="3637">
          <cell r="C3637" t="str">
            <v>推广订单扣款</v>
          </cell>
        </row>
        <row r="3637">
          <cell r="H3637" t="str">
            <v>东海店</v>
          </cell>
          <cell r="I3637">
            <v>46035</v>
          </cell>
          <cell r="J3637">
            <v>-133.41</v>
          </cell>
        </row>
        <row r="3638">
          <cell r="C3638" t="str">
            <v>推广订单扣款</v>
          </cell>
        </row>
        <row r="3638">
          <cell r="H3638" t="str">
            <v>文灶店</v>
          </cell>
          <cell r="I3638">
            <v>46035</v>
          </cell>
          <cell r="J3638">
            <v>-216.43</v>
          </cell>
        </row>
        <row r="3639">
          <cell r="C3639" t="str">
            <v>推广订单扣款</v>
          </cell>
        </row>
        <row r="3639">
          <cell r="H3639" t="str">
            <v>滨江店</v>
          </cell>
          <cell r="I3639">
            <v>46035</v>
          </cell>
          <cell r="J3639">
            <v>-200</v>
          </cell>
        </row>
        <row r="3640">
          <cell r="C3640" t="str">
            <v>推广订单扣款</v>
          </cell>
        </row>
        <row r="3640">
          <cell r="H3640" t="str">
            <v>湖里店</v>
          </cell>
          <cell r="I3640">
            <v>46036</v>
          </cell>
          <cell r="J3640">
            <v>-157.9</v>
          </cell>
        </row>
        <row r="3641">
          <cell r="C3641" t="str">
            <v>推广订单扣款</v>
          </cell>
        </row>
        <row r="3641">
          <cell r="H3641" t="str">
            <v>东新店</v>
          </cell>
          <cell r="I3641">
            <v>46036</v>
          </cell>
          <cell r="J3641">
            <v>-126.84</v>
          </cell>
        </row>
        <row r="3642">
          <cell r="C3642" t="str">
            <v>推广订单扣款</v>
          </cell>
        </row>
        <row r="3642">
          <cell r="H3642" t="str">
            <v>启点店</v>
          </cell>
          <cell r="I3642">
            <v>46036</v>
          </cell>
          <cell r="J3642">
            <v>-129.37</v>
          </cell>
        </row>
        <row r="3643">
          <cell r="C3643" t="str">
            <v>推广订单扣款</v>
          </cell>
        </row>
        <row r="3643">
          <cell r="H3643" t="str">
            <v>高新店</v>
          </cell>
          <cell r="I3643">
            <v>46036</v>
          </cell>
          <cell r="J3643">
            <v>-198.88</v>
          </cell>
        </row>
        <row r="3644">
          <cell r="C3644" t="str">
            <v>推广订单扣款</v>
          </cell>
        </row>
        <row r="3644">
          <cell r="H3644" t="str">
            <v>成华店</v>
          </cell>
          <cell r="I3644">
            <v>46036</v>
          </cell>
          <cell r="J3644">
            <v>-121.25</v>
          </cell>
        </row>
        <row r="3645">
          <cell r="C3645" t="str">
            <v>推广订单扣款</v>
          </cell>
        </row>
        <row r="3645">
          <cell r="H3645" t="str">
            <v>金牛店</v>
          </cell>
          <cell r="I3645">
            <v>46036</v>
          </cell>
          <cell r="J3645">
            <v>-143.15</v>
          </cell>
        </row>
        <row r="3646">
          <cell r="C3646" t="str">
            <v>推广订单扣款</v>
          </cell>
        </row>
        <row r="3646">
          <cell r="H3646" t="str">
            <v>西山店</v>
          </cell>
          <cell r="I3646">
            <v>46036</v>
          </cell>
          <cell r="J3646">
            <v>-180.54</v>
          </cell>
        </row>
        <row r="3647">
          <cell r="C3647" t="str">
            <v>推广订单扣款</v>
          </cell>
        </row>
        <row r="3647">
          <cell r="H3647" t="str">
            <v>沙坪坝店</v>
          </cell>
          <cell r="I3647">
            <v>46036</v>
          </cell>
          <cell r="J3647">
            <v>-129.93</v>
          </cell>
        </row>
        <row r="3648">
          <cell r="C3648" t="str">
            <v>推广订单扣款</v>
          </cell>
        </row>
        <row r="3648">
          <cell r="H3648" t="str">
            <v>凤城二路店</v>
          </cell>
          <cell r="I3648">
            <v>46036</v>
          </cell>
          <cell r="J3648">
            <v>-200</v>
          </cell>
        </row>
        <row r="3649">
          <cell r="C3649" t="str">
            <v>推广订单扣款</v>
          </cell>
        </row>
        <row r="3649">
          <cell r="H3649" t="str">
            <v>大坪店</v>
          </cell>
          <cell r="I3649">
            <v>46036</v>
          </cell>
          <cell r="J3649">
            <v>-200</v>
          </cell>
        </row>
        <row r="3650">
          <cell r="C3650" t="str">
            <v>推广订单扣款</v>
          </cell>
        </row>
        <row r="3650">
          <cell r="H3650" t="str">
            <v>五华店</v>
          </cell>
          <cell r="I3650">
            <v>46036</v>
          </cell>
          <cell r="J3650">
            <v>-110.02</v>
          </cell>
        </row>
        <row r="3651">
          <cell r="C3651" t="str">
            <v>推广订单扣款</v>
          </cell>
        </row>
        <row r="3651">
          <cell r="H3651" t="str">
            <v>官渡店</v>
          </cell>
          <cell r="I3651">
            <v>46036</v>
          </cell>
          <cell r="J3651">
            <v>-163.36</v>
          </cell>
        </row>
        <row r="3652">
          <cell r="C3652" t="str">
            <v>推广订单扣款</v>
          </cell>
        </row>
        <row r="3652">
          <cell r="H3652" t="str">
            <v>百捷店</v>
          </cell>
          <cell r="I3652">
            <v>46036</v>
          </cell>
          <cell r="J3652">
            <v>-138.53</v>
          </cell>
        </row>
        <row r="3653">
          <cell r="C3653" t="str">
            <v>推广订单扣款</v>
          </cell>
        </row>
        <row r="3653">
          <cell r="H3653" t="str">
            <v>济南店</v>
          </cell>
          <cell r="I3653">
            <v>46036</v>
          </cell>
          <cell r="J3653">
            <v>-198.4</v>
          </cell>
        </row>
        <row r="3654">
          <cell r="C3654" t="str">
            <v>推广订单扣款</v>
          </cell>
        </row>
        <row r="3654">
          <cell r="H3654" t="str">
            <v>观音桥店</v>
          </cell>
          <cell r="I3654">
            <v>46036</v>
          </cell>
          <cell r="J3654">
            <v>-200</v>
          </cell>
        </row>
        <row r="3655">
          <cell r="C3655" t="str">
            <v>推广订单扣款</v>
          </cell>
        </row>
        <row r="3655">
          <cell r="H3655" t="str">
            <v>长沙店</v>
          </cell>
          <cell r="I3655">
            <v>46036</v>
          </cell>
          <cell r="J3655">
            <v>-146.52</v>
          </cell>
        </row>
        <row r="3656">
          <cell r="C3656" t="str">
            <v>推广订单扣款</v>
          </cell>
        </row>
        <row r="3656">
          <cell r="H3656" t="str">
            <v>洛江店</v>
          </cell>
          <cell r="I3656">
            <v>46036</v>
          </cell>
          <cell r="J3656">
            <v>-42.59</v>
          </cell>
        </row>
        <row r="3657">
          <cell r="C3657" t="str">
            <v>推广订单扣款</v>
          </cell>
        </row>
        <row r="3657">
          <cell r="H3657" t="str">
            <v>五路口店</v>
          </cell>
          <cell r="I3657">
            <v>46036</v>
          </cell>
          <cell r="J3657">
            <v>-200</v>
          </cell>
        </row>
        <row r="3658">
          <cell r="C3658" t="str">
            <v>推广订单扣款</v>
          </cell>
        </row>
        <row r="3658">
          <cell r="H3658" t="str">
            <v>青羊店</v>
          </cell>
          <cell r="I3658">
            <v>46036</v>
          </cell>
          <cell r="J3658">
            <v>-57.09</v>
          </cell>
        </row>
        <row r="3659">
          <cell r="C3659" t="str">
            <v>推广订单扣款</v>
          </cell>
        </row>
        <row r="3659">
          <cell r="H3659" t="str">
            <v>武侯店</v>
          </cell>
          <cell r="I3659">
            <v>46036</v>
          </cell>
          <cell r="J3659">
            <v>-60.52</v>
          </cell>
        </row>
        <row r="3660">
          <cell r="C3660" t="str">
            <v>推广订单扣款</v>
          </cell>
        </row>
        <row r="3660">
          <cell r="H3660" t="str">
            <v>鼓楼店</v>
          </cell>
          <cell r="I3660">
            <v>46036</v>
          </cell>
          <cell r="J3660">
            <v>-159.54</v>
          </cell>
        </row>
        <row r="3661">
          <cell r="C3661" t="str">
            <v>推广订单扣款</v>
          </cell>
        </row>
        <row r="3661">
          <cell r="H3661" t="str">
            <v>黄雁村店</v>
          </cell>
          <cell r="I3661">
            <v>46036</v>
          </cell>
          <cell r="J3661">
            <v>-200</v>
          </cell>
        </row>
        <row r="3662">
          <cell r="C3662" t="str">
            <v>推广订单扣款</v>
          </cell>
        </row>
        <row r="3662">
          <cell r="H3662" t="str">
            <v>西湖店</v>
          </cell>
          <cell r="I3662">
            <v>46036</v>
          </cell>
          <cell r="J3662">
            <v>-40.31</v>
          </cell>
        </row>
        <row r="3663">
          <cell r="C3663" t="str">
            <v>推广订单扣款</v>
          </cell>
        </row>
        <row r="3663">
          <cell r="H3663" t="str">
            <v>百丈店</v>
          </cell>
          <cell r="I3663">
            <v>46036</v>
          </cell>
          <cell r="J3663">
            <v>-400</v>
          </cell>
        </row>
        <row r="3664">
          <cell r="C3664" t="str">
            <v>推广订单扣款</v>
          </cell>
        </row>
        <row r="3664">
          <cell r="H3664" t="str">
            <v>文昌店</v>
          </cell>
          <cell r="I3664">
            <v>46036</v>
          </cell>
          <cell r="J3664">
            <v>-76.46</v>
          </cell>
        </row>
        <row r="3665">
          <cell r="C3665" t="str">
            <v>推广订单扣款</v>
          </cell>
        </row>
        <row r="3665">
          <cell r="H3665" t="str">
            <v>观桥店</v>
          </cell>
          <cell r="I3665">
            <v>46036</v>
          </cell>
          <cell r="J3665">
            <v>-200</v>
          </cell>
        </row>
        <row r="3666">
          <cell r="C3666" t="str">
            <v>推广订单扣款</v>
          </cell>
        </row>
        <row r="3666">
          <cell r="H3666" t="str">
            <v>海口店</v>
          </cell>
          <cell r="I3666">
            <v>46036</v>
          </cell>
          <cell r="J3666">
            <v>-200</v>
          </cell>
        </row>
        <row r="3667">
          <cell r="C3667" t="str">
            <v>推广订单扣款</v>
          </cell>
        </row>
        <row r="3667">
          <cell r="H3667" t="str">
            <v>南安店</v>
          </cell>
          <cell r="I3667">
            <v>46036</v>
          </cell>
          <cell r="J3667">
            <v>-0.47</v>
          </cell>
        </row>
        <row r="3668">
          <cell r="C3668" t="str">
            <v>推广订单扣款</v>
          </cell>
        </row>
        <row r="3668">
          <cell r="H3668" t="str">
            <v>诚毅店</v>
          </cell>
          <cell r="I3668">
            <v>46036</v>
          </cell>
          <cell r="J3668">
            <v>-163.05</v>
          </cell>
        </row>
        <row r="3669">
          <cell r="C3669" t="str">
            <v>推广订单扣款</v>
          </cell>
        </row>
        <row r="3669">
          <cell r="H3669" t="str">
            <v>首山店</v>
          </cell>
          <cell r="I3669">
            <v>46036</v>
          </cell>
          <cell r="J3669">
            <v>-161.49</v>
          </cell>
        </row>
        <row r="3670">
          <cell r="C3670" t="str">
            <v>推广订单扣款</v>
          </cell>
        </row>
        <row r="3670">
          <cell r="H3670" t="str">
            <v>首南店</v>
          </cell>
          <cell r="I3670">
            <v>46036</v>
          </cell>
          <cell r="J3670">
            <v>-155.18</v>
          </cell>
        </row>
        <row r="3671">
          <cell r="C3671" t="str">
            <v>推广订单扣款</v>
          </cell>
        </row>
        <row r="3671">
          <cell r="H3671" t="str">
            <v>余杭店</v>
          </cell>
          <cell r="I3671">
            <v>46036</v>
          </cell>
          <cell r="J3671">
            <v>-175.72</v>
          </cell>
        </row>
        <row r="3672">
          <cell r="C3672" t="str">
            <v>推广订单扣款</v>
          </cell>
        </row>
        <row r="3672">
          <cell r="H3672" t="str">
            <v>东海店</v>
          </cell>
          <cell r="I3672">
            <v>46036</v>
          </cell>
          <cell r="J3672">
            <v>-123.81</v>
          </cell>
        </row>
        <row r="3673">
          <cell r="C3673" t="str">
            <v>推广订单扣款</v>
          </cell>
        </row>
        <row r="3673">
          <cell r="H3673" t="str">
            <v>文灶店</v>
          </cell>
          <cell r="I3673">
            <v>46036</v>
          </cell>
          <cell r="J3673">
            <v>-171.21</v>
          </cell>
        </row>
        <row r="3674">
          <cell r="C3674" t="str">
            <v>推广订单扣款</v>
          </cell>
        </row>
        <row r="3674">
          <cell r="H3674" t="str">
            <v>滨江店</v>
          </cell>
          <cell r="I3674">
            <v>46036</v>
          </cell>
          <cell r="J3674">
            <v>-200</v>
          </cell>
        </row>
        <row r="3675">
          <cell r="C3675" t="str">
            <v>推广订单扣款</v>
          </cell>
        </row>
        <row r="3675">
          <cell r="H3675" t="str">
            <v>华信店</v>
          </cell>
          <cell r="I3675">
            <v>46036</v>
          </cell>
          <cell r="J3675">
            <v>-200</v>
          </cell>
        </row>
        <row r="3676">
          <cell r="C3676" t="str">
            <v>推广订单扣款</v>
          </cell>
        </row>
        <row r="3676">
          <cell r="H3676" t="str">
            <v>湖里店</v>
          </cell>
          <cell r="I3676" t="str">
            <v>2026-1-15</v>
          </cell>
          <cell r="J3676">
            <v>-199.43</v>
          </cell>
        </row>
        <row r="3677">
          <cell r="C3677" t="str">
            <v>推广订单扣款</v>
          </cell>
        </row>
        <row r="3677">
          <cell r="H3677" t="str">
            <v>东新店</v>
          </cell>
          <cell r="I3677" t="str">
            <v>2026-1-15</v>
          </cell>
          <cell r="J3677">
            <v>-171.07</v>
          </cell>
        </row>
        <row r="3678">
          <cell r="C3678" t="str">
            <v>推广订单扣款</v>
          </cell>
        </row>
        <row r="3678">
          <cell r="H3678" t="str">
            <v>启点店</v>
          </cell>
          <cell r="I3678" t="str">
            <v>2026-1-15</v>
          </cell>
          <cell r="J3678">
            <v>-128.99</v>
          </cell>
        </row>
        <row r="3679">
          <cell r="C3679" t="str">
            <v>推广订单扣款</v>
          </cell>
        </row>
        <row r="3679">
          <cell r="H3679" t="str">
            <v>高新店</v>
          </cell>
          <cell r="I3679" t="str">
            <v>2026-1-15</v>
          </cell>
          <cell r="J3679">
            <v>-157.28</v>
          </cell>
        </row>
        <row r="3680">
          <cell r="C3680" t="str">
            <v>推广订单扣款</v>
          </cell>
        </row>
        <row r="3680">
          <cell r="H3680" t="str">
            <v>成华店</v>
          </cell>
          <cell r="I3680" t="str">
            <v>2026-1-15</v>
          </cell>
          <cell r="J3680">
            <v>-42.53</v>
          </cell>
        </row>
        <row r="3681">
          <cell r="C3681" t="str">
            <v>推广订单扣款</v>
          </cell>
        </row>
        <row r="3681">
          <cell r="H3681" t="str">
            <v>金牛店</v>
          </cell>
          <cell r="I3681" t="str">
            <v>2026-1-15</v>
          </cell>
          <cell r="J3681">
            <v>-86.98</v>
          </cell>
        </row>
        <row r="3682">
          <cell r="C3682" t="str">
            <v>推广订单扣款</v>
          </cell>
        </row>
        <row r="3682">
          <cell r="H3682" t="str">
            <v>西山店</v>
          </cell>
          <cell r="I3682" t="str">
            <v>2026-1-15</v>
          </cell>
          <cell r="J3682">
            <v>-119.51</v>
          </cell>
        </row>
        <row r="3683">
          <cell r="C3683" t="str">
            <v>推广订单扣款</v>
          </cell>
        </row>
        <row r="3683">
          <cell r="H3683" t="str">
            <v>沙坪坝店</v>
          </cell>
          <cell r="I3683" t="str">
            <v>2026-1-15</v>
          </cell>
          <cell r="J3683">
            <v>-75.88</v>
          </cell>
        </row>
        <row r="3684">
          <cell r="C3684" t="str">
            <v>推广订单扣款</v>
          </cell>
        </row>
        <row r="3684">
          <cell r="H3684" t="str">
            <v>凤城二路店</v>
          </cell>
          <cell r="I3684" t="str">
            <v>2026-1-15</v>
          </cell>
          <cell r="J3684">
            <v>-200</v>
          </cell>
        </row>
        <row r="3685">
          <cell r="C3685" t="str">
            <v>推广订单扣款</v>
          </cell>
        </row>
        <row r="3685">
          <cell r="H3685" t="str">
            <v>大坪店</v>
          </cell>
          <cell r="I3685" t="str">
            <v>2026-1-15</v>
          </cell>
          <cell r="J3685">
            <v>-174.11</v>
          </cell>
        </row>
        <row r="3686">
          <cell r="C3686" t="str">
            <v>推广订单扣款</v>
          </cell>
        </row>
        <row r="3686">
          <cell r="H3686" t="str">
            <v>五华店</v>
          </cell>
          <cell r="I3686" t="str">
            <v>2026-1-15</v>
          </cell>
          <cell r="J3686">
            <v>-123.54</v>
          </cell>
        </row>
        <row r="3687">
          <cell r="C3687" t="str">
            <v>推广订单扣款</v>
          </cell>
        </row>
        <row r="3687">
          <cell r="H3687" t="str">
            <v>官渡店</v>
          </cell>
          <cell r="I3687" t="str">
            <v>2026-1-15</v>
          </cell>
          <cell r="J3687">
            <v>-181.41</v>
          </cell>
        </row>
        <row r="3688">
          <cell r="C3688" t="str">
            <v>推广订单扣款</v>
          </cell>
        </row>
        <row r="3688">
          <cell r="H3688" t="str">
            <v>百捷店</v>
          </cell>
          <cell r="I3688" t="str">
            <v>2026-1-15</v>
          </cell>
          <cell r="J3688">
            <v>-109.24</v>
          </cell>
        </row>
        <row r="3689">
          <cell r="C3689" t="str">
            <v>推广订单扣款</v>
          </cell>
        </row>
        <row r="3689">
          <cell r="H3689" t="str">
            <v>济南店</v>
          </cell>
          <cell r="I3689" t="str">
            <v>2026-1-15</v>
          </cell>
          <cell r="J3689">
            <v>-200</v>
          </cell>
        </row>
        <row r="3690">
          <cell r="C3690" t="str">
            <v>推广订单扣款</v>
          </cell>
        </row>
        <row r="3690">
          <cell r="H3690" t="str">
            <v>观音桥店</v>
          </cell>
          <cell r="I3690" t="str">
            <v>2026-1-15</v>
          </cell>
          <cell r="J3690">
            <v>-200</v>
          </cell>
        </row>
        <row r="3691">
          <cell r="C3691" t="str">
            <v>推广订单扣款</v>
          </cell>
        </row>
        <row r="3691">
          <cell r="H3691" t="str">
            <v>长沙店</v>
          </cell>
          <cell r="I3691" t="str">
            <v>2026-1-15</v>
          </cell>
          <cell r="J3691">
            <v>-93.19</v>
          </cell>
        </row>
        <row r="3692">
          <cell r="C3692" t="str">
            <v>推广订单扣款</v>
          </cell>
        </row>
        <row r="3692">
          <cell r="H3692" t="str">
            <v>洛江店</v>
          </cell>
          <cell r="I3692" t="str">
            <v>2026-1-15</v>
          </cell>
          <cell r="J3692">
            <v>-36.77</v>
          </cell>
        </row>
        <row r="3693">
          <cell r="C3693" t="str">
            <v>推广订单扣款</v>
          </cell>
        </row>
        <row r="3693">
          <cell r="H3693" t="str">
            <v>五路口店</v>
          </cell>
          <cell r="I3693" t="str">
            <v>2026-1-15</v>
          </cell>
          <cell r="J3693">
            <v>-200</v>
          </cell>
        </row>
        <row r="3694">
          <cell r="C3694" t="str">
            <v>推广订单扣款</v>
          </cell>
        </row>
        <row r="3694">
          <cell r="H3694" t="str">
            <v>青羊店</v>
          </cell>
          <cell r="I3694" t="str">
            <v>2026-1-15</v>
          </cell>
          <cell r="J3694">
            <v>-59.36</v>
          </cell>
        </row>
        <row r="3695">
          <cell r="C3695" t="str">
            <v>推广订单扣款</v>
          </cell>
        </row>
        <row r="3695">
          <cell r="H3695" t="str">
            <v>武侯店</v>
          </cell>
          <cell r="I3695" t="str">
            <v>2026-1-15</v>
          </cell>
          <cell r="J3695">
            <v>-32.06</v>
          </cell>
        </row>
        <row r="3696">
          <cell r="C3696" t="str">
            <v>推广订单扣款</v>
          </cell>
        </row>
        <row r="3696">
          <cell r="H3696" t="str">
            <v>鼓楼店</v>
          </cell>
          <cell r="I3696" t="str">
            <v>2026-1-15</v>
          </cell>
          <cell r="J3696">
            <v>-162.2</v>
          </cell>
        </row>
        <row r="3697">
          <cell r="C3697" t="str">
            <v>推广订单扣款</v>
          </cell>
        </row>
        <row r="3697">
          <cell r="H3697" t="str">
            <v>黄雁村店</v>
          </cell>
          <cell r="I3697" t="str">
            <v>2026-1-15</v>
          </cell>
          <cell r="J3697">
            <v>-200</v>
          </cell>
        </row>
        <row r="3698">
          <cell r="C3698" t="str">
            <v>推广订单扣款</v>
          </cell>
        </row>
        <row r="3698">
          <cell r="H3698" t="str">
            <v>西湖店</v>
          </cell>
          <cell r="I3698" t="str">
            <v>2026-1-15</v>
          </cell>
          <cell r="J3698">
            <v>-52.91</v>
          </cell>
        </row>
        <row r="3699">
          <cell r="C3699" t="str">
            <v>推广订单扣款</v>
          </cell>
        </row>
        <row r="3699">
          <cell r="H3699" t="str">
            <v>百丈店</v>
          </cell>
          <cell r="I3699" t="str">
            <v>2026-1-15</v>
          </cell>
          <cell r="J3699">
            <v>-200</v>
          </cell>
        </row>
        <row r="3700">
          <cell r="C3700" t="str">
            <v>推广账户自动充值</v>
          </cell>
        </row>
        <row r="3700">
          <cell r="H3700" t="str">
            <v>文昌店</v>
          </cell>
          <cell r="I3700" t="str">
            <v>2026-1-15</v>
          </cell>
          <cell r="J3700">
            <v>200</v>
          </cell>
        </row>
        <row r="3701">
          <cell r="C3701" t="str">
            <v>推广订单扣款</v>
          </cell>
        </row>
        <row r="3701">
          <cell r="H3701" t="str">
            <v>文昌店</v>
          </cell>
          <cell r="I3701" t="str">
            <v>2026-1-15</v>
          </cell>
          <cell r="J3701">
            <v>-64.83</v>
          </cell>
        </row>
        <row r="3702">
          <cell r="C3702" t="str">
            <v>推广订单扣款</v>
          </cell>
        </row>
        <row r="3702">
          <cell r="H3702" t="str">
            <v>观桥店</v>
          </cell>
          <cell r="I3702" t="str">
            <v>2026-1-15</v>
          </cell>
          <cell r="J3702">
            <v>-200</v>
          </cell>
        </row>
        <row r="3703">
          <cell r="C3703" t="str">
            <v>推广订单扣款</v>
          </cell>
        </row>
        <row r="3703">
          <cell r="H3703" t="str">
            <v>海口店</v>
          </cell>
          <cell r="I3703" t="str">
            <v>2026-1-15</v>
          </cell>
          <cell r="J3703">
            <v>-200</v>
          </cell>
        </row>
        <row r="3704">
          <cell r="C3704" t="str">
            <v>推广订单扣款</v>
          </cell>
        </row>
        <row r="3704">
          <cell r="H3704" t="str">
            <v>南安店</v>
          </cell>
          <cell r="I3704" t="str">
            <v>2026-1-15</v>
          </cell>
          <cell r="J3704">
            <v>-7.05</v>
          </cell>
        </row>
        <row r="3705">
          <cell r="C3705" t="str">
            <v>推广订单扣款</v>
          </cell>
        </row>
        <row r="3705">
          <cell r="H3705" t="str">
            <v>诚毅店</v>
          </cell>
          <cell r="I3705" t="str">
            <v>2026-1-15</v>
          </cell>
          <cell r="J3705">
            <v>-199.16</v>
          </cell>
        </row>
        <row r="3706">
          <cell r="C3706" t="str">
            <v>推广订单扣款</v>
          </cell>
        </row>
        <row r="3706">
          <cell r="H3706" t="str">
            <v>首山店</v>
          </cell>
          <cell r="I3706" t="str">
            <v>2026-1-15</v>
          </cell>
          <cell r="J3706">
            <v>-177.54</v>
          </cell>
        </row>
        <row r="3707">
          <cell r="C3707" t="str">
            <v>推广订单扣款</v>
          </cell>
        </row>
        <row r="3707">
          <cell r="H3707" t="str">
            <v>首南店</v>
          </cell>
          <cell r="I3707" t="str">
            <v>2026-1-15</v>
          </cell>
          <cell r="J3707">
            <v>-175.3</v>
          </cell>
        </row>
        <row r="3708">
          <cell r="C3708" t="str">
            <v>推广订单扣款</v>
          </cell>
        </row>
        <row r="3708">
          <cell r="H3708" t="str">
            <v>余杭店</v>
          </cell>
          <cell r="I3708" t="str">
            <v>2026-1-15</v>
          </cell>
          <cell r="J3708">
            <v>-195.39</v>
          </cell>
        </row>
        <row r="3709">
          <cell r="C3709" t="str">
            <v>推广订单扣款</v>
          </cell>
        </row>
        <row r="3709">
          <cell r="H3709" t="str">
            <v>东海店</v>
          </cell>
          <cell r="I3709" t="str">
            <v>2026-1-15</v>
          </cell>
          <cell r="J3709">
            <v>-131.29</v>
          </cell>
        </row>
        <row r="3710">
          <cell r="C3710" t="str">
            <v>推广订单扣款</v>
          </cell>
        </row>
        <row r="3710">
          <cell r="H3710" t="str">
            <v>文灶店</v>
          </cell>
          <cell r="I3710" t="str">
            <v>2026-1-15</v>
          </cell>
          <cell r="J3710">
            <v>-195.14</v>
          </cell>
        </row>
        <row r="3711">
          <cell r="C3711" t="str">
            <v>推广订单扣款</v>
          </cell>
        </row>
        <row r="3711">
          <cell r="H3711" t="str">
            <v>滨江店</v>
          </cell>
          <cell r="I3711" t="str">
            <v>2026-1-15</v>
          </cell>
          <cell r="J3711">
            <v>-200</v>
          </cell>
        </row>
        <row r="3712">
          <cell r="C3712" t="str">
            <v>推广订单扣款</v>
          </cell>
        </row>
        <row r="3712">
          <cell r="H3712" t="str">
            <v>华信店</v>
          </cell>
          <cell r="I3712">
            <v>46037</v>
          </cell>
          <cell r="J3712">
            <v>-200</v>
          </cell>
        </row>
        <row r="3713">
          <cell r="C3713" t="str">
            <v>推广订单扣款</v>
          </cell>
        </row>
        <row r="3713">
          <cell r="H3713" t="str">
            <v>济南店</v>
          </cell>
          <cell r="I3713">
            <v>46038</v>
          </cell>
          <cell r="J3713">
            <v>-198.35</v>
          </cell>
        </row>
        <row r="3714">
          <cell r="C3714" t="str">
            <v>推广订单扣款</v>
          </cell>
        </row>
        <row r="3714">
          <cell r="H3714" t="str">
            <v>大坪店</v>
          </cell>
          <cell r="I3714">
            <v>46038</v>
          </cell>
          <cell r="J3714">
            <v>-188.45</v>
          </cell>
        </row>
        <row r="3715">
          <cell r="C3715" t="str">
            <v>推广订单扣款</v>
          </cell>
        </row>
        <row r="3715">
          <cell r="H3715" t="str">
            <v>金牛店</v>
          </cell>
          <cell r="I3715">
            <v>46038</v>
          </cell>
          <cell r="J3715">
            <v>-118.45</v>
          </cell>
        </row>
        <row r="3716">
          <cell r="C3716" t="str">
            <v>推广订单扣款</v>
          </cell>
        </row>
        <row r="3716">
          <cell r="H3716" t="str">
            <v>观音桥店</v>
          </cell>
          <cell r="I3716">
            <v>46038</v>
          </cell>
          <cell r="J3716">
            <v>-200</v>
          </cell>
        </row>
        <row r="3717">
          <cell r="C3717" t="str">
            <v>推广订单扣款</v>
          </cell>
        </row>
        <row r="3717">
          <cell r="H3717" t="str">
            <v>高新店</v>
          </cell>
          <cell r="I3717">
            <v>46038</v>
          </cell>
          <cell r="J3717">
            <v>-174.08</v>
          </cell>
        </row>
        <row r="3718">
          <cell r="C3718" t="str">
            <v>推广订单扣款</v>
          </cell>
        </row>
        <row r="3718">
          <cell r="H3718" t="str">
            <v>南安店</v>
          </cell>
          <cell r="I3718">
            <v>46038</v>
          </cell>
          <cell r="J3718">
            <v>-12.32</v>
          </cell>
        </row>
        <row r="3719">
          <cell r="C3719" t="str">
            <v>推广订单扣款</v>
          </cell>
        </row>
        <row r="3719">
          <cell r="H3719" t="str">
            <v>余杭店</v>
          </cell>
          <cell r="I3719">
            <v>46038</v>
          </cell>
          <cell r="J3719">
            <v>-137.01</v>
          </cell>
        </row>
        <row r="3720">
          <cell r="C3720" t="str">
            <v>推广订单扣款</v>
          </cell>
        </row>
        <row r="3720">
          <cell r="H3720" t="str">
            <v>西山店</v>
          </cell>
          <cell r="I3720">
            <v>46038</v>
          </cell>
          <cell r="J3720">
            <v>-165.51</v>
          </cell>
        </row>
        <row r="3721">
          <cell r="C3721" t="str">
            <v>推广订单扣款</v>
          </cell>
        </row>
        <row r="3721">
          <cell r="H3721" t="str">
            <v>湖里店</v>
          </cell>
          <cell r="I3721">
            <v>46038</v>
          </cell>
          <cell r="J3721">
            <v>-121.74</v>
          </cell>
        </row>
        <row r="3722">
          <cell r="C3722" t="str">
            <v>推广订单扣款</v>
          </cell>
        </row>
        <row r="3722">
          <cell r="H3722" t="str">
            <v>武侯店</v>
          </cell>
          <cell r="I3722">
            <v>46038</v>
          </cell>
          <cell r="J3722">
            <v>-58.41</v>
          </cell>
        </row>
        <row r="3723">
          <cell r="C3723" t="str">
            <v>推广订单扣款</v>
          </cell>
        </row>
        <row r="3723">
          <cell r="H3723" t="str">
            <v>华信店</v>
          </cell>
          <cell r="I3723">
            <v>46038</v>
          </cell>
          <cell r="J3723">
            <v>-200</v>
          </cell>
        </row>
        <row r="3724">
          <cell r="C3724" t="str">
            <v>推广订单扣款</v>
          </cell>
        </row>
        <row r="3724">
          <cell r="H3724" t="str">
            <v>青羊店</v>
          </cell>
          <cell r="I3724">
            <v>46038</v>
          </cell>
          <cell r="J3724">
            <v>-56.55</v>
          </cell>
        </row>
        <row r="3725">
          <cell r="C3725" t="str">
            <v>推广订单扣款</v>
          </cell>
        </row>
        <row r="3725">
          <cell r="H3725" t="str">
            <v>滨江店</v>
          </cell>
          <cell r="I3725">
            <v>46038</v>
          </cell>
          <cell r="J3725">
            <v>-200</v>
          </cell>
        </row>
        <row r="3726">
          <cell r="C3726" t="str">
            <v>推广订单扣款</v>
          </cell>
        </row>
        <row r="3726">
          <cell r="H3726" t="str">
            <v>首南店</v>
          </cell>
          <cell r="I3726">
            <v>46038</v>
          </cell>
          <cell r="J3726">
            <v>-144.89</v>
          </cell>
        </row>
        <row r="3727">
          <cell r="C3727" t="str">
            <v>推广订单扣款</v>
          </cell>
        </row>
        <row r="3727">
          <cell r="H3727" t="str">
            <v>凤城二路店</v>
          </cell>
          <cell r="I3727">
            <v>46038</v>
          </cell>
          <cell r="J3727">
            <v>-200</v>
          </cell>
        </row>
        <row r="3728">
          <cell r="C3728" t="str">
            <v>推广订单扣款</v>
          </cell>
        </row>
        <row r="3728">
          <cell r="H3728" t="str">
            <v>鼓楼店</v>
          </cell>
          <cell r="I3728">
            <v>46038</v>
          </cell>
          <cell r="J3728">
            <v>-200</v>
          </cell>
        </row>
        <row r="3729">
          <cell r="C3729" t="str">
            <v>推广订单扣款</v>
          </cell>
        </row>
        <row r="3729">
          <cell r="H3729" t="str">
            <v>西湖店</v>
          </cell>
          <cell r="I3729">
            <v>46038</v>
          </cell>
          <cell r="J3729">
            <v>-82.35</v>
          </cell>
        </row>
        <row r="3730">
          <cell r="C3730" t="str">
            <v>推广订单扣款</v>
          </cell>
        </row>
        <row r="3730">
          <cell r="H3730" t="str">
            <v>洛江店</v>
          </cell>
          <cell r="I3730">
            <v>46038</v>
          </cell>
          <cell r="J3730">
            <v>-62.97</v>
          </cell>
        </row>
        <row r="3731">
          <cell r="C3731" t="str">
            <v>推广订单扣款</v>
          </cell>
        </row>
        <row r="3731">
          <cell r="H3731" t="str">
            <v>首山店</v>
          </cell>
          <cell r="I3731">
            <v>46038</v>
          </cell>
          <cell r="J3731">
            <v>-225.32</v>
          </cell>
        </row>
        <row r="3732">
          <cell r="C3732" t="str">
            <v>推广订单扣款</v>
          </cell>
        </row>
        <row r="3732">
          <cell r="H3732" t="str">
            <v>长沙店</v>
          </cell>
          <cell r="I3732">
            <v>46038</v>
          </cell>
          <cell r="J3732">
            <v>-110.64</v>
          </cell>
        </row>
        <row r="3733">
          <cell r="C3733" t="str">
            <v>推广订单扣款</v>
          </cell>
        </row>
        <row r="3733">
          <cell r="H3733" t="str">
            <v>五路口店</v>
          </cell>
          <cell r="I3733">
            <v>46038</v>
          </cell>
          <cell r="J3733">
            <v>-200</v>
          </cell>
        </row>
        <row r="3734">
          <cell r="C3734" t="str">
            <v>推广订单扣款</v>
          </cell>
        </row>
        <row r="3734">
          <cell r="H3734" t="str">
            <v>百丈店</v>
          </cell>
          <cell r="I3734">
            <v>46038</v>
          </cell>
          <cell r="J3734">
            <v>-200</v>
          </cell>
        </row>
        <row r="3735">
          <cell r="C3735" t="str">
            <v>推广订单扣款</v>
          </cell>
        </row>
        <row r="3735">
          <cell r="H3735" t="str">
            <v>东新店</v>
          </cell>
          <cell r="I3735">
            <v>46038</v>
          </cell>
          <cell r="J3735">
            <v>-166.46</v>
          </cell>
        </row>
        <row r="3736">
          <cell r="C3736" t="str">
            <v>推广订单扣款</v>
          </cell>
        </row>
        <row r="3736">
          <cell r="H3736" t="str">
            <v>五华店</v>
          </cell>
          <cell r="I3736">
            <v>46038</v>
          </cell>
          <cell r="J3736">
            <v>-147.99</v>
          </cell>
        </row>
        <row r="3737">
          <cell r="C3737" t="str">
            <v>推广订单扣款</v>
          </cell>
        </row>
        <row r="3737">
          <cell r="H3737" t="str">
            <v>海口店</v>
          </cell>
          <cell r="I3737">
            <v>46038</v>
          </cell>
          <cell r="J3737">
            <v>-200</v>
          </cell>
        </row>
        <row r="3738">
          <cell r="C3738" t="str">
            <v>推广订单扣款</v>
          </cell>
        </row>
        <row r="3738">
          <cell r="H3738" t="str">
            <v>沙坪坝店</v>
          </cell>
          <cell r="I3738">
            <v>46038</v>
          </cell>
          <cell r="J3738">
            <v>-120.08</v>
          </cell>
        </row>
        <row r="3739">
          <cell r="C3739" t="str">
            <v>推广订单扣款</v>
          </cell>
        </row>
        <row r="3739">
          <cell r="H3739" t="str">
            <v>官渡店</v>
          </cell>
          <cell r="I3739">
            <v>46038</v>
          </cell>
          <cell r="J3739">
            <v>-110.98</v>
          </cell>
        </row>
        <row r="3740">
          <cell r="C3740" t="str">
            <v>推广订单扣款</v>
          </cell>
        </row>
        <row r="3740">
          <cell r="H3740" t="str">
            <v>东海店</v>
          </cell>
          <cell r="I3740">
            <v>46038</v>
          </cell>
          <cell r="J3740">
            <v>-108.4</v>
          </cell>
        </row>
        <row r="3741">
          <cell r="C3741" t="str">
            <v>推广订单扣款</v>
          </cell>
        </row>
        <row r="3741">
          <cell r="H3741" t="str">
            <v>文灶店</v>
          </cell>
          <cell r="I3741">
            <v>46038</v>
          </cell>
          <cell r="J3741">
            <v>-188.11</v>
          </cell>
        </row>
        <row r="3742">
          <cell r="C3742" t="str">
            <v>推广订单扣款</v>
          </cell>
        </row>
        <row r="3742">
          <cell r="H3742" t="str">
            <v>启点店</v>
          </cell>
          <cell r="I3742">
            <v>46038</v>
          </cell>
          <cell r="J3742">
            <v>-197.75</v>
          </cell>
        </row>
        <row r="3743">
          <cell r="C3743" t="str">
            <v>推广订单扣款</v>
          </cell>
        </row>
        <row r="3743">
          <cell r="H3743" t="str">
            <v>百捷店</v>
          </cell>
          <cell r="I3743">
            <v>46038</v>
          </cell>
          <cell r="J3743">
            <v>-125.64</v>
          </cell>
        </row>
        <row r="3744">
          <cell r="C3744" t="str">
            <v>推广订单扣款</v>
          </cell>
        </row>
        <row r="3744">
          <cell r="H3744" t="str">
            <v>成华店</v>
          </cell>
          <cell r="I3744">
            <v>46038</v>
          </cell>
          <cell r="J3744">
            <v>-74.84</v>
          </cell>
        </row>
        <row r="3745">
          <cell r="C3745" t="str">
            <v>推广订单扣款</v>
          </cell>
        </row>
        <row r="3745">
          <cell r="H3745" t="str">
            <v>诚毅店</v>
          </cell>
          <cell r="I3745">
            <v>46038</v>
          </cell>
          <cell r="J3745">
            <v>-178.85</v>
          </cell>
        </row>
        <row r="3746">
          <cell r="C3746" t="str">
            <v>推广订单扣款</v>
          </cell>
        </row>
        <row r="3746">
          <cell r="H3746" t="str">
            <v>黄雁村店</v>
          </cell>
          <cell r="I3746">
            <v>46038</v>
          </cell>
          <cell r="J3746">
            <v>-200</v>
          </cell>
        </row>
        <row r="3747">
          <cell r="C3747" t="str">
            <v>推广订单扣款</v>
          </cell>
        </row>
        <row r="3747">
          <cell r="H3747" t="str">
            <v>观桥店</v>
          </cell>
          <cell r="I3747">
            <v>46038</v>
          </cell>
          <cell r="J3747">
            <v>-200</v>
          </cell>
        </row>
        <row r="3748">
          <cell r="C3748" t="str">
            <v>推广订单扣款</v>
          </cell>
        </row>
        <row r="3748">
          <cell r="H3748" t="str">
            <v>文昌店</v>
          </cell>
          <cell r="I3748">
            <v>46038</v>
          </cell>
          <cell r="J3748">
            <v>-158.1</v>
          </cell>
        </row>
        <row r="3749">
          <cell r="C3749" t="str">
            <v>推广账户自动充值</v>
          </cell>
        </row>
        <row r="3749">
          <cell r="H3749" t="str">
            <v>余杭店</v>
          </cell>
          <cell r="I3749">
            <v>46038</v>
          </cell>
          <cell r="J3749">
            <v>200</v>
          </cell>
        </row>
        <row r="3750">
          <cell r="C3750" t="str">
            <v>推广账户自动充值</v>
          </cell>
        </row>
        <row r="3750">
          <cell r="H3750" t="str">
            <v>文昌店</v>
          </cell>
          <cell r="I3750">
            <v>46038</v>
          </cell>
          <cell r="J3750">
            <v>200</v>
          </cell>
        </row>
        <row r="3751">
          <cell r="C3751" t="str">
            <v>推广账户自动充值</v>
          </cell>
        </row>
        <row r="3751">
          <cell r="H3751" t="str">
            <v>黄雁村店</v>
          </cell>
          <cell r="I3751">
            <v>46038</v>
          </cell>
          <cell r="J3751">
            <v>200</v>
          </cell>
        </row>
        <row r="3752">
          <cell r="C3752" t="str">
            <v>推广账户自动充值</v>
          </cell>
        </row>
        <row r="3752">
          <cell r="H3752" t="str">
            <v>首山店</v>
          </cell>
          <cell r="I3752">
            <v>46038</v>
          </cell>
          <cell r="J3752">
            <v>200</v>
          </cell>
        </row>
        <row r="3753">
          <cell r="C3753" t="str">
            <v>推广账户自动充值</v>
          </cell>
        </row>
        <row r="3753">
          <cell r="H3753" t="str">
            <v>海口店</v>
          </cell>
          <cell r="I3753">
            <v>46038</v>
          </cell>
          <cell r="J3753">
            <v>200</v>
          </cell>
        </row>
        <row r="3754">
          <cell r="C3754" t="str">
            <v>推广账户自动充值</v>
          </cell>
        </row>
        <row r="3754">
          <cell r="H3754" t="str">
            <v>华信店</v>
          </cell>
          <cell r="I3754">
            <v>46038</v>
          </cell>
          <cell r="J3754">
            <v>200</v>
          </cell>
        </row>
        <row r="3755">
          <cell r="C3755" t="str">
            <v>推广账户自动充值</v>
          </cell>
        </row>
        <row r="3755">
          <cell r="H3755" t="str">
            <v>青羊店</v>
          </cell>
          <cell r="I3755">
            <v>46038</v>
          </cell>
          <cell r="J3755">
            <v>200</v>
          </cell>
        </row>
        <row r="3756">
          <cell r="C3756" t="str">
            <v>推广账户自动充值</v>
          </cell>
        </row>
        <row r="3756">
          <cell r="H3756" t="str">
            <v>滨江店</v>
          </cell>
          <cell r="I3756">
            <v>46038</v>
          </cell>
          <cell r="J3756">
            <v>200</v>
          </cell>
        </row>
        <row r="3757">
          <cell r="C3757" t="str">
            <v>推广账户自动充值</v>
          </cell>
        </row>
        <row r="3757">
          <cell r="H3757" t="str">
            <v>观音桥店</v>
          </cell>
          <cell r="I3757">
            <v>46038</v>
          </cell>
          <cell r="J3757">
            <v>200</v>
          </cell>
        </row>
        <row r="3758">
          <cell r="C3758" t="str">
            <v>推广账户自动充值</v>
          </cell>
        </row>
        <row r="3758">
          <cell r="H3758" t="str">
            <v>五路口店</v>
          </cell>
          <cell r="I3758">
            <v>46038</v>
          </cell>
          <cell r="J3758">
            <v>200</v>
          </cell>
        </row>
        <row r="3759">
          <cell r="C3759" t="str">
            <v>推广账户自动充值</v>
          </cell>
        </row>
        <row r="3759">
          <cell r="H3759" t="str">
            <v>西湖店</v>
          </cell>
          <cell r="I3759">
            <v>46038</v>
          </cell>
          <cell r="J3759">
            <v>200</v>
          </cell>
        </row>
        <row r="3760">
          <cell r="C3760" t="str">
            <v>推广账户自动充值</v>
          </cell>
        </row>
        <row r="3760">
          <cell r="H3760" t="str">
            <v>百丈店</v>
          </cell>
          <cell r="I3760">
            <v>46038</v>
          </cell>
          <cell r="J3760">
            <v>200</v>
          </cell>
        </row>
        <row r="3761">
          <cell r="C3761" t="str">
            <v>推广账户自动充值</v>
          </cell>
        </row>
        <row r="3761">
          <cell r="H3761" t="str">
            <v>金牛店</v>
          </cell>
          <cell r="I3761">
            <v>46038</v>
          </cell>
          <cell r="J3761">
            <v>200</v>
          </cell>
        </row>
        <row r="3762">
          <cell r="C3762" t="str">
            <v>推广账户自动充值</v>
          </cell>
        </row>
        <row r="3762">
          <cell r="H3762" t="str">
            <v>济南店</v>
          </cell>
          <cell r="I3762">
            <v>46038</v>
          </cell>
          <cell r="J3762">
            <v>200</v>
          </cell>
        </row>
        <row r="3763">
          <cell r="C3763" t="str">
            <v>推广账户自动充值</v>
          </cell>
        </row>
        <row r="3763">
          <cell r="H3763" t="str">
            <v>东新店</v>
          </cell>
          <cell r="I3763">
            <v>46038</v>
          </cell>
          <cell r="J3763">
            <v>200</v>
          </cell>
        </row>
        <row r="3764">
          <cell r="C3764" t="str">
            <v>推广账户自动充值</v>
          </cell>
        </row>
        <row r="3764">
          <cell r="H3764" t="str">
            <v>凤城二路店</v>
          </cell>
          <cell r="I3764">
            <v>46038</v>
          </cell>
          <cell r="J3764">
            <v>200</v>
          </cell>
        </row>
        <row r="3765">
          <cell r="C3765" t="str">
            <v>推广账户自动充值</v>
          </cell>
        </row>
        <row r="3765">
          <cell r="H3765" t="str">
            <v>观桥店</v>
          </cell>
          <cell r="I3765">
            <v>46038</v>
          </cell>
          <cell r="J3765">
            <v>200</v>
          </cell>
        </row>
        <row r="3766">
          <cell r="C3766" t="str">
            <v>推广账户自动充值</v>
          </cell>
        </row>
        <row r="3766">
          <cell r="H3766" t="str">
            <v>高新店</v>
          </cell>
          <cell r="I3766">
            <v>46038</v>
          </cell>
          <cell r="J3766">
            <v>200</v>
          </cell>
        </row>
        <row r="3767">
          <cell r="C3767" t="str">
            <v>推广账户自动充值</v>
          </cell>
        </row>
        <row r="3767">
          <cell r="H3767" t="str">
            <v>百捷店</v>
          </cell>
          <cell r="I3767">
            <v>46038</v>
          </cell>
          <cell r="J3767">
            <v>200</v>
          </cell>
        </row>
        <row r="3768">
          <cell r="C3768" t="str">
            <v>推广账户自动充值</v>
          </cell>
        </row>
        <row r="3768">
          <cell r="H3768" t="str">
            <v>首南店</v>
          </cell>
          <cell r="I3768">
            <v>46038</v>
          </cell>
          <cell r="J3768">
            <v>200</v>
          </cell>
        </row>
        <row r="3769">
          <cell r="C3769" t="str">
            <v>推广账户自动充值</v>
          </cell>
        </row>
        <row r="3769">
          <cell r="H3769" t="str">
            <v>五华店</v>
          </cell>
          <cell r="I3769">
            <v>46038</v>
          </cell>
          <cell r="J3769">
            <v>200</v>
          </cell>
        </row>
        <row r="3770">
          <cell r="C3770" t="str">
            <v>推广账户自动充值</v>
          </cell>
        </row>
        <row r="3770">
          <cell r="H3770" t="str">
            <v>鼓楼店</v>
          </cell>
          <cell r="I3770">
            <v>46038</v>
          </cell>
          <cell r="J3770">
            <v>200</v>
          </cell>
        </row>
        <row r="3771">
          <cell r="C3771" t="str">
            <v>推广账户自动充值</v>
          </cell>
        </row>
        <row r="3771">
          <cell r="H3771" t="str">
            <v>启点店</v>
          </cell>
          <cell r="I3771">
            <v>46038</v>
          </cell>
          <cell r="J3771">
            <v>200</v>
          </cell>
        </row>
        <row r="3772">
          <cell r="C3772" t="str">
            <v>推广账户自动充值</v>
          </cell>
        </row>
        <row r="3772">
          <cell r="H3772" t="str">
            <v>东海店</v>
          </cell>
          <cell r="I3772">
            <v>46039</v>
          </cell>
          <cell r="J3772">
            <v>200</v>
          </cell>
        </row>
        <row r="3773">
          <cell r="C3773" t="str">
            <v>推广订单扣款</v>
          </cell>
        </row>
        <row r="3773">
          <cell r="H3773" t="str">
            <v>济南店</v>
          </cell>
          <cell r="I3773">
            <v>46039</v>
          </cell>
          <cell r="J3773">
            <v>-200</v>
          </cell>
        </row>
        <row r="3774">
          <cell r="C3774" t="str">
            <v>推广订单扣款</v>
          </cell>
        </row>
        <row r="3774">
          <cell r="H3774" t="str">
            <v>大坪店</v>
          </cell>
          <cell r="I3774">
            <v>46039</v>
          </cell>
          <cell r="J3774">
            <v>-37.44</v>
          </cell>
        </row>
        <row r="3775">
          <cell r="C3775" t="str">
            <v>推广订单扣款</v>
          </cell>
        </row>
        <row r="3775">
          <cell r="H3775" t="str">
            <v>金牛店</v>
          </cell>
          <cell r="I3775">
            <v>46039</v>
          </cell>
          <cell r="J3775">
            <v>-62.83</v>
          </cell>
        </row>
        <row r="3776">
          <cell r="C3776" t="str">
            <v>推广订单扣款</v>
          </cell>
        </row>
        <row r="3776">
          <cell r="H3776" t="str">
            <v>高新店</v>
          </cell>
          <cell r="I3776">
            <v>46039</v>
          </cell>
          <cell r="J3776">
            <v>-125.6</v>
          </cell>
        </row>
        <row r="3777">
          <cell r="C3777" t="str">
            <v>推广订单扣款</v>
          </cell>
        </row>
        <row r="3777">
          <cell r="H3777" t="str">
            <v>观音桥店</v>
          </cell>
          <cell r="I3777">
            <v>46039</v>
          </cell>
          <cell r="J3777">
            <v>-200</v>
          </cell>
        </row>
        <row r="3778">
          <cell r="C3778" t="str">
            <v>推广订单扣款</v>
          </cell>
        </row>
        <row r="3778">
          <cell r="H3778" t="str">
            <v>南安店</v>
          </cell>
          <cell r="I3778">
            <v>46039</v>
          </cell>
          <cell r="J3778">
            <v>-38.1</v>
          </cell>
        </row>
        <row r="3779">
          <cell r="C3779" t="str">
            <v>推广订单扣款</v>
          </cell>
        </row>
        <row r="3779">
          <cell r="H3779" t="str">
            <v>余杭店</v>
          </cell>
          <cell r="I3779">
            <v>46039</v>
          </cell>
          <cell r="J3779">
            <v>-138.66</v>
          </cell>
        </row>
        <row r="3780">
          <cell r="C3780" t="str">
            <v>推广订单扣款</v>
          </cell>
        </row>
        <row r="3780">
          <cell r="H3780" t="str">
            <v>华信店</v>
          </cell>
          <cell r="I3780">
            <v>46039</v>
          </cell>
          <cell r="J3780">
            <v>-200</v>
          </cell>
        </row>
        <row r="3781">
          <cell r="C3781" t="str">
            <v>推广订单扣款</v>
          </cell>
        </row>
        <row r="3781">
          <cell r="H3781" t="str">
            <v>西山店</v>
          </cell>
          <cell r="I3781">
            <v>46039</v>
          </cell>
          <cell r="J3781">
            <v>-172.46</v>
          </cell>
        </row>
        <row r="3782">
          <cell r="C3782" t="str">
            <v>推广订单扣款</v>
          </cell>
        </row>
        <row r="3782">
          <cell r="H3782" t="str">
            <v>武侯店</v>
          </cell>
          <cell r="I3782">
            <v>46039</v>
          </cell>
          <cell r="J3782">
            <v>-33.63</v>
          </cell>
        </row>
        <row r="3783">
          <cell r="C3783" t="str">
            <v>推广订单扣款</v>
          </cell>
        </row>
        <row r="3783">
          <cell r="H3783" t="str">
            <v>湖里店</v>
          </cell>
          <cell r="I3783">
            <v>46039</v>
          </cell>
          <cell r="J3783">
            <v>-149.3</v>
          </cell>
        </row>
        <row r="3784">
          <cell r="C3784" t="str">
            <v>推广订单扣款</v>
          </cell>
        </row>
        <row r="3784">
          <cell r="H3784" t="str">
            <v>青羊店</v>
          </cell>
          <cell r="I3784">
            <v>46039</v>
          </cell>
          <cell r="J3784">
            <v>-73.46</v>
          </cell>
        </row>
        <row r="3785">
          <cell r="C3785" t="str">
            <v>推广订单扣款</v>
          </cell>
        </row>
        <row r="3785">
          <cell r="H3785" t="str">
            <v>滨江店</v>
          </cell>
          <cell r="I3785">
            <v>46039</v>
          </cell>
          <cell r="J3785">
            <v>-174.88</v>
          </cell>
        </row>
        <row r="3786">
          <cell r="C3786" t="str">
            <v>推广订单扣款</v>
          </cell>
        </row>
        <row r="3786">
          <cell r="H3786" t="str">
            <v>首南店</v>
          </cell>
          <cell r="I3786">
            <v>46039</v>
          </cell>
          <cell r="J3786">
            <v>-132.91</v>
          </cell>
        </row>
        <row r="3787">
          <cell r="C3787" t="str">
            <v>推广订单扣款</v>
          </cell>
        </row>
        <row r="3787">
          <cell r="H3787" t="str">
            <v>凤城二路店</v>
          </cell>
          <cell r="I3787">
            <v>46039</v>
          </cell>
          <cell r="J3787">
            <v>-200</v>
          </cell>
        </row>
        <row r="3788">
          <cell r="C3788" t="str">
            <v>推广订单扣款</v>
          </cell>
        </row>
        <row r="3788">
          <cell r="H3788" t="str">
            <v>西湖店</v>
          </cell>
          <cell r="I3788">
            <v>46039</v>
          </cell>
          <cell r="J3788">
            <v>-72.71</v>
          </cell>
        </row>
        <row r="3789">
          <cell r="C3789" t="str">
            <v>推广订单扣款</v>
          </cell>
        </row>
        <row r="3789">
          <cell r="H3789" t="str">
            <v>鼓楼店</v>
          </cell>
          <cell r="I3789">
            <v>46039</v>
          </cell>
          <cell r="J3789">
            <v>-161.71</v>
          </cell>
        </row>
        <row r="3790">
          <cell r="C3790" t="str">
            <v>推广订单扣款</v>
          </cell>
        </row>
        <row r="3790">
          <cell r="H3790" t="str">
            <v>长沙店</v>
          </cell>
          <cell r="I3790">
            <v>46039</v>
          </cell>
          <cell r="J3790">
            <v>-94.82</v>
          </cell>
        </row>
        <row r="3791">
          <cell r="C3791" t="str">
            <v>推广订单扣款</v>
          </cell>
        </row>
        <row r="3791">
          <cell r="H3791" t="str">
            <v>首山店</v>
          </cell>
          <cell r="I3791">
            <v>46039</v>
          </cell>
          <cell r="J3791">
            <v>-206.74</v>
          </cell>
        </row>
        <row r="3792">
          <cell r="C3792" t="str">
            <v>推广订单扣款</v>
          </cell>
        </row>
        <row r="3792">
          <cell r="H3792" t="str">
            <v>五路口店</v>
          </cell>
          <cell r="I3792">
            <v>46039</v>
          </cell>
          <cell r="J3792">
            <v>-200</v>
          </cell>
        </row>
        <row r="3793">
          <cell r="C3793" t="str">
            <v>推广订单扣款</v>
          </cell>
        </row>
        <row r="3793">
          <cell r="H3793" t="str">
            <v>百丈店</v>
          </cell>
          <cell r="I3793">
            <v>46039</v>
          </cell>
          <cell r="J3793">
            <v>-200</v>
          </cell>
        </row>
        <row r="3794">
          <cell r="C3794" t="str">
            <v>推广订单扣款</v>
          </cell>
        </row>
        <row r="3794">
          <cell r="H3794" t="str">
            <v>五华店</v>
          </cell>
          <cell r="I3794">
            <v>46039</v>
          </cell>
          <cell r="J3794">
            <v>-85.38</v>
          </cell>
        </row>
        <row r="3795">
          <cell r="C3795" t="str">
            <v>推广订单扣款</v>
          </cell>
        </row>
        <row r="3795">
          <cell r="H3795" t="str">
            <v>东新店</v>
          </cell>
          <cell r="I3795">
            <v>46039</v>
          </cell>
          <cell r="J3795">
            <v>-169.62</v>
          </cell>
        </row>
        <row r="3796">
          <cell r="C3796" t="str">
            <v>推广订单扣款</v>
          </cell>
        </row>
        <row r="3796">
          <cell r="H3796" t="str">
            <v>沙坪坝店</v>
          </cell>
          <cell r="I3796">
            <v>46039</v>
          </cell>
          <cell r="J3796">
            <v>-104.34</v>
          </cell>
        </row>
        <row r="3797">
          <cell r="C3797" t="str">
            <v>推广订单扣款</v>
          </cell>
        </row>
        <row r="3797">
          <cell r="H3797" t="str">
            <v>海口店</v>
          </cell>
          <cell r="I3797">
            <v>46039</v>
          </cell>
          <cell r="J3797">
            <v>-200</v>
          </cell>
        </row>
        <row r="3798">
          <cell r="C3798" t="str">
            <v>推广订单扣款</v>
          </cell>
        </row>
        <row r="3798">
          <cell r="H3798" t="str">
            <v>官渡店</v>
          </cell>
          <cell r="I3798">
            <v>46039</v>
          </cell>
          <cell r="J3798">
            <v>-164</v>
          </cell>
        </row>
        <row r="3799">
          <cell r="C3799" t="str">
            <v>推广订单扣款</v>
          </cell>
        </row>
        <row r="3799">
          <cell r="H3799" t="str">
            <v>东海店</v>
          </cell>
          <cell r="I3799">
            <v>46039</v>
          </cell>
          <cell r="J3799">
            <v>-121.32</v>
          </cell>
        </row>
        <row r="3800">
          <cell r="C3800" t="str">
            <v>推广订单扣款</v>
          </cell>
        </row>
        <row r="3800">
          <cell r="H3800" t="str">
            <v>文灶店</v>
          </cell>
          <cell r="I3800">
            <v>46039</v>
          </cell>
          <cell r="J3800">
            <v>-171.6</v>
          </cell>
        </row>
        <row r="3801">
          <cell r="C3801" t="str">
            <v>推广订单扣款</v>
          </cell>
        </row>
        <row r="3801">
          <cell r="H3801" t="str">
            <v>启点店</v>
          </cell>
          <cell r="I3801">
            <v>46039</v>
          </cell>
          <cell r="J3801">
            <v>-198.37</v>
          </cell>
        </row>
        <row r="3802">
          <cell r="C3802" t="str">
            <v>推广订单扣款</v>
          </cell>
        </row>
        <row r="3802">
          <cell r="H3802" t="str">
            <v>百捷店</v>
          </cell>
          <cell r="I3802">
            <v>46039</v>
          </cell>
          <cell r="J3802">
            <v>-131.07</v>
          </cell>
        </row>
        <row r="3803">
          <cell r="C3803" t="str">
            <v>推广订单扣款</v>
          </cell>
        </row>
        <row r="3803">
          <cell r="H3803" t="str">
            <v>成华店</v>
          </cell>
          <cell r="I3803">
            <v>46039</v>
          </cell>
          <cell r="J3803">
            <v>-132.61</v>
          </cell>
        </row>
        <row r="3804">
          <cell r="C3804" t="str">
            <v>推广订单扣款</v>
          </cell>
        </row>
        <row r="3804">
          <cell r="H3804" t="str">
            <v>诚毅店</v>
          </cell>
          <cell r="I3804">
            <v>46039</v>
          </cell>
          <cell r="J3804">
            <v>-99.07</v>
          </cell>
        </row>
        <row r="3805">
          <cell r="C3805" t="str">
            <v>推广订单扣款</v>
          </cell>
        </row>
        <row r="3805">
          <cell r="H3805" t="str">
            <v>黄雁村店</v>
          </cell>
          <cell r="I3805">
            <v>46039</v>
          </cell>
          <cell r="J3805">
            <v>-200</v>
          </cell>
        </row>
        <row r="3806">
          <cell r="C3806" t="str">
            <v>推广订单扣款</v>
          </cell>
        </row>
        <row r="3806">
          <cell r="H3806" t="str">
            <v>观桥店</v>
          </cell>
          <cell r="I3806">
            <v>46039</v>
          </cell>
          <cell r="J3806">
            <v>-200</v>
          </cell>
        </row>
        <row r="3807">
          <cell r="C3807" t="str">
            <v>推广订单扣款</v>
          </cell>
        </row>
        <row r="3807">
          <cell r="H3807" t="str">
            <v>文昌店</v>
          </cell>
          <cell r="I3807">
            <v>46039</v>
          </cell>
          <cell r="J3807">
            <v>-169.61</v>
          </cell>
        </row>
        <row r="3808">
          <cell r="C3808" t="str">
            <v>推广账户自动充值</v>
          </cell>
        </row>
        <row r="3808">
          <cell r="H3808" t="str">
            <v>大坪店</v>
          </cell>
          <cell r="I3808">
            <v>46039</v>
          </cell>
          <cell r="J3808">
            <v>200</v>
          </cell>
        </row>
        <row r="3809">
          <cell r="C3809" t="str">
            <v>推广账户自动充值</v>
          </cell>
        </row>
        <row r="3809">
          <cell r="H3809" t="str">
            <v>西山店</v>
          </cell>
          <cell r="I3809">
            <v>46039</v>
          </cell>
          <cell r="J3809">
            <v>200</v>
          </cell>
        </row>
        <row r="3810">
          <cell r="C3810" t="str">
            <v>推广账户自动充值</v>
          </cell>
        </row>
        <row r="3810">
          <cell r="H3810" t="str">
            <v>官渡店</v>
          </cell>
          <cell r="I3810">
            <v>46039</v>
          </cell>
          <cell r="J3810">
            <v>200</v>
          </cell>
        </row>
        <row r="3811">
          <cell r="C3811" t="str">
            <v>推广账户自动充值</v>
          </cell>
        </row>
        <row r="3811">
          <cell r="H3811" t="str">
            <v>湖里店</v>
          </cell>
          <cell r="I3811">
            <v>46039</v>
          </cell>
          <cell r="J3811">
            <v>200</v>
          </cell>
        </row>
        <row r="3812">
          <cell r="C3812" t="str">
            <v>推广账户自动充值</v>
          </cell>
        </row>
        <row r="3812">
          <cell r="H3812" t="str">
            <v>余杭店</v>
          </cell>
          <cell r="I3812">
            <v>46039</v>
          </cell>
          <cell r="J3812">
            <v>200</v>
          </cell>
        </row>
        <row r="3813">
          <cell r="C3813" t="str">
            <v>推广账户自动充值</v>
          </cell>
        </row>
        <row r="3813">
          <cell r="H3813" t="str">
            <v>沙坪坝店</v>
          </cell>
          <cell r="I3813">
            <v>46039</v>
          </cell>
          <cell r="J3813">
            <v>200</v>
          </cell>
        </row>
        <row r="3814">
          <cell r="C3814" t="str">
            <v>推广账户自动充值</v>
          </cell>
        </row>
        <row r="3814">
          <cell r="H3814" t="str">
            <v>黄雁村店</v>
          </cell>
          <cell r="I3814">
            <v>46039</v>
          </cell>
          <cell r="J3814">
            <v>200</v>
          </cell>
        </row>
        <row r="3815">
          <cell r="C3815" t="str">
            <v>推广账户自动充值</v>
          </cell>
        </row>
        <row r="3815">
          <cell r="H3815" t="str">
            <v>首山店</v>
          </cell>
          <cell r="I3815">
            <v>46039</v>
          </cell>
          <cell r="J3815">
            <v>200</v>
          </cell>
        </row>
        <row r="3816">
          <cell r="C3816" t="str">
            <v>推广账户自动充值</v>
          </cell>
        </row>
        <row r="3816">
          <cell r="H3816" t="str">
            <v>海口店</v>
          </cell>
          <cell r="I3816">
            <v>46039</v>
          </cell>
          <cell r="J3816">
            <v>200</v>
          </cell>
        </row>
        <row r="3817">
          <cell r="C3817" t="str">
            <v>推广账户自动充值</v>
          </cell>
        </row>
        <row r="3817">
          <cell r="H3817" t="str">
            <v>成华店</v>
          </cell>
          <cell r="I3817">
            <v>46039</v>
          </cell>
          <cell r="J3817">
            <v>200</v>
          </cell>
        </row>
        <row r="3818">
          <cell r="C3818" t="str">
            <v>推广账户自动充值</v>
          </cell>
        </row>
        <row r="3818">
          <cell r="H3818" t="str">
            <v>华信店</v>
          </cell>
          <cell r="I3818">
            <v>46039</v>
          </cell>
          <cell r="J3818">
            <v>200</v>
          </cell>
        </row>
        <row r="3819">
          <cell r="C3819" t="str">
            <v>推广账户自动充值</v>
          </cell>
        </row>
        <row r="3819">
          <cell r="H3819" t="str">
            <v>凤城二路店</v>
          </cell>
          <cell r="I3819">
            <v>46039</v>
          </cell>
          <cell r="J3819">
            <v>200</v>
          </cell>
        </row>
        <row r="3820">
          <cell r="C3820" t="str">
            <v>推广账户自动充值</v>
          </cell>
        </row>
        <row r="3820">
          <cell r="H3820" t="str">
            <v>滨江店</v>
          </cell>
          <cell r="I3820">
            <v>46039</v>
          </cell>
          <cell r="J3820">
            <v>200</v>
          </cell>
        </row>
        <row r="3821">
          <cell r="C3821" t="str">
            <v>推广账户自动充值</v>
          </cell>
        </row>
        <row r="3821">
          <cell r="H3821" t="str">
            <v>诚毅店</v>
          </cell>
          <cell r="I3821">
            <v>46039</v>
          </cell>
          <cell r="J3821">
            <v>200</v>
          </cell>
        </row>
        <row r="3822">
          <cell r="C3822" t="str">
            <v>推广账户自动充值</v>
          </cell>
        </row>
        <row r="3822">
          <cell r="H3822" t="str">
            <v>百丈店</v>
          </cell>
          <cell r="I3822">
            <v>46039</v>
          </cell>
          <cell r="J3822">
            <v>200</v>
          </cell>
        </row>
        <row r="3823">
          <cell r="C3823" t="str">
            <v>推广账户自动充值</v>
          </cell>
        </row>
        <row r="3823">
          <cell r="H3823" t="str">
            <v>观音桥店</v>
          </cell>
          <cell r="I3823">
            <v>46039</v>
          </cell>
          <cell r="J3823">
            <v>200</v>
          </cell>
        </row>
        <row r="3824">
          <cell r="C3824" t="str">
            <v>推广账户自动充值</v>
          </cell>
        </row>
        <row r="3824">
          <cell r="H3824" t="str">
            <v>五路口店</v>
          </cell>
          <cell r="I3824">
            <v>46039</v>
          </cell>
          <cell r="J3824">
            <v>200</v>
          </cell>
        </row>
        <row r="3825">
          <cell r="C3825" t="str">
            <v>推广账户自动充值</v>
          </cell>
        </row>
        <row r="3825">
          <cell r="H3825" t="str">
            <v>文昌店</v>
          </cell>
          <cell r="I3825">
            <v>46039</v>
          </cell>
          <cell r="J3825">
            <v>200</v>
          </cell>
        </row>
        <row r="3826">
          <cell r="C3826" t="str">
            <v>推广账户自动充值</v>
          </cell>
        </row>
        <row r="3826">
          <cell r="H3826" t="str">
            <v>济南店</v>
          </cell>
          <cell r="I3826">
            <v>46039</v>
          </cell>
          <cell r="J3826">
            <v>200</v>
          </cell>
        </row>
        <row r="3827">
          <cell r="C3827" t="str">
            <v>推广账户自动充值</v>
          </cell>
        </row>
        <row r="3827">
          <cell r="H3827" t="str">
            <v>长沙店</v>
          </cell>
          <cell r="I3827">
            <v>46039</v>
          </cell>
          <cell r="J3827">
            <v>200</v>
          </cell>
        </row>
        <row r="3828">
          <cell r="C3828" t="str">
            <v>推广账户自动充值</v>
          </cell>
        </row>
        <row r="3828">
          <cell r="H3828" t="str">
            <v>东新店</v>
          </cell>
          <cell r="I3828">
            <v>46039</v>
          </cell>
          <cell r="J3828">
            <v>200</v>
          </cell>
        </row>
        <row r="3829">
          <cell r="C3829" t="str">
            <v>推广账户自动充值</v>
          </cell>
        </row>
        <row r="3829">
          <cell r="H3829" t="str">
            <v>观桥店</v>
          </cell>
          <cell r="I3829">
            <v>46039</v>
          </cell>
          <cell r="J3829">
            <v>200</v>
          </cell>
        </row>
        <row r="3830">
          <cell r="C3830" t="str">
            <v>推广订单扣款</v>
          </cell>
        </row>
        <row r="3830">
          <cell r="H3830" t="str">
            <v>济南店</v>
          </cell>
          <cell r="I3830">
            <v>46040</v>
          </cell>
          <cell r="J3830">
            <v>-196.8</v>
          </cell>
        </row>
        <row r="3831">
          <cell r="C3831" t="str">
            <v>推广订单扣款</v>
          </cell>
        </row>
        <row r="3831">
          <cell r="H3831" t="str">
            <v>大坪店</v>
          </cell>
          <cell r="I3831">
            <v>46040</v>
          </cell>
          <cell r="J3831">
            <v>-187.01</v>
          </cell>
        </row>
        <row r="3832">
          <cell r="C3832" t="str">
            <v>推广订单扣款</v>
          </cell>
        </row>
        <row r="3832">
          <cell r="H3832" t="str">
            <v>金牛店</v>
          </cell>
          <cell r="I3832">
            <v>46040</v>
          </cell>
          <cell r="J3832">
            <v>-78.22</v>
          </cell>
        </row>
        <row r="3833">
          <cell r="C3833" t="str">
            <v>推广订单扣款</v>
          </cell>
        </row>
        <row r="3833">
          <cell r="H3833" t="str">
            <v>高新店</v>
          </cell>
          <cell r="I3833">
            <v>46040</v>
          </cell>
          <cell r="J3833">
            <v>-129.44</v>
          </cell>
        </row>
        <row r="3834">
          <cell r="C3834" t="str">
            <v>推广订单扣款</v>
          </cell>
        </row>
        <row r="3834">
          <cell r="H3834" t="str">
            <v>观音桥店</v>
          </cell>
          <cell r="I3834">
            <v>46040</v>
          </cell>
          <cell r="J3834">
            <v>-200</v>
          </cell>
        </row>
        <row r="3835">
          <cell r="C3835" t="str">
            <v>推广订单扣款</v>
          </cell>
        </row>
        <row r="3835">
          <cell r="H3835" t="str">
            <v>南安店</v>
          </cell>
          <cell r="I3835">
            <v>46040</v>
          </cell>
          <cell r="J3835">
            <v>-26.84</v>
          </cell>
        </row>
        <row r="3836">
          <cell r="C3836" t="str">
            <v>推广订单扣款</v>
          </cell>
        </row>
        <row r="3836">
          <cell r="H3836" t="str">
            <v>华信店</v>
          </cell>
          <cell r="I3836">
            <v>46040</v>
          </cell>
          <cell r="J3836">
            <v>-200</v>
          </cell>
        </row>
        <row r="3837">
          <cell r="C3837" t="str">
            <v>推广订单扣款</v>
          </cell>
        </row>
        <row r="3837">
          <cell r="H3837" t="str">
            <v>余杭店</v>
          </cell>
          <cell r="I3837">
            <v>46040</v>
          </cell>
          <cell r="J3837">
            <v>-160.69</v>
          </cell>
        </row>
        <row r="3838">
          <cell r="C3838" t="str">
            <v>推广订单扣款</v>
          </cell>
        </row>
        <row r="3838">
          <cell r="H3838" t="str">
            <v>武侯店</v>
          </cell>
          <cell r="I3838">
            <v>46040</v>
          </cell>
          <cell r="J3838">
            <v>-62.57</v>
          </cell>
        </row>
        <row r="3839">
          <cell r="C3839" t="str">
            <v>推广订单扣款</v>
          </cell>
        </row>
        <row r="3839">
          <cell r="H3839" t="str">
            <v>西山店</v>
          </cell>
          <cell r="I3839">
            <v>46040</v>
          </cell>
          <cell r="J3839">
            <v>-149.19</v>
          </cell>
        </row>
        <row r="3840">
          <cell r="C3840" t="str">
            <v>推广订单扣款</v>
          </cell>
        </row>
        <row r="3840">
          <cell r="H3840" t="str">
            <v>青羊店</v>
          </cell>
          <cell r="I3840">
            <v>46040</v>
          </cell>
          <cell r="J3840">
            <v>-56.61</v>
          </cell>
        </row>
        <row r="3841">
          <cell r="C3841" t="str">
            <v>推广订单扣款</v>
          </cell>
        </row>
        <row r="3841">
          <cell r="H3841" t="str">
            <v>湖里店</v>
          </cell>
          <cell r="I3841">
            <v>46040</v>
          </cell>
          <cell r="J3841">
            <v>-178.26</v>
          </cell>
        </row>
        <row r="3842">
          <cell r="C3842" t="str">
            <v>推广订单扣款</v>
          </cell>
        </row>
        <row r="3842">
          <cell r="H3842" t="str">
            <v>滨江店</v>
          </cell>
          <cell r="I3842">
            <v>46040</v>
          </cell>
          <cell r="J3842">
            <v>-187.64</v>
          </cell>
        </row>
        <row r="3843">
          <cell r="C3843" t="str">
            <v>推广订单扣款</v>
          </cell>
        </row>
        <row r="3843">
          <cell r="H3843" t="str">
            <v>首南店</v>
          </cell>
          <cell r="I3843">
            <v>46040</v>
          </cell>
          <cell r="J3843">
            <v>-165.86</v>
          </cell>
        </row>
        <row r="3844">
          <cell r="C3844" t="str">
            <v>推广订单扣款</v>
          </cell>
        </row>
        <row r="3844">
          <cell r="H3844" t="str">
            <v>凤城二路店</v>
          </cell>
          <cell r="I3844">
            <v>46040</v>
          </cell>
          <cell r="J3844">
            <v>-200</v>
          </cell>
        </row>
        <row r="3845">
          <cell r="C3845" t="str">
            <v>推广订单扣款</v>
          </cell>
        </row>
        <row r="3845">
          <cell r="H3845" t="str">
            <v>鼓楼店</v>
          </cell>
          <cell r="I3845">
            <v>46040</v>
          </cell>
          <cell r="J3845">
            <v>-144.04</v>
          </cell>
        </row>
        <row r="3846">
          <cell r="C3846" t="str">
            <v>推广订单扣款</v>
          </cell>
        </row>
        <row r="3846">
          <cell r="H3846" t="str">
            <v>西湖店</v>
          </cell>
          <cell r="I3846">
            <v>46040</v>
          </cell>
          <cell r="J3846">
            <v>-42.84</v>
          </cell>
        </row>
        <row r="3847">
          <cell r="C3847" t="str">
            <v>推广订单扣款</v>
          </cell>
        </row>
        <row r="3847">
          <cell r="H3847" t="str">
            <v>长沙店</v>
          </cell>
          <cell r="I3847">
            <v>46040</v>
          </cell>
          <cell r="J3847">
            <v>-99.07</v>
          </cell>
        </row>
        <row r="3848">
          <cell r="C3848" t="str">
            <v>推广订单扣款</v>
          </cell>
        </row>
        <row r="3848">
          <cell r="H3848" t="str">
            <v>首山店</v>
          </cell>
          <cell r="I3848">
            <v>46040</v>
          </cell>
          <cell r="J3848">
            <v>-150.43</v>
          </cell>
        </row>
        <row r="3849">
          <cell r="C3849" t="str">
            <v>推广订单扣款</v>
          </cell>
        </row>
        <row r="3849">
          <cell r="H3849" t="str">
            <v>五路口店</v>
          </cell>
          <cell r="I3849">
            <v>46040</v>
          </cell>
          <cell r="J3849">
            <v>-200</v>
          </cell>
        </row>
        <row r="3850">
          <cell r="C3850" t="str">
            <v>推广订单扣款</v>
          </cell>
        </row>
        <row r="3850">
          <cell r="H3850" t="str">
            <v>百丈店</v>
          </cell>
          <cell r="I3850">
            <v>46040</v>
          </cell>
          <cell r="J3850">
            <v>-200</v>
          </cell>
        </row>
        <row r="3851">
          <cell r="C3851" t="str">
            <v>推广订单扣款</v>
          </cell>
        </row>
        <row r="3851">
          <cell r="H3851" t="str">
            <v>五华店</v>
          </cell>
          <cell r="I3851">
            <v>46040</v>
          </cell>
          <cell r="J3851">
            <v>-133.01</v>
          </cell>
        </row>
        <row r="3852">
          <cell r="C3852" t="str">
            <v>推广订单扣款</v>
          </cell>
        </row>
        <row r="3852">
          <cell r="H3852" t="str">
            <v>东新店</v>
          </cell>
          <cell r="I3852">
            <v>46040</v>
          </cell>
          <cell r="J3852">
            <v>-175.32</v>
          </cell>
        </row>
        <row r="3853">
          <cell r="C3853" t="str">
            <v>推广订单扣款</v>
          </cell>
        </row>
        <row r="3853">
          <cell r="H3853" t="str">
            <v>沙坪坝店</v>
          </cell>
          <cell r="I3853">
            <v>46040</v>
          </cell>
          <cell r="J3853">
            <v>-105.36</v>
          </cell>
        </row>
        <row r="3854">
          <cell r="C3854" t="str">
            <v>推广订单扣款</v>
          </cell>
        </row>
        <row r="3854">
          <cell r="H3854" t="str">
            <v>海口店</v>
          </cell>
          <cell r="I3854">
            <v>46040</v>
          </cell>
          <cell r="J3854">
            <v>-200</v>
          </cell>
        </row>
        <row r="3855">
          <cell r="C3855" t="str">
            <v>推广订单扣款</v>
          </cell>
        </row>
        <row r="3855">
          <cell r="H3855" t="str">
            <v>东海店</v>
          </cell>
          <cell r="I3855">
            <v>46040</v>
          </cell>
          <cell r="J3855">
            <v>-113.34</v>
          </cell>
        </row>
        <row r="3856">
          <cell r="C3856" t="str">
            <v>推广订单扣款</v>
          </cell>
        </row>
        <row r="3856">
          <cell r="H3856" t="str">
            <v>官渡店</v>
          </cell>
          <cell r="I3856">
            <v>46040</v>
          </cell>
          <cell r="J3856">
            <v>-134.86</v>
          </cell>
        </row>
        <row r="3857">
          <cell r="C3857" t="str">
            <v>推广订单扣款</v>
          </cell>
        </row>
        <row r="3857">
          <cell r="H3857" t="str">
            <v>文灶店</v>
          </cell>
          <cell r="I3857">
            <v>46040</v>
          </cell>
          <cell r="J3857">
            <v>-168.04</v>
          </cell>
        </row>
        <row r="3858">
          <cell r="C3858" t="str">
            <v>推广订单扣款</v>
          </cell>
        </row>
        <row r="3858">
          <cell r="H3858" t="str">
            <v>启点店</v>
          </cell>
          <cell r="I3858">
            <v>46040</v>
          </cell>
          <cell r="J3858">
            <v>-154.55</v>
          </cell>
        </row>
        <row r="3859">
          <cell r="C3859" t="str">
            <v>推广订单扣款</v>
          </cell>
        </row>
        <row r="3859">
          <cell r="H3859" t="str">
            <v>百捷店</v>
          </cell>
          <cell r="I3859">
            <v>46040</v>
          </cell>
          <cell r="J3859">
            <v>-129.62</v>
          </cell>
        </row>
        <row r="3860">
          <cell r="C3860" t="str">
            <v>推广订单扣款</v>
          </cell>
        </row>
        <row r="3860">
          <cell r="H3860" t="str">
            <v>成华店</v>
          </cell>
          <cell r="I3860">
            <v>46040</v>
          </cell>
          <cell r="J3860">
            <v>-93.26</v>
          </cell>
        </row>
        <row r="3861">
          <cell r="C3861" t="str">
            <v>推广订单扣款</v>
          </cell>
        </row>
        <row r="3861">
          <cell r="H3861" t="str">
            <v>黄雁村店</v>
          </cell>
          <cell r="I3861">
            <v>46040</v>
          </cell>
          <cell r="J3861">
            <v>-200</v>
          </cell>
        </row>
        <row r="3862">
          <cell r="C3862" t="str">
            <v>推广订单扣款</v>
          </cell>
        </row>
        <row r="3862">
          <cell r="H3862" t="str">
            <v>诚毅店</v>
          </cell>
          <cell r="I3862">
            <v>46040</v>
          </cell>
          <cell r="J3862">
            <v>-175.26</v>
          </cell>
        </row>
        <row r="3863">
          <cell r="C3863" t="str">
            <v>推广订单扣款</v>
          </cell>
        </row>
        <row r="3863">
          <cell r="H3863" t="str">
            <v>观桥店</v>
          </cell>
          <cell r="I3863">
            <v>46040</v>
          </cell>
          <cell r="J3863">
            <v>-196.42</v>
          </cell>
        </row>
        <row r="3864">
          <cell r="C3864" t="str">
            <v>推广订单扣款</v>
          </cell>
        </row>
        <row r="3864">
          <cell r="H3864" t="str">
            <v>文昌店</v>
          </cell>
          <cell r="I3864">
            <v>46040</v>
          </cell>
          <cell r="J3864">
            <v>-115.4</v>
          </cell>
        </row>
        <row r="3865">
          <cell r="C3865" t="str">
            <v>推广账户自动充值</v>
          </cell>
        </row>
        <row r="3865">
          <cell r="H3865" t="str">
            <v>高新店</v>
          </cell>
          <cell r="I3865">
            <v>46040</v>
          </cell>
          <cell r="J3865">
            <v>200</v>
          </cell>
        </row>
        <row r="3866">
          <cell r="C3866" t="str">
            <v>推广账户自动充值</v>
          </cell>
        </row>
        <row r="3866">
          <cell r="H3866" t="str">
            <v>大坪店</v>
          </cell>
          <cell r="I3866">
            <v>46040</v>
          </cell>
          <cell r="J3866">
            <v>200</v>
          </cell>
        </row>
        <row r="3867">
          <cell r="C3867" t="str">
            <v>推广账户自动充值</v>
          </cell>
        </row>
        <row r="3867">
          <cell r="H3867" t="str">
            <v>黄雁村店</v>
          </cell>
          <cell r="I3867">
            <v>46040</v>
          </cell>
          <cell r="J3867">
            <v>200</v>
          </cell>
        </row>
        <row r="3868">
          <cell r="C3868" t="str">
            <v>推广账户自动充值</v>
          </cell>
        </row>
        <row r="3868">
          <cell r="H3868" t="str">
            <v>启点店</v>
          </cell>
          <cell r="I3868">
            <v>46040</v>
          </cell>
          <cell r="J3868">
            <v>200</v>
          </cell>
        </row>
        <row r="3869">
          <cell r="C3869" t="str">
            <v>推广账户自动充值</v>
          </cell>
        </row>
        <row r="3869">
          <cell r="H3869" t="str">
            <v>首南店</v>
          </cell>
          <cell r="I3869">
            <v>46040</v>
          </cell>
          <cell r="J3869">
            <v>200</v>
          </cell>
        </row>
        <row r="3870">
          <cell r="C3870" t="str">
            <v>推广账户自动充值</v>
          </cell>
        </row>
        <row r="3870">
          <cell r="H3870" t="str">
            <v>鼓楼店</v>
          </cell>
          <cell r="I3870">
            <v>46040</v>
          </cell>
          <cell r="J3870">
            <v>200</v>
          </cell>
        </row>
        <row r="3871">
          <cell r="C3871" t="str">
            <v>推广账户自动充值</v>
          </cell>
        </row>
        <row r="3871">
          <cell r="H3871" t="str">
            <v>五华店</v>
          </cell>
          <cell r="I3871">
            <v>46040</v>
          </cell>
          <cell r="J3871">
            <v>200</v>
          </cell>
        </row>
        <row r="3872">
          <cell r="C3872" t="str">
            <v>推广账户自动充值</v>
          </cell>
        </row>
        <row r="3872">
          <cell r="H3872" t="str">
            <v>西山店</v>
          </cell>
          <cell r="I3872">
            <v>46040</v>
          </cell>
          <cell r="J3872">
            <v>200</v>
          </cell>
        </row>
        <row r="3873">
          <cell r="C3873" t="str">
            <v>推广账户自动充值</v>
          </cell>
        </row>
        <row r="3873">
          <cell r="H3873" t="str">
            <v>海口店</v>
          </cell>
          <cell r="I3873">
            <v>46040</v>
          </cell>
          <cell r="J3873">
            <v>200</v>
          </cell>
        </row>
        <row r="3874">
          <cell r="C3874" t="str">
            <v>推广账户自动充值</v>
          </cell>
        </row>
        <row r="3874">
          <cell r="H3874" t="str">
            <v>官渡店</v>
          </cell>
          <cell r="I3874">
            <v>46040</v>
          </cell>
          <cell r="J3874">
            <v>200</v>
          </cell>
        </row>
        <row r="3875">
          <cell r="C3875" t="str">
            <v>推广账户自动充值</v>
          </cell>
        </row>
        <row r="3875">
          <cell r="H3875" t="str">
            <v>湖里店</v>
          </cell>
          <cell r="I3875">
            <v>46040</v>
          </cell>
          <cell r="J3875">
            <v>200</v>
          </cell>
        </row>
        <row r="3876">
          <cell r="C3876" t="str">
            <v>推广账户自动充值</v>
          </cell>
        </row>
        <row r="3876">
          <cell r="H3876" t="str">
            <v>百捷店</v>
          </cell>
          <cell r="I3876">
            <v>46040</v>
          </cell>
          <cell r="J3876">
            <v>200</v>
          </cell>
        </row>
        <row r="3877">
          <cell r="C3877" t="str">
            <v>推广账户自动充值</v>
          </cell>
        </row>
        <row r="3877">
          <cell r="H3877" t="str">
            <v>百丈店</v>
          </cell>
          <cell r="I3877">
            <v>46040</v>
          </cell>
          <cell r="J3877">
            <v>200</v>
          </cell>
        </row>
        <row r="3878">
          <cell r="C3878" t="str">
            <v>推广账户自动充值</v>
          </cell>
        </row>
        <row r="3878">
          <cell r="H3878" t="str">
            <v>五路口店</v>
          </cell>
          <cell r="I3878">
            <v>46040</v>
          </cell>
          <cell r="J3878">
            <v>200</v>
          </cell>
        </row>
        <row r="3879">
          <cell r="C3879" t="str">
            <v>推广订单扣款</v>
          </cell>
        </row>
        <row r="3879">
          <cell r="H3879" t="str">
            <v>华信店</v>
          </cell>
          <cell r="I3879">
            <v>46041</v>
          </cell>
          <cell r="J3879">
            <v>-200</v>
          </cell>
        </row>
        <row r="3880">
          <cell r="C3880" t="str">
            <v>推广订单扣款</v>
          </cell>
        </row>
        <row r="3880">
          <cell r="H3880" t="str">
            <v>湖里店</v>
          </cell>
          <cell r="I3880" t="str">
            <v>2026-1-19</v>
          </cell>
          <cell r="J3880">
            <v>-184.76</v>
          </cell>
        </row>
        <row r="3881">
          <cell r="C3881" t="str">
            <v>推广订单扣款</v>
          </cell>
        </row>
        <row r="3881">
          <cell r="H3881" t="str">
            <v>东新店</v>
          </cell>
          <cell r="I3881" t="str">
            <v>2026-1-19</v>
          </cell>
          <cell r="J3881">
            <v>-145.18</v>
          </cell>
        </row>
        <row r="3882">
          <cell r="C3882" t="str">
            <v>推广订单扣款</v>
          </cell>
        </row>
        <row r="3882">
          <cell r="H3882" t="str">
            <v>启点店</v>
          </cell>
          <cell r="I3882" t="str">
            <v>2026-1-19</v>
          </cell>
          <cell r="J3882">
            <v>-184.97</v>
          </cell>
        </row>
        <row r="3883">
          <cell r="C3883" t="str">
            <v>推广订单扣款</v>
          </cell>
        </row>
        <row r="3883">
          <cell r="H3883" t="str">
            <v>高新店</v>
          </cell>
          <cell r="I3883" t="str">
            <v>2026-1-19</v>
          </cell>
          <cell r="J3883">
            <v>-187.02</v>
          </cell>
        </row>
        <row r="3884">
          <cell r="C3884" t="str">
            <v>推广订单扣款</v>
          </cell>
        </row>
        <row r="3884">
          <cell r="H3884" t="str">
            <v>成华店</v>
          </cell>
          <cell r="I3884" t="str">
            <v>2026-1-19</v>
          </cell>
          <cell r="J3884">
            <v>-114.3</v>
          </cell>
        </row>
        <row r="3885">
          <cell r="C3885" t="str">
            <v>推广订单扣款</v>
          </cell>
        </row>
        <row r="3885">
          <cell r="H3885" t="str">
            <v>金牛店</v>
          </cell>
          <cell r="I3885" t="str">
            <v>2026-1-19</v>
          </cell>
          <cell r="J3885">
            <v>-73.85</v>
          </cell>
        </row>
        <row r="3886">
          <cell r="C3886" t="str">
            <v>推广订单扣款</v>
          </cell>
        </row>
        <row r="3886">
          <cell r="H3886" t="str">
            <v>西山店</v>
          </cell>
          <cell r="I3886" t="str">
            <v>2026-1-19</v>
          </cell>
          <cell r="J3886">
            <v>-124.46</v>
          </cell>
        </row>
        <row r="3887">
          <cell r="C3887" t="str">
            <v>推广订单扣款</v>
          </cell>
        </row>
        <row r="3887">
          <cell r="H3887" t="str">
            <v>沙坪坝店</v>
          </cell>
          <cell r="I3887" t="str">
            <v>2026-1-19</v>
          </cell>
          <cell r="J3887">
            <v>-131.74</v>
          </cell>
        </row>
        <row r="3888">
          <cell r="C3888" t="str">
            <v>推广订单扣款</v>
          </cell>
        </row>
        <row r="3888">
          <cell r="H3888" t="str">
            <v>凤城二路店</v>
          </cell>
          <cell r="I3888" t="str">
            <v>2026-1-19</v>
          </cell>
          <cell r="J3888">
            <v>-200</v>
          </cell>
        </row>
        <row r="3889">
          <cell r="C3889" t="str">
            <v>推广订单扣款</v>
          </cell>
        </row>
        <row r="3889">
          <cell r="H3889" t="str">
            <v>大坪店</v>
          </cell>
          <cell r="I3889" t="str">
            <v>2026-1-19</v>
          </cell>
          <cell r="J3889">
            <v>-197.16</v>
          </cell>
        </row>
        <row r="3890">
          <cell r="C3890" t="str">
            <v>推广订单扣款</v>
          </cell>
        </row>
        <row r="3890">
          <cell r="H3890" t="str">
            <v>五华店</v>
          </cell>
          <cell r="I3890" t="str">
            <v>2026-1-19</v>
          </cell>
          <cell r="J3890">
            <v>-115.39</v>
          </cell>
        </row>
        <row r="3891">
          <cell r="C3891" t="str">
            <v>推广订单扣款</v>
          </cell>
        </row>
        <row r="3891">
          <cell r="H3891" t="str">
            <v>官渡店</v>
          </cell>
          <cell r="I3891" t="str">
            <v>2026-1-19</v>
          </cell>
          <cell r="J3891">
            <v>-197.99</v>
          </cell>
        </row>
        <row r="3892">
          <cell r="C3892" t="str">
            <v>推广订单扣款</v>
          </cell>
        </row>
        <row r="3892">
          <cell r="H3892" t="str">
            <v>百捷店</v>
          </cell>
          <cell r="I3892" t="str">
            <v>2026-1-19</v>
          </cell>
          <cell r="J3892">
            <v>-108.91</v>
          </cell>
        </row>
        <row r="3893">
          <cell r="C3893" t="str">
            <v>推广订单扣款</v>
          </cell>
        </row>
        <row r="3893">
          <cell r="H3893" t="str">
            <v>济南店</v>
          </cell>
          <cell r="I3893" t="str">
            <v>2026-1-19</v>
          </cell>
          <cell r="J3893">
            <v>-200</v>
          </cell>
        </row>
        <row r="3894">
          <cell r="C3894" t="str">
            <v>推广订单扣款</v>
          </cell>
        </row>
        <row r="3894">
          <cell r="H3894" t="str">
            <v>观音桥店</v>
          </cell>
          <cell r="I3894" t="str">
            <v>2026-1-19</v>
          </cell>
          <cell r="J3894">
            <v>-200</v>
          </cell>
        </row>
        <row r="3895">
          <cell r="C3895" t="str">
            <v>推广订单扣款</v>
          </cell>
        </row>
        <row r="3895">
          <cell r="H3895" t="str">
            <v>长沙店</v>
          </cell>
          <cell r="I3895" t="str">
            <v>2026-1-19</v>
          </cell>
          <cell r="J3895">
            <v>-130.26</v>
          </cell>
        </row>
        <row r="3896">
          <cell r="C3896" t="str">
            <v>推广订单扣款</v>
          </cell>
        </row>
        <row r="3896">
          <cell r="H3896" t="str">
            <v>洛江店</v>
          </cell>
          <cell r="I3896" t="str">
            <v>2026-1-19</v>
          </cell>
          <cell r="J3896">
            <v>-73.3</v>
          </cell>
        </row>
        <row r="3897">
          <cell r="C3897" t="str">
            <v>推广订单扣款</v>
          </cell>
        </row>
        <row r="3897">
          <cell r="H3897" t="str">
            <v>五路口店</v>
          </cell>
          <cell r="I3897" t="str">
            <v>2026-1-19</v>
          </cell>
          <cell r="J3897">
            <v>-200</v>
          </cell>
        </row>
        <row r="3898">
          <cell r="C3898" t="str">
            <v>推广订单扣款</v>
          </cell>
        </row>
        <row r="3898">
          <cell r="H3898" t="str">
            <v>青羊店</v>
          </cell>
          <cell r="I3898" t="str">
            <v>2026-1-19</v>
          </cell>
          <cell r="J3898">
            <v>-46.82</v>
          </cell>
        </row>
        <row r="3899">
          <cell r="C3899" t="str">
            <v>推广订单扣款</v>
          </cell>
        </row>
        <row r="3899">
          <cell r="H3899" t="str">
            <v>武侯店</v>
          </cell>
          <cell r="I3899" t="str">
            <v>2026-1-19</v>
          </cell>
          <cell r="J3899">
            <v>-71.54</v>
          </cell>
        </row>
        <row r="3900">
          <cell r="C3900" t="str">
            <v>推广订单扣款</v>
          </cell>
        </row>
        <row r="3900">
          <cell r="H3900" t="str">
            <v>鼓楼店</v>
          </cell>
          <cell r="I3900" t="str">
            <v>2026-1-19</v>
          </cell>
          <cell r="J3900">
            <v>-200</v>
          </cell>
        </row>
        <row r="3901">
          <cell r="C3901" t="str">
            <v>推广订单扣款</v>
          </cell>
        </row>
        <row r="3901">
          <cell r="H3901" t="str">
            <v>黄雁村店</v>
          </cell>
          <cell r="I3901" t="str">
            <v>2026-1-19</v>
          </cell>
          <cell r="J3901">
            <v>-200</v>
          </cell>
        </row>
        <row r="3902">
          <cell r="C3902" t="str">
            <v>推广订单扣款</v>
          </cell>
        </row>
        <row r="3902">
          <cell r="H3902" t="str">
            <v>西湖店</v>
          </cell>
          <cell r="I3902" t="str">
            <v>2026-1-19</v>
          </cell>
          <cell r="J3902">
            <v>-104.52</v>
          </cell>
        </row>
        <row r="3903">
          <cell r="C3903" t="str">
            <v>推广订单扣款</v>
          </cell>
        </row>
        <row r="3903">
          <cell r="H3903" t="str">
            <v>百丈店</v>
          </cell>
          <cell r="I3903" t="str">
            <v>2026-1-19</v>
          </cell>
          <cell r="J3903">
            <v>-200</v>
          </cell>
        </row>
        <row r="3904">
          <cell r="C3904" t="str">
            <v>推广订单扣款</v>
          </cell>
        </row>
        <row r="3904">
          <cell r="H3904" t="str">
            <v>文昌店</v>
          </cell>
          <cell r="I3904" t="str">
            <v>2026-1-19</v>
          </cell>
          <cell r="J3904">
            <v>-230.93</v>
          </cell>
        </row>
        <row r="3905">
          <cell r="C3905" t="str">
            <v>推广订单扣款</v>
          </cell>
        </row>
        <row r="3905">
          <cell r="H3905" t="str">
            <v>观桥店</v>
          </cell>
          <cell r="I3905" t="str">
            <v>2026-1-19</v>
          </cell>
          <cell r="J3905">
            <v>-145.21</v>
          </cell>
        </row>
        <row r="3906">
          <cell r="C3906" t="str">
            <v>推广订单扣款</v>
          </cell>
        </row>
        <row r="3906">
          <cell r="H3906" t="str">
            <v>海口店</v>
          </cell>
          <cell r="I3906" t="str">
            <v>2026-1-19</v>
          </cell>
          <cell r="J3906">
            <v>-200</v>
          </cell>
        </row>
        <row r="3907">
          <cell r="C3907" t="str">
            <v>推广订单扣款</v>
          </cell>
        </row>
        <row r="3907">
          <cell r="H3907" t="str">
            <v>南安店</v>
          </cell>
          <cell r="I3907" t="str">
            <v>2026-1-19</v>
          </cell>
          <cell r="J3907">
            <v>-30.07</v>
          </cell>
        </row>
        <row r="3908">
          <cell r="C3908" t="str">
            <v>推广订单扣款</v>
          </cell>
        </row>
        <row r="3908">
          <cell r="H3908" t="str">
            <v>诚毅店</v>
          </cell>
          <cell r="I3908" t="str">
            <v>2026-1-19</v>
          </cell>
          <cell r="J3908">
            <v>-200</v>
          </cell>
        </row>
        <row r="3909">
          <cell r="C3909" t="str">
            <v>推广订单扣款</v>
          </cell>
        </row>
        <row r="3909">
          <cell r="H3909" t="str">
            <v>首山店</v>
          </cell>
          <cell r="I3909" t="str">
            <v>2026-1-19</v>
          </cell>
          <cell r="J3909">
            <v>-165.56</v>
          </cell>
        </row>
        <row r="3910">
          <cell r="C3910" t="str">
            <v>推广订单扣款</v>
          </cell>
        </row>
        <row r="3910">
          <cell r="H3910" t="str">
            <v>首南店</v>
          </cell>
          <cell r="I3910" t="str">
            <v>2026-1-19</v>
          </cell>
          <cell r="J3910">
            <v>-181.38</v>
          </cell>
        </row>
        <row r="3911">
          <cell r="C3911" t="str">
            <v>推广订单扣款</v>
          </cell>
        </row>
        <row r="3911">
          <cell r="H3911" t="str">
            <v>余杭店</v>
          </cell>
          <cell r="I3911" t="str">
            <v>2026-1-19</v>
          </cell>
          <cell r="J3911">
            <v>-178.25</v>
          </cell>
        </row>
        <row r="3912">
          <cell r="C3912" t="str">
            <v>推广订单扣款</v>
          </cell>
        </row>
        <row r="3912">
          <cell r="H3912" t="str">
            <v>东海店</v>
          </cell>
          <cell r="I3912" t="str">
            <v>2026-1-19</v>
          </cell>
          <cell r="J3912">
            <v>-97.97</v>
          </cell>
        </row>
        <row r="3913">
          <cell r="C3913" t="str">
            <v>推广订单扣款</v>
          </cell>
        </row>
        <row r="3913">
          <cell r="H3913" t="str">
            <v>文灶店</v>
          </cell>
          <cell r="I3913" t="str">
            <v>2026-1-19</v>
          </cell>
          <cell r="J3913">
            <v>-192.37</v>
          </cell>
        </row>
        <row r="3914">
          <cell r="C3914" t="str">
            <v>推广订单扣款</v>
          </cell>
        </row>
        <row r="3914">
          <cell r="H3914" t="str">
            <v>滨江店</v>
          </cell>
          <cell r="I3914" t="str">
            <v>2026-1-19</v>
          </cell>
          <cell r="J3914">
            <v>-199.52</v>
          </cell>
        </row>
        <row r="3915">
          <cell r="C3915" t="str">
            <v>推广订单扣款</v>
          </cell>
        </row>
        <row r="3915">
          <cell r="H3915" t="str">
            <v>湖里店</v>
          </cell>
          <cell r="I3915">
            <v>46042</v>
          </cell>
          <cell r="J3915">
            <v>-157.58</v>
          </cell>
        </row>
        <row r="3916">
          <cell r="C3916" t="str">
            <v>推广订单扣款</v>
          </cell>
        </row>
        <row r="3916">
          <cell r="H3916" t="str">
            <v>东新店</v>
          </cell>
          <cell r="I3916">
            <v>46042</v>
          </cell>
          <cell r="J3916">
            <v>-162.33</v>
          </cell>
        </row>
        <row r="3917">
          <cell r="C3917" t="str">
            <v>推广订单扣款</v>
          </cell>
        </row>
        <row r="3917">
          <cell r="H3917" t="str">
            <v>启点店</v>
          </cell>
          <cell r="I3917">
            <v>46042</v>
          </cell>
          <cell r="J3917">
            <v>-297.65</v>
          </cell>
        </row>
        <row r="3918">
          <cell r="C3918" t="str">
            <v>推广订单扣款</v>
          </cell>
        </row>
        <row r="3918">
          <cell r="H3918" t="str">
            <v>高新店</v>
          </cell>
          <cell r="I3918">
            <v>46042</v>
          </cell>
          <cell r="J3918">
            <v>-132.8</v>
          </cell>
        </row>
        <row r="3919">
          <cell r="C3919" t="str">
            <v>推广订单扣款</v>
          </cell>
        </row>
        <row r="3919">
          <cell r="H3919" t="str">
            <v>成华店</v>
          </cell>
          <cell r="I3919">
            <v>46042</v>
          </cell>
          <cell r="J3919">
            <v>-98.4</v>
          </cell>
        </row>
        <row r="3920">
          <cell r="C3920" t="str">
            <v>推广订单扣款</v>
          </cell>
        </row>
        <row r="3920">
          <cell r="H3920" t="str">
            <v>金牛店</v>
          </cell>
          <cell r="I3920">
            <v>46042</v>
          </cell>
          <cell r="J3920">
            <v>-104.59</v>
          </cell>
        </row>
        <row r="3921">
          <cell r="C3921" t="str">
            <v>推广订单扣款</v>
          </cell>
        </row>
        <row r="3921">
          <cell r="H3921" t="str">
            <v>西山店</v>
          </cell>
          <cell r="I3921">
            <v>46042</v>
          </cell>
          <cell r="J3921">
            <v>-207.39</v>
          </cell>
        </row>
        <row r="3922">
          <cell r="C3922" t="str">
            <v>推广订单扣款</v>
          </cell>
        </row>
        <row r="3922">
          <cell r="H3922" t="str">
            <v>沙坪坝店</v>
          </cell>
          <cell r="I3922">
            <v>46042</v>
          </cell>
          <cell r="J3922">
            <v>-140.02</v>
          </cell>
        </row>
        <row r="3923">
          <cell r="C3923" t="str">
            <v>推广订单扣款</v>
          </cell>
        </row>
        <row r="3923">
          <cell r="H3923" t="str">
            <v>凤城二路店</v>
          </cell>
          <cell r="I3923">
            <v>46042</v>
          </cell>
          <cell r="J3923">
            <v>-200</v>
          </cell>
        </row>
        <row r="3924">
          <cell r="C3924" t="str">
            <v>推广订单扣款</v>
          </cell>
        </row>
        <row r="3924">
          <cell r="H3924" t="str">
            <v>大坪店</v>
          </cell>
          <cell r="I3924">
            <v>46042</v>
          </cell>
          <cell r="J3924">
            <v>-200</v>
          </cell>
        </row>
        <row r="3925">
          <cell r="C3925" t="str">
            <v>推广订单扣款</v>
          </cell>
        </row>
        <row r="3925">
          <cell r="H3925" t="str">
            <v>五华店</v>
          </cell>
          <cell r="I3925">
            <v>46042</v>
          </cell>
          <cell r="J3925">
            <v>-115.58</v>
          </cell>
        </row>
        <row r="3926">
          <cell r="C3926" t="str">
            <v>推广订单扣款</v>
          </cell>
        </row>
        <row r="3926">
          <cell r="H3926" t="str">
            <v>官渡店</v>
          </cell>
          <cell r="I3926">
            <v>46042</v>
          </cell>
          <cell r="J3926">
            <v>-212.72</v>
          </cell>
        </row>
        <row r="3927">
          <cell r="C3927" t="str">
            <v>推广订单扣款</v>
          </cell>
        </row>
        <row r="3927">
          <cell r="H3927" t="str">
            <v>百捷店</v>
          </cell>
          <cell r="I3927">
            <v>46042</v>
          </cell>
          <cell r="J3927">
            <v>-112.87</v>
          </cell>
        </row>
        <row r="3928">
          <cell r="C3928" t="str">
            <v>推广订单扣款</v>
          </cell>
        </row>
        <row r="3928">
          <cell r="H3928" t="str">
            <v>济南店</v>
          </cell>
          <cell r="I3928">
            <v>46042</v>
          </cell>
          <cell r="J3928">
            <v>-199.35</v>
          </cell>
        </row>
        <row r="3929">
          <cell r="C3929" t="str">
            <v>推广订单扣款</v>
          </cell>
        </row>
        <row r="3929">
          <cell r="H3929" t="str">
            <v>观音桥店</v>
          </cell>
          <cell r="I3929">
            <v>46042</v>
          </cell>
          <cell r="J3929">
            <v>-200</v>
          </cell>
        </row>
        <row r="3930">
          <cell r="C3930" t="str">
            <v>推广订单扣款</v>
          </cell>
        </row>
        <row r="3930">
          <cell r="H3930" t="str">
            <v>长沙店</v>
          </cell>
          <cell r="I3930">
            <v>46042</v>
          </cell>
          <cell r="J3930">
            <v>-109.41</v>
          </cell>
        </row>
        <row r="3931">
          <cell r="C3931" t="str">
            <v>推广订单扣款</v>
          </cell>
        </row>
        <row r="3931">
          <cell r="H3931" t="str">
            <v>洛江店</v>
          </cell>
          <cell r="I3931">
            <v>46042</v>
          </cell>
          <cell r="J3931">
            <v>-31.51</v>
          </cell>
        </row>
        <row r="3932">
          <cell r="C3932" t="str">
            <v>推广订单扣款</v>
          </cell>
        </row>
        <row r="3932">
          <cell r="H3932" t="str">
            <v>五路口店</v>
          </cell>
          <cell r="I3932">
            <v>46042</v>
          </cell>
          <cell r="J3932">
            <v>-200</v>
          </cell>
        </row>
        <row r="3933">
          <cell r="C3933" t="str">
            <v>推广账户自动充值</v>
          </cell>
        </row>
        <row r="3933">
          <cell r="H3933" t="str">
            <v>青羊店</v>
          </cell>
          <cell r="I3933">
            <v>46042</v>
          </cell>
          <cell r="J3933">
            <v>200</v>
          </cell>
        </row>
        <row r="3934">
          <cell r="C3934" t="str">
            <v>推广订单扣款</v>
          </cell>
        </row>
        <row r="3934">
          <cell r="H3934" t="str">
            <v>青羊店</v>
          </cell>
          <cell r="I3934">
            <v>46042</v>
          </cell>
          <cell r="J3934">
            <v>-61.76</v>
          </cell>
        </row>
        <row r="3935">
          <cell r="C3935" t="str">
            <v>推广订单扣款</v>
          </cell>
        </row>
        <row r="3935">
          <cell r="H3935" t="str">
            <v>武侯店</v>
          </cell>
          <cell r="I3935">
            <v>46042</v>
          </cell>
          <cell r="J3935">
            <v>-37.85</v>
          </cell>
        </row>
        <row r="3936">
          <cell r="C3936" t="str">
            <v>推广订单扣款</v>
          </cell>
        </row>
        <row r="3936">
          <cell r="H3936" t="str">
            <v>鼓楼店</v>
          </cell>
          <cell r="I3936">
            <v>46042</v>
          </cell>
          <cell r="J3936">
            <v>-169.95</v>
          </cell>
        </row>
        <row r="3937">
          <cell r="C3937" t="str">
            <v>推广订单扣款</v>
          </cell>
        </row>
        <row r="3937">
          <cell r="H3937" t="str">
            <v>黄雁村店</v>
          </cell>
          <cell r="I3937">
            <v>46042</v>
          </cell>
          <cell r="J3937">
            <v>-196.73</v>
          </cell>
        </row>
        <row r="3938">
          <cell r="C3938" t="str">
            <v>推广订单扣款</v>
          </cell>
        </row>
        <row r="3938">
          <cell r="H3938" t="str">
            <v>西湖店</v>
          </cell>
          <cell r="I3938">
            <v>46042</v>
          </cell>
          <cell r="J3938">
            <v>-71.68</v>
          </cell>
        </row>
        <row r="3939">
          <cell r="C3939" t="str">
            <v>推广订单扣款</v>
          </cell>
        </row>
        <row r="3939">
          <cell r="H3939" t="str">
            <v>百丈店</v>
          </cell>
          <cell r="I3939">
            <v>46042</v>
          </cell>
          <cell r="J3939">
            <v>-200</v>
          </cell>
        </row>
        <row r="3940">
          <cell r="C3940" t="str">
            <v>推广订单扣款</v>
          </cell>
        </row>
        <row r="3940">
          <cell r="H3940" t="str">
            <v>文昌店</v>
          </cell>
          <cell r="I3940">
            <v>46042</v>
          </cell>
          <cell r="J3940">
            <v>-234.88</v>
          </cell>
        </row>
        <row r="3941">
          <cell r="C3941" t="str">
            <v>推广订单扣款</v>
          </cell>
        </row>
        <row r="3941">
          <cell r="H3941" t="str">
            <v>观桥店</v>
          </cell>
          <cell r="I3941">
            <v>46042</v>
          </cell>
          <cell r="J3941">
            <v>-158.09</v>
          </cell>
        </row>
        <row r="3942">
          <cell r="C3942" t="str">
            <v>推广订单扣款</v>
          </cell>
        </row>
        <row r="3942">
          <cell r="H3942" t="str">
            <v>海口店</v>
          </cell>
          <cell r="I3942">
            <v>46042</v>
          </cell>
          <cell r="J3942">
            <v>-200</v>
          </cell>
        </row>
        <row r="3943">
          <cell r="C3943" t="str">
            <v>推广订单扣款</v>
          </cell>
        </row>
        <row r="3943">
          <cell r="H3943" t="str">
            <v>南安店</v>
          </cell>
          <cell r="I3943">
            <v>46042</v>
          </cell>
          <cell r="J3943">
            <v>-33.89</v>
          </cell>
        </row>
        <row r="3944">
          <cell r="C3944" t="str">
            <v>推广订单扣款</v>
          </cell>
        </row>
        <row r="3944">
          <cell r="H3944" t="str">
            <v>诚毅店</v>
          </cell>
          <cell r="I3944">
            <v>46042</v>
          </cell>
          <cell r="J3944">
            <v>-200</v>
          </cell>
        </row>
        <row r="3945">
          <cell r="C3945" t="str">
            <v>推广订单扣款</v>
          </cell>
        </row>
        <row r="3945">
          <cell r="H3945" t="str">
            <v>首山店</v>
          </cell>
          <cell r="I3945">
            <v>46042</v>
          </cell>
          <cell r="J3945">
            <v>-122.2</v>
          </cell>
        </row>
        <row r="3946">
          <cell r="C3946" t="str">
            <v>推广订单扣款</v>
          </cell>
        </row>
        <row r="3946">
          <cell r="H3946" t="str">
            <v>首南店</v>
          </cell>
          <cell r="I3946">
            <v>46042</v>
          </cell>
          <cell r="J3946">
            <v>-174.2</v>
          </cell>
        </row>
        <row r="3947">
          <cell r="C3947" t="str">
            <v>推广订单扣款</v>
          </cell>
        </row>
        <row r="3947">
          <cell r="H3947" t="str">
            <v>余杭店</v>
          </cell>
          <cell r="I3947">
            <v>46042</v>
          </cell>
          <cell r="J3947">
            <v>-139.8</v>
          </cell>
        </row>
        <row r="3948">
          <cell r="C3948" t="str">
            <v>推广订单扣款</v>
          </cell>
        </row>
        <row r="3948">
          <cell r="H3948" t="str">
            <v>东海店</v>
          </cell>
          <cell r="I3948">
            <v>46042</v>
          </cell>
          <cell r="J3948">
            <v>-64.21</v>
          </cell>
        </row>
        <row r="3949">
          <cell r="C3949" t="str">
            <v>推广订单扣款</v>
          </cell>
        </row>
        <row r="3949">
          <cell r="H3949" t="str">
            <v>文灶店</v>
          </cell>
          <cell r="I3949">
            <v>46042</v>
          </cell>
          <cell r="J3949">
            <v>-161.34</v>
          </cell>
        </row>
        <row r="3950">
          <cell r="C3950" t="str">
            <v>推广订单扣款</v>
          </cell>
        </row>
        <row r="3950">
          <cell r="H3950" t="str">
            <v>滨江店</v>
          </cell>
          <cell r="I3950">
            <v>46042</v>
          </cell>
          <cell r="J3950">
            <v>-200</v>
          </cell>
        </row>
        <row r="3951">
          <cell r="C3951" t="str">
            <v>推广账户自动充值</v>
          </cell>
        </row>
        <row r="3951">
          <cell r="H3951" t="str">
            <v>华信店</v>
          </cell>
          <cell r="I3951">
            <v>46042</v>
          </cell>
          <cell r="J3951">
            <v>200</v>
          </cell>
        </row>
        <row r="3952">
          <cell r="C3952" t="str">
            <v>推广订单扣款</v>
          </cell>
        </row>
        <row r="3952">
          <cell r="H3952" t="str">
            <v>华信店</v>
          </cell>
          <cell r="I3952">
            <v>46042</v>
          </cell>
          <cell r="J3952">
            <v>-200</v>
          </cell>
        </row>
        <row r="3953">
          <cell r="C3953" t="str">
            <v>推广账户自动充值</v>
          </cell>
        </row>
        <row r="3953">
          <cell r="H3953" t="str">
            <v>槐荫店</v>
          </cell>
          <cell r="I3953">
            <v>46042</v>
          </cell>
          <cell r="J3953">
            <v>200</v>
          </cell>
        </row>
        <row r="3954">
          <cell r="C3954" t="str">
            <v>推广订单扣款</v>
          </cell>
        </row>
        <row r="3954">
          <cell r="H3954" t="str">
            <v>槐荫店</v>
          </cell>
          <cell r="I3954">
            <v>46042</v>
          </cell>
          <cell r="J3954">
            <v>-200</v>
          </cell>
        </row>
        <row r="3955">
          <cell r="C3955" t="str">
            <v>推广订单扣款</v>
          </cell>
        </row>
        <row r="3955">
          <cell r="H3955" t="str">
            <v>湖里店</v>
          </cell>
          <cell r="I3955">
            <v>46043</v>
          </cell>
          <cell r="J3955">
            <v>-126.37</v>
          </cell>
        </row>
        <row r="3956">
          <cell r="C3956" t="str">
            <v>推广订单扣款</v>
          </cell>
        </row>
        <row r="3956">
          <cell r="H3956" t="str">
            <v>东新店</v>
          </cell>
          <cell r="I3956">
            <v>46043</v>
          </cell>
          <cell r="J3956">
            <v>-154.73</v>
          </cell>
        </row>
        <row r="3957">
          <cell r="C3957" t="str">
            <v>推广订单扣款</v>
          </cell>
        </row>
        <row r="3957">
          <cell r="H3957" t="str">
            <v>启点店</v>
          </cell>
          <cell r="I3957">
            <v>46043</v>
          </cell>
          <cell r="J3957">
            <v>-303.22</v>
          </cell>
        </row>
        <row r="3958">
          <cell r="C3958" t="str">
            <v>推广订单扣款</v>
          </cell>
        </row>
        <row r="3958">
          <cell r="H3958" t="str">
            <v>高新店</v>
          </cell>
          <cell r="I3958">
            <v>46043</v>
          </cell>
          <cell r="J3958">
            <v>-241.78</v>
          </cell>
        </row>
        <row r="3959">
          <cell r="C3959" t="str">
            <v>推广订单扣款</v>
          </cell>
        </row>
        <row r="3959">
          <cell r="H3959" t="str">
            <v>成华店</v>
          </cell>
          <cell r="I3959">
            <v>46043</v>
          </cell>
          <cell r="J3959">
            <v>-105.47</v>
          </cell>
        </row>
        <row r="3960">
          <cell r="C3960" t="str">
            <v>推广订单扣款</v>
          </cell>
        </row>
        <row r="3960">
          <cell r="H3960" t="str">
            <v>金牛店</v>
          </cell>
          <cell r="I3960">
            <v>46043</v>
          </cell>
          <cell r="J3960">
            <v>-116.8</v>
          </cell>
        </row>
        <row r="3961">
          <cell r="C3961" t="str">
            <v>推广订单扣款</v>
          </cell>
        </row>
        <row r="3961">
          <cell r="H3961" t="str">
            <v>西山店</v>
          </cell>
          <cell r="I3961">
            <v>46043</v>
          </cell>
          <cell r="J3961">
            <v>-167.1</v>
          </cell>
        </row>
        <row r="3962">
          <cell r="C3962" t="str">
            <v>推广订单扣款</v>
          </cell>
        </row>
        <row r="3962">
          <cell r="H3962" t="str">
            <v>沙坪坝店</v>
          </cell>
          <cell r="I3962">
            <v>46043</v>
          </cell>
          <cell r="J3962">
            <v>-119.45</v>
          </cell>
        </row>
        <row r="3963">
          <cell r="C3963" t="str">
            <v>推广订单扣款</v>
          </cell>
        </row>
        <row r="3963">
          <cell r="H3963" t="str">
            <v>凤城二路店</v>
          </cell>
          <cell r="I3963">
            <v>46043</v>
          </cell>
          <cell r="J3963">
            <v>-200</v>
          </cell>
        </row>
        <row r="3964">
          <cell r="C3964" t="str">
            <v>推广订单扣款</v>
          </cell>
        </row>
        <row r="3964">
          <cell r="H3964" t="str">
            <v>大坪店</v>
          </cell>
          <cell r="I3964">
            <v>46043</v>
          </cell>
          <cell r="J3964">
            <v>-194.41</v>
          </cell>
        </row>
        <row r="3965">
          <cell r="C3965" t="str">
            <v>推广订单扣款</v>
          </cell>
        </row>
        <row r="3965">
          <cell r="H3965" t="str">
            <v>五华店</v>
          </cell>
          <cell r="I3965">
            <v>46043</v>
          </cell>
          <cell r="J3965">
            <v>-153.91</v>
          </cell>
        </row>
        <row r="3966">
          <cell r="C3966" t="str">
            <v>推广订单扣款</v>
          </cell>
        </row>
        <row r="3966">
          <cell r="H3966" t="str">
            <v>官渡店</v>
          </cell>
          <cell r="I3966">
            <v>46043</v>
          </cell>
          <cell r="J3966">
            <v>-223.69</v>
          </cell>
        </row>
        <row r="3967">
          <cell r="C3967" t="str">
            <v>推广订单扣款</v>
          </cell>
        </row>
        <row r="3967">
          <cell r="H3967" t="str">
            <v>百捷店</v>
          </cell>
          <cell r="I3967">
            <v>46043</v>
          </cell>
          <cell r="J3967">
            <v>-182.24</v>
          </cell>
        </row>
        <row r="3968">
          <cell r="C3968" t="str">
            <v>推广订单扣款</v>
          </cell>
        </row>
        <row r="3968">
          <cell r="H3968" t="str">
            <v>济南店</v>
          </cell>
          <cell r="I3968">
            <v>46043</v>
          </cell>
          <cell r="J3968">
            <v>-200</v>
          </cell>
        </row>
        <row r="3969">
          <cell r="C3969" t="str">
            <v>推广订单扣款</v>
          </cell>
        </row>
        <row r="3969">
          <cell r="H3969" t="str">
            <v>观音桥店</v>
          </cell>
          <cell r="I3969">
            <v>46043</v>
          </cell>
          <cell r="J3969">
            <v>-200</v>
          </cell>
        </row>
        <row r="3970">
          <cell r="C3970" t="str">
            <v>推广订单扣款</v>
          </cell>
        </row>
        <row r="3970">
          <cell r="H3970" t="str">
            <v>长沙店</v>
          </cell>
          <cell r="I3970">
            <v>46043</v>
          </cell>
          <cell r="J3970">
            <v>-105.01</v>
          </cell>
        </row>
        <row r="3971">
          <cell r="C3971" t="str">
            <v>推广订单扣款</v>
          </cell>
        </row>
        <row r="3971">
          <cell r="H3971" t="str">
            <v>洛江店</v>
          </cell>
          <cell r="I3971">
            <v>46043</v>
          </cell>
          <cell r="J3971">
            <v>-17.52</v>
          </cell>
        </row>
        <row r="3972">
          <cell r="C3972" t="str">
            <v>推广订单扣款</v>
          </cell>
        </row>
        <row r="3972">
          <cell r="H3972" t="str">
            <v>五路口店</v>
          </cell>
          <cell r="I3972">
            <v>46043</v>
          </cell>
          <cell r="J3972">
            <v>-200</v>
          </cell>
        </row>
        <row r="3973">
          <cell r="C3973" t="str">
            <v>推广订单扣款</v>
          </cell>
        </row>
        <row r="3973">
          <cell r="H3973" t="str">
            <v>青羊店</v>
          </cell>
          <cell r="I3973">
            <v>46043</v>
          </cell>
          <cell r="J3973">
            <v>-32.06</v>
          </cell>
        </row>
        <row r="3974">
          <cell r="C3974" t="str">
            <v>推广订单扣款</v>
          </cell>
        </row>
        <row r="3974">
          <cell r="H3974" t="str">
            <v>武侯店</v>
          </cell>
          <cell r="I3974">
            <v>46043</v>
          </cell>
          <cell r="J3974">
            <v>-71.17</v>
          </cell>
        </row>
        <row r="3975">
          <cell r="C3975" t="str">
            <v>推广订单扣款</v>
          </cell>
        </row>
        <row r="3975">
          <cell r="H3975" t="str">
            <v>鼓楼店</v>
          </cell>
          <cell r="I3975">
            <v>46043</v>
          </cell>
          <cell r="J3975">
            <v>-200</v>
          </cell>
        </row>
        <row r="3976">
          <cell r="C3976" t="str">
            <v>推广订单扣款</v>
          </cell>
        </row>
        <row r="3976">
          <cell r="H3976" t="str">
            <v>黄雁村店</v>
          </cell>
          <cell r="I3976">
            <v>46043</v>
          </cell>
          <cell r="J3976">
            <v>-200</v>
          </cell>
        </row>
        <row r="3977">
          <cell r="C3977" t="str">
            <v>推广订单扣款</v>
          </cell>
        </row>
        <row r="3977">
          <cell r="H3977" t="str">
            <v>西湖店</v>
          </cell>
          <cell r="I3977">
            <v>46043</v>
          </cell>
          <cell r="J3977">
            <v>-67.15</v>
          </cell>
        </row>
        <row r="3978">
          <cell r="C3978" t="str">
            <v>推广订单扣款</v>
          </cell>
        </row>
        <row r="3978">
          <cell r="H3978" t="str">
            <v>百丈店</v>
          </cell>
          <cell r="I3978">
            <v>46043</v>
          </cell>
          <cell r="J3978">
            <v>-196.01</v>
          </cell>
        </row>
        <row r="3979">
          <cell r="C3979" t="str">
            <v>推广订单扣款</v>
          </cell>
        </row>
        <row r="3979">
          <cell r="H3979" t="str">
            <v>文昌店</v>
          </cell>
          <cell r="I3979">
            <v>46043</v>
          </cell>
          <cell r="J3979">
            <v>-163.01</v>
          </cell>
        </row>
        <row r="3980">
          <cell r="C3980" t="str">
            <v>推广订单扣款</v>
          </cell>
        </row>
        <row r="3980">
          <cell r="H3980" t="str">
            <v>观桥店</v>
          </cell>
          <cell r="I3980">
            <v>46043</v>
          </cell>
          <cell r="J3980">
            <v>-173.62</v>
          </cell>
        </row>
        <row r="3981">
          <cell r="C3981" t="str">
            <v>推广订单扣款</v>
          </cell>
        </row>
        <row r="3981">
          <cell r="H3981" t="str">
            <v>海口店</v>
          </cell>
          <cell r="I3981">
            <v>46043</v>
          </cell>
          <cell r="J3981">
            <v>-200</v>
          </cell>
        </row>
        <row r="3982">
          <cell r="C3982" t="str">
            <v>推广订单扣款</v>
          </cell>
        </row>
        <row r="3982">
          <cell r="H3982" t="str">
            <v>南安店</v>
          </cell>
          <cell r="I3982">
            <v>46043</v>
          </cell>
          <cell r="J3982">
            <v>-38.52</v>
          </cell>
        </row>
        <row r="3983">
          <cell r="C3983" t="str">
            <v>推广订单扣款</v>
          </cell>
        </row>
        <row r="3983">
          <cell r="H3983" t="str">
            <v>诚毅店</v>
          </cell>
          <cell r="I3983">
            <v>46043</v>
          </cell>
          <cell r="J3983">
            <v>-198.47</v>
          </cell>
        </row>
        <row r="3984">
          <cell r="C3984" t="str">
            <v>推广订单扣款</v>
          </cell>
        </row>
        <row r="3984">
          <cell r="H3984" t="str">
            <v>首山店</v>
          </cell>
          <cell r="I3984">
            <v>46043</v>
          </cell>
          <cell r="J3984">
            <v>-138.47</v>
          </cell>
        </row>
        <row r="3985">
          <cell r="C3985" t="str">
            <v>推广订单扣款</v>
          </cell>
        </row>
        <row r="3985">
          <cell r="H3985" t="str">
            <v>首南店</v>
          </cell>
          <cell r="I3985">
            <v>46043</v>
          </cell>
          <cell r="J3985">
            <v>-162.83</v>
          </cell>
        </row>
        <row r="3986">
          <cell r="C3986" t="str">
            <v>推广订单扣款</v>
          </cell>
        </row>
        <row r="3986">
          <cell r="H3986" t="str">
            <v>余杭店</v>
          </cell>
          <cell r="I3986">
            <v>46043</v>
          </cell>
          <cell r="J3986">
            <v>-130.97</v>
          </cell>
        </row>
        <row r="3987">
          <cell r="C3987" t="str">
            <v>推广订单扣款</v>
          </cell>
        </row>
        <row r="3987">
          <cell r="H3987" t="str">
            <v>东海店</v>
          </cell>
          <cell r="I3987">
            <v>46043</v>
          </cell>
          <cell r="J3987">
            <v>-74.75</v>
          </cell>
        </row>
        <row r="3988">
          <cell r="C3988" t="str">
            <v>推广订单扣款</v>
          </cell>
        </row>
        <row r="3988">
          <cell r="H3988" t="str">
            <v>文灶店</v>
          </cell>
          <cell r="I3988">
            <v>46043</v>
          </cell>
          <cell r="J3988">
            <v>-233.63</v>
          </cell>
        </row>
        <row r="3989">
          <cell r="C3989" t="str">
            <v>推广订单扣款</v>
          </cell>
        </row>
        <row r="3989">
          <cell r="H3989" t="str">
            <v>滨江店</v>
          </cell>
          <cell r="I3989">
            <v>46043</v>
          </cell>
          <cell r="J3989">
            <v>-200</v>
          </cell>
        </row>
        <row r="3990">
          <cell r="C3990" t="str">
            <v>推广订单扣款</v>
          </cell>
        </row>
        <row r="3990">
          <cell r="H3990" t="str">
            <v>华信店</v>
          </cell>
          <cell r="I3990">
            <v>46043</v>
          </cell>
          <cell r="J3990">
            <v>-200</v>
          </cell>
        </row>
        <row r="3991">
          <cell r="C3991" t="str">
            <v>推广订单扣款</v>
          </cell>
        </row>
        <row r="3991">
          <cell r="H3991" t="str">
            <v>槐荫店</v>
          </cell>
          <cell r="I3991">
            <v>46043</v>
          </cell>
          <cell r="J3991">
            <v>-200</v>
          </cell>
        </row>
        <row r="3992">
          <cell r="C3992" t="str">
            <v>推广订单扣款</v>
          </cell>
        </row>
        <row r="3992">
          <cell r="H3992" t="str">
            <v>湖里店</v>
          </cell>
          <cell r="I3992">
            <v>46044</v>
          </cell>
          <cell r="J3992">
            <v>-168.83</v>
          </cell>
        </row>
        <row r="3993">
          <cell r="C3993" t="str">
            <v>推广订单扣款</v>
          </cell>
        </row>
        <row r="3993">
          <cell r="H3993" t="str">
            <v>东新店</v>
          </cell>
          <cell r="I3993">
            <v>46044</v>
          </cell>
          <cell r="J3993">
            <v>-96.95</v>
          </cell>
        </row>
        <row r="3994">
          <cell r="C3994" t="str">
            <v>推广订单扣款</v>
          </cell>
        </row>
        <row r="3994">
          <cell r="H3994" t="str">
            <v>启点店</v>
          </cell>
          <cell r="I3994">
            <v>46044</v>
          </cell>
          <cell r="J3994">
            <v>-298.5</v>
          </cell>
        </row>
        <row r="3995">
          <cell r="C3995" t="str">
            <v>推广订单扣款</v>
          </cell>
        </row>
        <row r="3995">
          <cell r="H3995" t="str">
            <v>高新店</v>
          </cell>
          <cell r="I3995">
            <v>46044</v>
          </cell>
          <cell r="J3995">
            <v>-170.45</v>
          </cell>
        </row>
        <row r="3996">
          <cell r="C3996" t="str">
            <v>推广订单扣款</v>
          </cell>
        </row>
        <row r="3996">
          <cell r="H3996" t="str">
            <v>成华店</v>
          </cell>
          <cell r="I3996">
            <v>46044</v>
          </cell>
          <cell r="J3996">
            <v>-77.72</v>
          </cell>
        </row>
        <row r="3997">
          <cell r="C3997" t="str">
            <v>推广订单扣款</v>
          </cell>
        </row>
        <row r="3997">
          <cell r="H3997" t="str">
            <v>金牛店</v>
          </cell>
          <cell r="I3997">
            <v>46044</v>
          </cell>
          <cell r="J3997">
            <v>-62.15</v>
          </cell>
        </row>
        <row r="3998">
          <cell r="C3998" t="str">
            <v>推广订单扣款</v>
          </cell>
        </row>
        <row r="3998">
          <cell r="H3998" t="str">
            <v>西山店</v>
          </cell>
          <cell r="I3998">
            <v>46044</v>
          </cell>
          <cell r="J3998">
            <v>-200.33</v>
          </cell>
        </row>
        <row r="3999">
          <cell r="C3999" t="str">
            <v>推广订单扣款</v>
          </cell>
        </row>
        <row r="3999">
          <cell r="H3999" t="str">
            <v>沙坪坝店</v>
          </cell>
          <cell r="I3999">
            <v>46044</v>
          </cell>
          <cell r="J3999">
            <v>-113.12</v>
          </cell>
        </row>
        <row r="4000">
          <cell r="C4000" t="str">
            <v>推广订单扣款</v>
          </cell>
        </row>
        <row r="4000">
          <cell r="H4000" t="str">
            <v>凤城二路店</v>
          </cell>
          <cell r="I4000">
            <v>46044</v>
          </cell>
          <cell r="J4000">
            <v>-200</v>
          </cell>
        </row>
        <row r="4001">
          <cell r="C4001" t="str">
            <v>推广订单扣款</v>
          </cell>
        </row>
        <row r="4001">
          <cell r="H4001" t="str">
            <v>大坪店</v>
          </cell>
          <cell r="I4001">
            <v>46044</v>
          </cell>
          <cell r="J4001">
            <v>-194.94</v>
          </cell>
        </row>
        <row r="4002">
          <cell r="C4002" t="str">
            <v>推广订单扣款</v>
          </cell>
        </row>
        <row r="4002">
          <cell r="H4002" t="str">
            <v>五华店</v>
          </cell>
          <cell r="I4002">
            <v>46044</v>
          </cell>
          <cell r="J4002">
            <v>-144.85</v>
          </cell>
        </row>
        <row r="4003">
          <cell r="C4003" t="str">
            <v>推广订单扣款</v>
          </cell>
        </row>
        <row r="4003">
          <cell r="H4003" t="str">
            <v>官渡店</v>
          </cell>
          <cell r="I4003">
            <v>46044</v>
          </cell>
          <cell r="J4003">
            <v>-166.45</v>
          </cell>
        </row>
        <row r="4004">
          <cell r="C4004" t="str">
            <v>推广订单扣款</v>
          </cell>
        </row>
        <row r="4004">
          <cell r="H4004" t="str">
            <v>百捷店</v>
          </cell>
          <cell r="I4004">
            <v>46044</v>
          </cell>
          <cell r="J4004">
            <v>-178.56</v>
          </cell>
        </row>
        <row r="4005">
          <cell r="C4005" t="str">
            <v>推广订单扣款</v>
          </cell>
        </row>
        <row r="4005">
          <cell r="H4005" t="str">
            <v>济南店</v>
          </cell>
          <cell r="I4005">
            <v>46044</v>
          </cell>
          <cell r="J4005">
            <v>-200</v>
          </cell>
        </row>
        <row r="4006">
          <cell r="C4006" t="str">
            <v>推广订单扣款</v>
          </cell>
        </row>
        <row r="4006">
          <cell r="H4006" t="str">
            <v>观音桥店</v>
          </cell>
          <cell r="I4006">
            <v>46044</v>
          </cell>
          <cell r="J4006">
            <v>-200</v>
          </cell>
        </row>
        <row r="4007">
          <cell r="C4007" t="str">
            <v>推广订单扣款</v>
          </cell>
        </row>
        <row r="4007">
          <cell r="H4007" t="str">
            <v>长沙店</v>
          </cell>
          <cell r="I4007">
            <v>46044</v>
          </cell>
          <cell r="J4007">
            <v>-117.71</v>
          </cell>
        </row>
        <row r="4008">
          <cell r="C4008" t="str">
            <v>推广订单扣款</v>
          </cell>
        </row>
        <row r="4008">
          <cell r="H4008" t="str">
            <v>洛江店</v>
          </cell>
          <cell r="I4008">
            <v>46044</v>
          </cell>
          <cell r="J4008">
            <v>-52.38</v>
          </cell>
        </row>
        <row r="4009">
          <cell r="C4009" t="str">
            <v>推广订单扣款</v>
          </cell>
        </row>
        <row r="4009">
          <cell r="H4009" t="str">
            <v>五路口店</v>
          </cell>
          <cell r="I4009">
            <v>46044</v>
          </cell>
          <cell r="J4009">
            <v>-200</v>
          </cell>
        </row>
        <row r="4010">
          <cell r="C4010" t="str">
            <v>推广订单扣款</v>
          </cell>
        </row>
        <row r="4010">
          <cell r="H4010" t="str">
            <v>青羊店</v>
          </cell>
          <cell r="I4010">
            <v>46044</v>
          </cell>
          <cell r="J4010">
            <v>-35.9</v>
          </cell>
        </row>
        <row r="4011">
          <cell r="C4011" t="str">
            <v>推广订单扣款</v>
          </cell>
        </row>
        <row r="4011">
          <cell r="H4011" t="str">
            <v>武侯店</v>
          </cell>
          <cell r="I4011">
            <v>46044</v>
          </cell>
          <cell r="J4011">
            <v>-44.19</v>
          </cell>
        </row>
        <row r="4012">
          <cell r="C4012" t="str">
            <v>推广订单扣款</v>
          </cell>
        </row>
        <row r="4012">
          <cell r="H4012" t="str">
            <v>鼓楼店</v>
          </cell>
          <cell r="I4012">
            <v>46044</v>
          </cell>
          <cell r="J4012">
            <v>-165.55</v>
          </cell>
        </row>
        <row r="4013">
          <cell r="C4013" t="str">
            <v>推广订单扣款</v>
          </cell>
        </row>
        <row r="4013">
          <cell r="H4013" t="str">
            <v>黄雁村店</v>
          </cell>
          <cell r="I4013">
            <v>46044</v>
          </cell>
          <cell r="J4013">
            <v>-200</v>
          </cell>
        </row>
        <row r="4014">
          <cell r="C4014" t="str">
            <v>推广订单扣款</v>
          </cell>
        </row>
        <row r="4014">
          <cell r="H4014" t="str">
            <v>西湖店</v>
          </cell>
          <cell r="I4014">
            <v>46044</v>
          </cell>
          <cell r="J4014">
            <v>-64.46</v>
          </cell>
        </row>
        <row r="4015">
          <cell r="C4015" t="str">
            <v>推广订单扣款</v>
          </cell>
        </row>
        <row r="4015">
          <cell r="H4015" t="str">
            <v>百丈店</v>
          </cell>
          <cell r="I4015">
            <v>46044</v>
          </cell>
          <cell r="J4015">
            <v>-200</v>
          </cell>
        </row>
        <row r="4016">
          <cell r="C4016" t="str">
            <v>推广订单扣款</v>
          </cell>
        </row>
        <row r="4016">
          <cell r="H4016" t="str">
            <v>文昌店</v>
          </cell>
          <cell r="I4016">
            <v>46044</v>
          </cell>
          <cell r="J4016">
            <v>-192.51</v>
          </cell>
        </row>
        <row r="4017">
          <cell r="C4017" t="str">
            <v>推广订单扣款</v>
          </cell>
        </row>
        <row r="4017">
          <cell r="H4017" t="str">
            <v>观桥店</v>
          </cell>
          <cell r="I4017">
            <v>46044</v>
          </cell>
          <cell r="J4017">
            <v>-200</v>
          </cell>
        </row>
        <row r="4018">
          <cell r="C4018" t="str">
            <v>推广订单扣款</v>
          </cell>
        </row>
        <row r="4018">
          <cell r="H4018" t="str">
            <v>海口店</v>
          </cell>
          <cell r="I4018">
            <v>46044</v>
          </cell>
          <cell r="J4018">
            <v>-200</v>
          </cell>
        </row>
        <row r="4019">
          <cell r="C4019" t="str">
            <v>推广订单扣款</v>
          </cell>
        </row>
        <row r="4019">
          <cell r="H4019" t="str">
            <v>南安店</v>
          </cell>
          <cell r="I4019">
            <v>46044</v>
          </cell>
          <cell r="J4019">
            <v>-23.5</v>
          </cell>
        </row>
        <row r="4020">
          <cell r="C4020" t="str">
            <v>推广订单扣款</v>
          </cell>
        </row>
        <row r="4020">
          <cell r="H4020" t="str">
            <v>诚毅店</v>
          </cell>
          <cell r="I4020">
            <v>46044</v>
          </cell>
          <cell r="J4020">
            <v>-152.95</v>
          </cell>
        </row>
        <row r="4021">
          <cell r="C4021" t="str">
            <v>推广订单扣款</v>
          </cell>
        </row>
        <row r="4021">
          <cell r="H4021" t="str">
            <v>首山店</v>
          </cell>
          <cell r="I4021">
            <v>46044</v>
          </cell>
          <cell r="J4021">
            <v>-159.45</v>
          </cell>
        </row>
        <row r="4022">
          <cell r="C4022" t="str">
            <v>推广订单扣款</v>
          </cell>
        </row>
        <row r="4022">
          <cell r="H4022" t="str">
            <v>首南店</v>
          </cell>
          <cell r="I4022">
            <v>46044</v>
          </cell>
          <cell r="J4022">
            <v>-161.35</v>
          </cell>
        </row>
        <row r="4023">
          <cell r="C4023" t="str">
            <v>推广订单扣款</v>
          </cell>
        </row>
        <row r="4023">
          <cell r="H4023" t="str">
            <v>余杭店</v>
          </cell>
          <cell r="I4023">
            <v>46044</v>
          </cell>
          <cell r="J4023">
            <v>-106.06</v>
          </cell>
        </row>
        <row r="4024">
          <cell r="C4024" t="str">
            <v>推广订单扣款</v>
          </cell>
        </row>
        <row r="4024">
          <cell r="H4024" t="str">
            <v>东海店</v>
          </cell>
          <cell r="I4024">
            <v>46044</v>
          </cell>
          <cell r="J4024">
            <v>-103.55</v>
          </cell>
        </row>
        <row r="4025">
          <cell r="C4025" t="str">
            <v>推广订单扣款</v>
          </cell>
        </row>
        <row r="4025">
          <cell r="H4025" t="str">
            <v>文灶店</v>
          </cell>
          <cell r="I4025">
            <v>46044</v>
          </cell>
          <cell r="J4025">
            <v>-178.36</v>
          </cell>
        </row>
        <row r="4026">
          <cell r="C4026" t="str">
            <v>推广订单扣款</v>
          </cell>
        </row>
        <row r="4026">
          <cell r="H4026" t="str">
            <v>滨江店</v>
          </cell>
          <cell r="I4026">
            <v>46044</v>
          </cell>
          <cell r="J4026">
            <v>-187.59</v>
          </cell>
        </row>
        <row r="4027">
          <cell r="C4027" t="str">
            <v>推广订单扣款</v>
          </cell>
        </row>
        <row r="4027">
          <cell r="H4027" t="str">
            <v>华信店</v>
          </cell>
          <cell r="I4027">
            <v>46044</v>
          </cell>
          <cell r="J4027">
            <v>-200</v>
          </cell>
        </row>
        <row r="4028">
          <cell r="C4028" t="str">
            <v>推广订单扣款</v>
          </cell>
        </row>
        <row r="4028">
          <cell r="H4028" t="str">
            <v>槐荫店</v>
          </cell>
          <cell r="I4028">
            <v>46044</v>
          </cell>
          <cell r="J4028">
            <v>-200</v>
          </cell>
        </row>
        <row r="4029">
          <cell r="C4029" t="str">
            <v>推广订单扣款</v>
          </cell>
        </row>
        <row r="4029">
          <cell r="H4029" t="str">
            <v>济南店</v>
          </cell>
          <cell r="I4029">
            <v>46045</v>
          </cell>
          <cell r="J4029">
            <v>-219.4</v>
          </cell>
        </row>
        <row r="4030">
          <cell r="C4030" t="str">
            <v>推广订单扣款</v>
          </cell>
        </row>
        <row r="4030">
          <cell r="H4030" t="str">
            <v>大坪店</v>
          </cell>
          <cell r="I4030">
            <v>46045</v>
          </cell>
          <cell r="J4030">
            <v>-29.35</v>
          </cell>
        </row>
        <row r="4031">
          <cell r="C4031" t="str">
            <v>推广订单扣款</v>
          </cell>
        </row>
        <row r="4031">
          <cell r="H4031" t="str">
            <v>金牛店</v>
          </cell>
          <cell r="I4031">
            <v>46045</v>
          </cell>
          <cell r="J4031">
            <v>-73.77</v>
          </cell>
        </row>
        <row r="4032">
          <cell r="C4032" t="str">
            <v>推广订单扣款</v>
          </cell>
        </row>
        <row r="4032">
          <cell r="H4032" t="str">
            <v>南安店</v>
          </cell>
          <cell r="I4032">
            <v>46045</v>
          </cell>
          <cell r="J4032">
            <v>-20.83</v>
          </cell>
        </row>
        <row r="4033">
          <cell r="C4033" t="str">
            <v>推广订单扣款</v>
          </cell>
        </row>
        <row r="4033">
          <cell r="H4033" t="str">
            <v>高新店</v>
          </cell>
          <cell r="I4033">
            <v>46045</v>
          </cell>
          <cell r="J4033">
            <v>-135.01</v>
          </cell>
        </row>
        <row r="4034">
          <cell r="C4034" t="str">
            <v>推广订单扣款</v>
          </cell>
        </row>
        <row r="4034">
          <cell r="H4034" t="str">
            <v>观音桥店</v>
          </cell>
          <cell r="I4034">
            <v>46045</v>
          </cell>
          <cell r="J4034">
            <v>-276.92</v>
          </cell>
        </row>
        <row r="4035">
          <cell r="C4035" t="str">
            <v>推广订单扣款</v>
          </cell>
        </row>
        <row r="4035">
          <cell r="H4035" t="str">
            <v>余杭店</v>
          </cell>
          <cell r="I4035">
            <v>46045</v>
          </cell>
          <cell r="J4035">
            <v>-143.1</v>
          </cell>
        </row>
        <row r="4036">
          <cell r="C4036" t="str">
            <v>推广订单扣款</v>
          </cell>
        </row>
        <row r="4036">
          <cell r="H4036" t="str">
            <v>西山店</v>
          </cell>
          <cell r="I4036">
            <v>46045</v>
          </cell>
          <cell r="J4036">
            <v>-157.25</v>
          </cell>
        </row>
        <row r="4037">
          <cell r="C4037" t="str">
            <v>推广订单扣款</v>
          </cell>
        </row>
        <row r="4037">
          <cell r="H4037" t="str">
            <v>湖里店</v>
          </cell>
          <cell r="I4037">
            <v>46045</v>
          </cell>
          <cell r="J4037">
            <v>-88.57</v>
          </cell>
        </row>
        <row r="4038">
          <cell r="C4038" t="str">
            <v>推广订单扣款</v>
          </cell>
        </row>
        <row r="4038">
          <cell r="H4038" t="str">
            <v>华信店</v>
          </cell>
          <cell r="I4038">
            <v>46045</v>
          </cell>
          <cell r="J4038">
            <v>-200</v>
          </cell>
        </row>
        <row r="4039">
          <cell r="C4039" t="str">
            <v>推广订单扣款</v>
          </cell>
        </row>
        <row r="4039">
          <cell r="H4039" t="str">
            <v>青羊店</v>
          </cell>
          <cell r="I4039">
            <v>46045</v>
          </cell>
          <cell r="J4039">
            <v>-51.54</v>
          </cell>
        </row>
        <row r="4040">
          <cell r="C4040" t="str">
            <v>推广订单扣款</v>
          </cell>
        </row>
        <row r="4040">
          <cell r="H4040" t="str">
            <v>武侯店</v>
          </cell>
          <cell r="I4040">
            <v>46045</v>
          </cell>
          <cell r="J4040">
            <v>-57.08</v>
          </cell>
        </row>
        <row r="4041">
          <cell r="C4041" t="str">
            <v>推广订单扣款</v>
          </cell>
        </row>
        <row r="4041">
          <cell r="H4041" t="str">
            <v>首南店</v>
          </cell>
          <cell r="I4041">
            <v>46045</v>
          </cell>
          <cell r="J4041">
            <v>-165.24</v>
          </cell>
        </row>
        <row r="4042">
          <cell r="C4042" t="str">
            <v>推广订单扣款</v>
          </cell>
        </row>
        <row r="4042">
          <cell r="H4042" t="str">
            <v>滨江店</v>
          </cell>
          <cell r="I4042">
            <v>46045</v>
          </cell>
          <cell r="J4042">
            <v>-162.72</v>
          </cell>
        </row>
        <row r="4043">
          <cell r="C4043" t="str">
            <v>推广订单扣款</v>
          </cell>
        </row>
        <row r="4043">
          <cell r="H4043" t="str">
            <v>凤城二路店</v>
          </cell>
          <cell r="I4043">
            <v>46045</v>
          </cell>
          <cell r="J4043">
            <v>-211.87</v>
          </cell>
        </row>
        <row r="4044">
          <cell r="C4044" t="str">
            <v>推广订单扣款</v>
          </cell>
        </row>
        <row r="4044">
          <cell r="H4044" t="str">
            <v>西湖店</v>
          </cell>
          <cell r="I4044">
            <v>46045</v>
          </cell>
          <cell r="J4044">
            <v>-56.64</v>
          </cell>
        </row>
        <row r="4045">
          <cell r="C4045" t="str">
            <v>推广订单扣款</v>
          </cell>
        </row>
        <row r="4045">
          <cell r="H4045" t="str">
            <v>鼓楼店</v>
          </cell>
          <cell r="I4045">
            <v>46045</v>
          </cell>
          <cell r="J4045">
            <v>-156.3</v>
          </cell>
        </row>
        <row r="4046">
          <cell r="C4046" t="str">
            <v>推广订单扣款</v>
          </cell>
        </row>
        <row r="4046">
          <cell r="H4046" t="str">
            <v>首山店</v>
          </cell>
          <cell r="I4046">
            <v>46045</v>
          </cell>
          <cell r="J4046">
            <v>-143.67</v>
          </cell>
        </row>
        <row r="4047">
          <cell r="C4047" t="str">
            <v>推广订单扣款</v>
          </cell>
        </row>
        <row r="4047">
          <cell r="H4047" t="str">
            <v>洛江店</v>
          </cell>
          <cell r="I4047">
            <v>46045</v>
          </cell>
          <cell r="J4047">
            <v>-50.41</v>
          </cell>
        </row>
        <row r="4048">
          <cell r="C4048" t="str">
            <v>推广订单扣款</v>
          </cell>
        </row>
        <row r="4048">
          <cell r="H4048" t="str">
            <v>长沙店</v>
          </cell>
          <cell r="I4048">
            <v>46045</v>
          </cell>
          <cell r="J4048">
            <v>-120.95</v>
          </cell>
        </row>
        <row r="4049">
          <cell r="C4049" t="str">
            <v>推广订单扣款</v>
          </cell>
        </row>
        <row r="4049">
          <cell r="H4049" t="str">
            <v>海口店</v>
          </cell>
          <cell r="I4049">
            <v>46045</v>
          </cell>
          <cell r="J4049">
            <v>-200</v>
          </cell>
        </row>
        <row r="4050">
          <cell r="C4050" t="str">
            <v>推广订单扣款</v>
          </cell>
        </row>
        <row r="4050">
          <cell r="H4050" t="str">
            <v>百丈店</v>
          </cell>
          <cell r="I4050">
            <v>46045</v>
          </cell>
          <cell r="J4050">
            <v>-245.94</v>
          </cell>
        </row>
        <row r="4051">
          <cell r="C4051" t="str">
            <v>推广订单扣款</v>
          </cell>
        </row>
        <row r="4051">
          <cell r="H4051" t="str">
            <v>五路口店</v>
          </cell>
          <cell r="I4051">
            <v>46045</v>
          </cell>
          <cell r="J4051">
            <v>-250</v>
          </cell>
        </row>
        <row r="4052">
          <cell r="C4052" t="str">
            <v>推广订单扣款</v>
          </cell>
        </row>
        <row r="4052">
          <cell r="H4052" t="str">
            <v>五华店</v>
          </cell>
          <cell r="I4052">
            <v>46045</v>
          </cell>
          <cell r="J4052">
            <v>-117.18</v>
          </cell>
        </row>
        <row r="4053">
          <cell r="C4053" t="str">
            <v>推广订单扣款</v>
          </cell>
        </row>
        <row r="4053">
          <cell r="H4053" t="str">
            <v>沙坪坝店</v>
          </cell>
          <cell r="I4053">
            <v>46045</v>
          </cell>
          <cell r="J4053">
            <v>-115.36</v>
          </cell>
        </row>
        <row r="4054">
          <cell r="C4054" t="str">
            <v>推广订单扣款</v>
          </cell>
        </row>
        <row r="4054">
          <cell r="H4054" t="str">
            <v>东新店</v>
          </cell>
          <cell r="I4054">
            <v>46045</v>
          </cell>
          <cell r="J4054">
            <v>-141.6</v>
          </cell>
        </row>
        <row r="4055">
          <cell r="C4055" t="str">
            <v>推广订单扣款</v>
          </cell>
        </row>
        <row r="4055">
          <cell r="H4055" t="str">
            <v>官渡店</v>
          </cell>
          <cell r="I4055">
            <v>46045</v>
          </cell>
          <cell r="J4055">
            <v>-169.3</v>
          </cell>
        </row>
        <row r="4056">
          <cell r="C4056" t="str">
            <v>推广订单扣款</v>
          </cell>
        </row>
        <row r="4056">
          <cell r="H4056" t="str">
            <v>槐荫店</v>
          </cell>
          <cell r="I4056">
            <v>46045</v>
          </cell>
          <cell r="J4056">
            <v>-200</v>
          </cell>
        </row>
        <row r="4057">
          <cell r="C4057" t="str">
            <v>推广订单扣款</v>
          </cell>
        </row>
        <row r="4057">
          <cell r="H4057" t="str">
            <v>东海店</v>
          </cell>
          <cell r="I4057">
            <v>46045</v>
          </cell>
          <cell r="J4057">
            <v>-115.16</v>
          </cell>
        </row>
        <row r="4058">
          <cell r="C4058" t="str">
            <v>推广订单扣款</v>
          </cell>
        </row>
        <row r="4058">
          <cell r="H4058" t="str">
            <v>文灶店</v>
          </cell>
          <cell r="I4058">
            <v>46045</v>
          </cell>
          <cell r="J4058">
            <v>-198.46</v>
          </cell>
        </row>
        <row r="4059">
          <cell r="C4059" t="str">
            <v>推广订单扣款</v>
          </cell>
        </row>
        <row r="4059">
          <cell r="H4059" t="str">
            <v>启点店</v>
          </cell>
          <cell r="I4059">
            <v>46045</v>
          </cell>
          <cell r="J4059">
            <v>-303.32</v>
          </cell>
        </row>
        <row r="4060">
          <cell r="C4060" t="str">
            <v>推广订单扣款</v>
          </cell>
        </row>
        <row r="4060">
          <cell r="H4060" t="str">
            <v>百捷店</v>
          </cell>
          <cell r="I4060">
            <v>46045</v>
          </cell>
          <cell r="J4060">
            <v>-87.8</v>
          </cell>
        </row>
        <row r="4061">
          <cell r="C4061" t="str">
            <v>推广订单扣款</v>
          </cell>
        </row>
        <row r="4061">
          <cell r="H4061" t="str">
            <v>诚毅店</v>
          </cell>
          <cell r="I4061">
            <v>46045</v>
          </cell>
          <cell r="J4061">
            <v>-109.19</v>
          </cell>
        </row>
        <row r="4062">
          <cell r="C4062" t="str">
            <v>推广账户自动充值</v>
          </cell>
        </row>
        <row r="4062">
          <cell r="H4062" t="str">
            <v>余杭店</v>
          </cell>
          <cell r="I4062">
            <v>46045</v>
          </cell>
          <cell r="J4062">
            <v>200</v>
          </cell>
        </row>
        <row r="4063">
          <cell r="C4063" t="str">
            <v>推广订单扣款</v>
          </cell>
        </row>
        <row r="4063">
          <cell r="H4063" t="str">
            <v>观桥店</v>
          </cell>
          <cell r="I4063">
            <v>46045</v>
          </cell>
          <cell r="J4063">
            <v>-194.36</v>
          </cell>
        </row>
        <row r="4064">
          <cell r="C4064" t="str">
            <v>推广订单扣款</v>
          </cell>
        </row>
        <row r="4064">
          <cell r="H4064" t="str">
            <v>成华店</v>
          </cell>
          <cell r="I4064">
            <v>46045</v>
          </cell>
          <cell r="J4064">
            <v>-69.16</v>
          </cell>
        </row>
        <row r="4065">
          <cell r="C4065" t="str">
            <v>推广订单扣款</v>
          </cell>
        </row>
        <row r="4065">
          <cell r="H4065" t="str">
            <v>黄雁村店</v>
          </cell>
          <cell r="I4065">
            <v>46045</v>
          </cell>
          <cell r="J4065">
            <v>-212.09</v>
          </cell>
        </row>
        <row r="4066">
          <cell r="C4066" t="str">
            <v>推广订单扣款</v>
          </cell>
        </row>
        <row r="4066">
          <cell r="H4066" t="str">
            <v>文昌店</v>
          </cell>
          <cell r="I4066">
            <v>46045</v>
          </cell>
          <cell r="J4066">
            <v>-166.18</v>
          </cell>
        </row>
        <row r="4067">
          <cell r="C4067" t="str">
            <v>推广账户自动充值</v>
          </cell>
        </row>
        <row r="4067">
          <cell r="H4067" t="str">
            <v>百捷店</v>
          </cell>
          <cell r="I4067">
            <v>46045</v>
          </cell>
          <cell r="J4067">
            <v>200</v>
          </cell>
        </row>
        <row r="4068">
          <cell r="C4068" t="str">
            <v>推广账户自动充值</v>
          </cell>
        </row>
        <row r="4068">
          <cell r="H4068" t="str">
            <v>五华店</v>
          </cell>
          <cell r="I4068">
            <v>46045</v>
          </cell>
          <cell r="J4068">
            <v>200</v>
          </cell>
        </row>
        <row r="4069">
          <cell r="C4069" t="str">
            <v>推广账户自动充值</v>
          </cell>
        </row>
        <row r="4069">
          <cell r="H4069" t="str">
            <v>黄雁村店</v>
          </cell>
          <cell r="I4069">
            <v>46045</v>
          </cell>
          <cell r="J4069">
            <v>200</v>
          </cell>
        </row>
        <row r="4070">
          <cell r="C4070" t="str">
            <v>推广账户自动充值</v>
          </cell>
        </row>
        <row r="4070">
          <cell r="H4070" t="str">
            <v>东海店</v>
          </cell>
          <cell r="I4070">
            <v>46045</v>
          </cell>
          <cell r="J4070">
            <v>200</v>
          </cell>
        </row>
        <row r="4071">
          <cell r="C4071" t="str">
            <v>推广账户自动充值</v>
          </cell>
        </row>
        <row r="4071">
          <cell r="H4071" t="str">
            <v>长沙店</v>
          </cell>
          <cell r="I4071">
            <v>46045</v>
          </cell>
          <cell r="J4071">
            <v>200</v>
          </cell>
        </row>
        <row r="4072">
          <cell r="C4072" t="str">
            <v>推广账户自动充值</v>
          </cell>
        </row>
        <row r="4072">
          <cell r="H4072" t="str">
            <v>下沙店</v>
          </cell>
          <cell r="I4072">
            <v>46045</v>
          </cell>
          <cell r="J4072">
            <v>100</v>
          </cell>
        </row>
        <row r="4073">
          <cell r="C4073" t="str">
            <v>推广账户自动充值</v>
          </cell>
        </row>
        <row r="4073">
          <cell r="H4073" t="str">
            <v>百丈店</v>
          </cell>
          <cell r="I4073">
            <v>46045</v>
          </cell>
          <cell r="J4073">
            <v>200</v>
          </cell>
        </row>
        <row r="4074">
          <cell r="C4074" t="str">
            <v>推广账户自动充值</v>
          </cell>
        </row>
        <row r="4074">
          <cell r="H4074" t="str">
            <v>启点店</v>
          </cell>
          <cell r="I4074">
            <v>46045</v>
          </cell>
          <cell r="J4074">
            <v>200</v>
          </cell>
        </row>
        <row r="4075">
          <cell r="C4075" t="str">
            <v>推广账户自动充值</v>
          </cell>
        </row>
        <row r="4075">
          <cell r="H4075" t="str">
            <v>华信店</v>
          </cell>
          <cell r="I4075">
            <v>46045</v>
          </cell>
          <cell r="J4075">
            <v>200</v>
          </cell>
        </row>
        <row r="4076">
          <cell r="C4076" t="str">
            <v>推广账户自动充值</v>
          </cell>
        </row>
        <row r="4076">
          <cell r="H4076" t="str">
            <v>槐荫店</v>
          </cell>
          <cell r="I4076">
            <v>46045</v>
          </cell>
          <cell r="J4076">
            <v>200</v>
          </cell>
        </row>
        <row r="4077">
          <cell r="C4077" t="str">
            <v>推广账户自动充值</v>
          </cell>
        </row>
        <row r="4077">
          <cell r="H4077" t="str">
            <v>观音桥店</v>
          </cell>
          <cell r="I4077">
            <v>46045</v>
          </cell>
          <cell r="J4077">
            <v>200</v>
          </cell>
        </row>
        <row r="4078">
          <cell r="C4078" t="str">
            <v>推广账户自动充值</v>
          </cell>
        </row>
        <row r="4078">
          <cell r="H4078" t="str">
            <v>诚毅店</v>
          </cell>
          <cell r="I4078">
            <v>46045</v>
          </cell>
          <cell r="J4078">
            <v>200</v>
          </cell>
        </row>
        <row r="4079">
          <cell r="C4079" t="str">
            <v>推广账户自动充值</v>
          </cell>
        </row>
        <row r="4079">
          <cell r="H4079" t="str">
            <v>海口店</v>
          </cell>
          <cell r="I4079">
            <v>46045</v>
          </cell>
          <cell r="J4079">
            <v>200</v>
          </cell>
        </row>
        <row r="4080">
          <cell r="C4080" t="str">
            <v>推广账户自动充值</v>
          </cell>
        </row>
        <row r="4080">
          <cell r="H4080" t="str">
            <v>五路口店</v>
          </cell>
          <cell r="I4080">
            <v>46045</v>
          </cell>
          <cell r="J4080">
            <v>200</v>
          </cell>
        </row>
        <row r="4081">
          <cell r="C4081" t="str">
            <v>推广账户自动充值</v>
          </cell>
        </row>
        <row r="4081">
          <cell r="H4081" t="str">
            <v>东新店</v>
          </cell>
          <cell r="I4081">
            <v>46045</v>
          </cell>
          <cell r="J4081">
            <v>200</v>
          </cell>
        </row>
        <row r="4082">
          <cell r="C4082" t="str">
            <v>推广账户自动充值</v>
          </cell>
        </row>
        <row r="4082">
          <cell r="H4082" t="str">
            <v>观桥店</v>
          </cell>
          <cell r="I4082">
            <v>46045</v>
          </cell>
          <cell r="J4082">
            <v>200</v>
          </cell>
        </row>
        <row r="4083">
          <cell r="C4083" t="str">
            <v>推广账户自动充值</v>
          </cell>
        </row>
        <row r="4083">
          <cell r="H4083" t="str">
            <v>济南店</v>
          </cell>
          <cell r="I4083">
            <v>46045</v>
          </cell>
          <cell r="J4083">
            <v>200</v>
          </cell>
        </row>
        <row r="4084">
          <cell r="C4084" t="str">
            <v>推广账户自动充值</v>
          </cell>
        </row>
        <row r="4084">
          <cell r="H4084" t="str">
            <v>凤城二路店</v>
          </cell>
          <cell r="I4084">
            <v>46045</v>
          </cell>
          <cell r="J4084">
            <v>200</v>
          </cell>
        </row>
        <row r="4085">
          <cell r="C4085" t="str">
            <v>推广账户自动充值</v>
          </cell>
        </row>
        <row r="4085">
          <cell r="H4085" t="str">
            <v>滨江店</v>
          </cell>
          <cell r="I4085">
            <v>46045</v>
          </cell>
          <cell r="J4085">
            <v>200</v>
          </cell>
        </row>
        <row r="4086">
          <cell r="C4086" t="str">
            <v>推广账户自动充值</v>
          </cell>
        </row>
        <row r="4086">
          <cell r="H4086" t="str">
            <v>成华店</v>
          </cell>
          <cell r="I4086">
            <v>46045</v>
          </cell>
          <cell r="J4086">
            <v>200</v>
          </cell>
        </row>
        <row r="4087">
          <cell r="C4087" t="str">
            <v>推广账户自动充值</v>
          </cell>
        </row>
        <row r="4087">
          <cell r="H4087" t="str">
            <v>鼓楼店</v>
          </cell>
          <cell r="I4087">
            <v>46045</v>
          </cell>
          <cell r="J4087">
            <v>200</v>
          </cell>
        </row>
        <row r="4088">
          <cell r="C4088" t="str">
            <v>推广账户自动充值</v>
          </cell>
        </row>
        <row r="4088">
          <cell r="H4088" t="str">
            <v>西山店</v>
          </cell>
          <cell r="I4088">
            <v>46045</v>
          </cell>
          <cell r="J4088">
            <v>200</v>
          </cell>
        </row>
        <row r="4089">
          <cell r="C4089" t="str">
            <v>推广账户自动充值</v>
          </cell>
        </row>
        <row r="4089">
          <cell r="H4089" t="str">
            <v>金牛店</v>
          </cell>
          <cell r="I4089">
            <v>46045</v>
          </cell>
          <cell r="J4089">
            <v>200</v>
          </cell>
        </row>
        <row r="4090">
          <cell r="C4090" t="str">
            <v>推广订单扣款</v>
          </cell>
        </row>
        <row r="4090">
          <cell r="H4090" t="str">
            <v>济南店</v>
          </cell>
          <cell r="I4090">
            <v>46046</v>
          </cell>
          <cell r="J4090">
            <v>-225.19</v>
          </cell>
        </row>
        <row r="4091">
          <cell r="C4091" t="str">
            <v>推广订单扣款</v>
          </cell>
        </row>
        <row r="4091">
          <cell r="H4091" t="str">
            <v>大坪店</v>
          </cell>
          <cell r="I4091">
            <v>46046</v>
          </cell>
          <cell r="J4091">
            <v>-162.25</v>
          </cell>
        </row>
        <row r="4092">
          <cell r="C4092" t="str">
            <v>推广订单扣款</v>
          </cell>
        </row>
        <row r="4092">
          <cell r="H4092" t="str">
            <v>金牛店</v>
          </cell>
          <cell r="I4092">
            <v>46046</v>
          </cell>
          <cell r="J4092">
            <v>-63.66</v>
          </cell>
        </row>
        <row r="4093">
          <cell r="C4093" t="str">
            <v>推广订单扣款</v>
          </cell>
        </row>
        <row r="4093">
          <cell r="H4093" t="str">
            <v>观音桥店</v>
          </cell>
          <cell r="I4093">
            <v>46046</v>
          </cell>
          <cell r="J4093">
            <v>-223.08</v>
          </cell>
        </row>
        <row r="4094">
          <cell r="C4094" t="str">
            <v>推广订单扣款</v>
          </cell>
        </row>
        <row r="4094">
          <cell r="H4094" t="str">
            <v>高新店</v>
          </cell>
          <cell r="I4094">
            <v>46046</v>
          </cell>
          <cell r="J4094">
            <v>-139.35</v>
          </cell>
        </row>
        <row r="4095">
          <cell r="C4095" t="str">
            <v>推广订单扣款</v>
          </cell>
        </row>
        <row r="4095">
          <cell r="H4095" t="str">
            <v>南安店</v>
          </cell>
          <cell r="I4095">
            <v>46046</v>
          </cell>
          <cell r="J4095">
            <v>-31.19</v>
          </cell>
        </row>
        <row r="4096">
          <cell r="C4096" t="str">
            <v>推广订单扣款</v>
          </cell>
        </row>
        <row r="4096">
          <cell r="H4096" t="str">
            <v>余杭店</v>
          </cell>
          <cell r="I4096">
            <v>46046</v>
          </cell>
          <cell r="J4096">
            <v>-142.76</v>
          </cell>
        </row>
        <row r="4097">
          <cell r="C4097" t="str">
            <v>推广订单扣款</v>
          </cell>
        </row>
        <row r="4097">
          <cell r="H4097" t="str">
            <v>西山店</v>
          </cell>
          <cell r="I4097">
            <v>46046</v>
          </cell>
          <cell r="J4097">
            <v>-200.22</v>
          </cell>
        </row>
        <row r="4098">
          <cell r="C4098" t="str">
            <v>推广订单扣款</v>
          </cell>
        </row>
        <row r="4098">
          <cell r="H4098" t="str">
            <v>华信店</v>
          </cell>
          <cell r="I4098">
            <v>46046</v>
          </cell>
          <cell r="J4098">
            <v>-200</v>
          </cell>
        </row>
        <row r="4099">
          <cell r="C4099" t="str">
            <v>推广订单扣款</v>
          </cell>
        </row>
        <row r="4099">
          <cell r="H4099" t="str">
            <v>湖里店</v>
          </cell>
          <cell r="I4099">
            <v>46046</v>
          </cell>
          <cell r="J4099">
            <v>-132.97</v>
          </cell>
        </row>
        <row r="4100">
          <cell r="C4100" t="str">
            <v>推广订单扣款</v>
          </cell>
        </row>
        <row r="4100">
          <cell r="H4100" t="str">
            <v>武侯店</v>
          </cell>
          <cell r="I4100">
            <v>46046</v>
          </cell>
          <cell r="J4100">
            <v>-43.46</v>
          </cell>
        </row>
        <row r="4101">
          <cell r="C4101" t="str">
            <v>推广订单扣款</v>
          </cell>
        </row>
        <row r="4101">
          <cell r="H4101" t="str">
            <v>青羊店</v>
          </cell>
          <cell r="I4101">
            <v>46046</v>
          </cell>
          <cell r="J4101">
            <v>-40.37</v>
          </cell>
        </row>
        <row r="4102">
          <cell r="C4102" t="str">
            <v>推广订单扣款</v>
          </cell>
        </row>
        <row r="4102">
          <cell r="H4102" t="str">
            <v>首南店</v>
          </cell>
          <cell r="I4102">
            <v>46046</v>
          </cell>
          <cell r="J4102">
            <v>-164.36</v>
          </cell>
        </row>
        <row r="4103">
          <cell r="C4103" t="str">
            <v>推广订单扣款</v>
          </cell>
        </row>
        <row r="4103">
          <cell r="H4103" t="str">
            <v>滨江店</v>
          </cell>
          <cell r="I4103">
            <v>46046</v>
          </cell>
          <cell r="J4103">
            <v>-195.65</v>
          </cell>
        </row>
        <row r="4104">
          <cell r="C4104" t="str">
            <v>推广订单扣款</v>
          </cell>
        </row>
        <row r="4104">
          <cell r="H4104" t="str">
            <v>凤城二路店</v>
          </cell>
          <cell r="I4104">
            <v>46046</v>
          </cell>
          <cell r="J4104">
            <v>-236.62</v>
          </cell>
        </row>
        <row r="4105">
          <cell r="C4105" t="str">
            <v>推广订单扣款</v>
          </cell>
        </row>
        <row r="4105">
          <cell r="H4105" t="str">
            <v>西湖店</v>
          </cell>
          <cell r="I4105">
            <v>46046</v>
          </cell>
          <cell r="J4105">
            <v>-75.86</v>
          </cell>
        </row>
        <row r="4106">
          <cell r="C4106" t="str">
            <v>推广订单扣款</v>
          </cell>
        </row>
        <row r="4106">
          <cell r="H4106" t="str">
            <v>鼓楼店</v>
          </cell>
          <cell r="I4106">
            <v>46046</v>
          </cell>
          <cell r="J4106">
            <v>-181.1</v>
          </cell>
        </row>
        <row r="4107">
          <cell r="C4107" t="str">
            <v>推广订单扣款</v>
          </cell>
        </row>
        <row r="4107">
          <cell r="H4107" t="str">
            <v>洛江店</v>
          </cell>
          <cell r="I4107">
            <v>46046</v>
          </cell>
          <cell r="J4107">
            <v>-35.39</v>
          </cell>
        </row>
        <row r="4108">
          <cell r="C4108" t="str">
            <v>推广订单扣款</v>
          </cell>
        </row>
        <row r="4108">
          <cell r="H4108" t="str">
            <v>首山店</v>
          </cell>
          <cell r="I4108">
            <v>46046</v>
          </cell>
          <cell r="J4108">
            <v>-125.21</v>
          </cell>
        </row>
        <row r="4109">
          <cell r="C4109" t="str">
            <v>推广订单扣款</v>
          </cell>
        </row>
        <row r="4109">
          <cell r="H4109" t="str">
            <v>长沙店</v>
          </cell>
          <cell r="I4109">
            <v>46046</v>
          </cell>
          <cell r="J4109">
            <v>-91.69</v>
          </cell>
        </row>
        <row r="4110">
          <cell r="C4110" t="str">
            <v>推广订单扣款</v>
          </cell>
        </row>
        <row r="4110">
          <cell r="H4110" t="str">
            <v>海口店</v>
          </cell>
          <cell r="I4110">
            <v>46046</v>
          </cell>
          <cell r="J4110">
            <v>-200</v>
          </cell>
        </row>
        <row r="4111">
          <cell r="C4111" t="str">
            <v>推广订单扣款</v>
          </cell>
        </row>
        <row r="4111">
          <cell r="H4111" t="str">
            <v>五华店</v>
          </cell>
          <cell r="I4111">
            <v>46046</v>
          </cell>
          <cell r="J4111">
            <v>-128.39</v>
          </cell>
        </row>
        <row r="4112">
          <cell r="C4112" t="str">
            <v>推广订单扣款</v>
          </cell>
        </row>
        <row r="4112">
          <cell r="H4112" t="str">
            <v>五路口店</v>
          </cell>
          <cell r="I4112">
            <v>46046</v>
          </cell>
          <cell r="J4112">
            <v>-250</v>
          </cell>
        </row>
        <row r="4113">
          <cell r="C4113" t="str">
            <v>推广订单扣款</v>
          </cell>
        </row>
        <row r="4113">
          <cell r="H4113" t="str">
            <v>百丈店</v>
          </cell>
          <cell r="I4113">
            <v>46046</v>
          </cell>
          <cell r="J4113">
            <v>-283.91</v>
          </cell>
        </row>
        <row r="4114">
          <cell r="C4114" t="str">
            <v>推广订单扣款</v>
          </cell>
        </row>
        <row r="4114">
          <cell r="H4114" t="str">
            <v>沙坪坝店</v>
          </cell>
          <cell r="I4114">
            <v>46046</v>
          </cell>
          <cell r="J4114">
            <v>-99.31</v>
          </cell>
        </row>
        <row r="4115">
          <cell r="C4115" t="str">
            <v>推广订单扣款</v>
          </cell>
        </row>
        <row r="4115">
          <cell r="H4115" t="str">
            <v>东新店</v>
          </cell>
          <cell r="I4115">
            <v>46046</v>
          </cell>
          <cell r="J4115">
            <v>-149.56</v>
          </cell>
        </row>
        <row r="4116">
          <cell r="C4116" t="str">
            <v>推广订单扣款</v>
          </cell>
        </row>
        <row r="4116">
          <cell r="H4116" t="str">
            <v>东海店</v>
          </cell>
          <cell r="I4116">
            <v>46046</v>
          </cell>
          <cell r="J4116">
            <v>-94.85</v>
          </cell>
        </row>
        <row r="4117">
          <cell r="C4117" t="str">
            <v>推广订单扣款</v>
          </cell>
        </row>
        <row r="4117">
          <cell r="H4117" t="str">
            <v>槐荫店</v>
          </cell>
          <cell r="I4117">
            <v>46046</v>
          </cell>
          <cell r="J4117">
            <v>-200</v>
          </cell>
        </row>
        <row r="4118">
          <cell r="C4118" t="str">
            <v>推广订单扣款</v>
          </cell>
        </row>
        <row r="4118">
          <cell r="H4118" t="str">
            <v>官渡店</v>
          </cell>
          <cell r="I4118">
            <v>46046</v>
          </cell>
          <cell r="J4118">
            <v>-63.44</v>
          </cell>
        </row>
        <row r="4119">
          <cell r="C4119" t="str">
            <v>推广订单扣款</v>
          </cell>
        </row>
        <row r="4119">
          <cell r="H4119" t="str">
            <v>文灶店</v>
          </cell>
          <cell r="I4119">
            <v>46046</v>
          </cell>
          <cell r="J4119">
            <v>-118.7</v>
          </cell>
        </row>
        <row r="4120">
          <cell r="C4120" t="str">
            <v>推广订单扣款</v>
          </cell>
        </row>
        <row r="4120">
          <cell r="H4120" t="str">
            <v>百捷店</v>
          </cell>
          <cell r="I4120">
            <v>46046</v>
          </cell>
          <cell r="J4120">
            <v>-117.45</v>
          </cell>
        </row>
        <row r="4121">
          <cell r="C4121" t="str">
            <v>推广订单扣款</v>
          </cell>
        </row>
        <row r="4121">
          <cell r="H4121" t="str">
            <v>启点店</v>
          </cell>
          <cell r="I4121">
            <v>46046</v>
          </cell>
          <cell r="J4121">
            <v>-244.64</v>
          </cell>
        </row>
        <row r="4122">
          <cell r="C4122" t="str">
            <v>推广订单扣款</v>
          </cell>
        </row>
        <row r="4122">
          <cell r="H4122" t="str">
            <v>诚毅店</v>
          </cell>
          <cell r="I4122">
            <v>46046</v>
          </cell>
          <cell r="J4122">
            <v>-150.95</v>
          </cell>
        </row>
        <row r="4123">
          <cell r="C4123" t="str">
            <v>推广订单扣款</v>
          </cell>
        </row>
        <row r="4123">
          <cell r="H4123" t="str">
            <v>成华店</v>
          </cell>
          <cell r="I4123">
            <v>46046</v>
          </cell>
          <cell r="J4123">
            <v>-86.01</v>
          </cell>
        </row>
        <row r="4124">
          <cell r="C4124" t="str">
            <v>推广订单扣款</v>
          </cell>
        </row>
        <row r="4124">
          <cell r="H4124" t="str">
            <v>观桥店</v>
          </cell>
          <cell r="I4124">
            <v>46046</v>
          </cell>
          <cell r="J4124">
            <v>-147.04</v>
          </cell>
        </row>
        <row r="4125">
          <cell r="C4125" t="str">
            <v>推广订单扣款</v>
          </cell>
        </row>
        <row r="4125">
          <cell r="H4125" t="str">
            <v>黄雁村店</v>
          </cell>
          <cell r="I4125">
            <v>46046</v>
          </cell>
          <cell r="J4125">
            <v>-208.06</v>
          </cell>
        </row>
        <row r="4126">
          <cell r="C4126" t="str">
            <v>推广订单扣款</v>
          </cell>
        </row>
        <row r="4126">
          <cell r="H4126" t="str">
            <v>文昌店</v>
          </cell>
          <cell r="I4126">
            <v>46046</v>
          </cell>
          <cell r="J4126">
            <v>-169.38</v>
          </cell>
        </row>
        <row r="4127">
          <cell r="C4127" t="str">
            <v>推广账户自动充值</v>
          </cell>
        </row>
        <row r="4127">
          <cell r="H4127" t="str">
            <v>高新店</v>
          </cell>
          <cell r="I4127">
            <v>46046</v>
          </cell>
          <cell r="J4127">
            <v>200</v>
          </cell>
        </row>
        <row r="4128">
          <cell r="C4128" t="str">
            <v>推广账户自动充值</v>
          </cell>
        </row>
        <row r="4128">
          <cell r="H4128" t="str">
            <v>沙坪坝店</v>
          </cell>
          <cell r="I4128">
            <v>46046</v>
          </cell>
          <cell r="J4128">
            <v>200</v>
          </cell>
        </row>
        <row r="4129">
          <cell r="C4129" t="str">
            <v>推广账户自动充值</v>
          </cell>
        </row>
        <row r="4129">
          <cell r="H4129" t="str">
            <v>首南店</v>
          </cell>
          <cell r="I4129">
            <v>46046</v>
          </cell>
          <cell r="J4129">
            <v>200</v>
          </cell>
        </row>
        <row r="4130">
          <cell r="C4130" t="str">
            <v>推广账户自动充值</v>
          </cell>
        </row>
        <row r="4130">
          <cell r="H4130" t="str">
            <v>文昌店</v>
          </cell>
          <cell r="I4130">
            <v>46046</v>
          </cell>
          <cell r="J4130">
            <v>200</v>
          </cell>
        </row>
        <row r="4131">
          <cell r="C4131" t="str">
            <v>推广账户自动充值</v>
          </cell>
        </row>
        <row r="4131">
          <cell r="H4131" t="str">
            <v>黄雁村店</v>
          </cell>
          <cell r="I4131">
            <v>46046</v>
          </cell>
          <cell r="J4131">
            <v>200</v>
          </cell>
        </row>
        <row r="4132">
          <cell r="C4132" t="str">
            <v>推广账户自动充值</v>
          </cell>
        </row>
        <row r="4132">
          <cell r="H4132" t="str">
            <v>湖里店</v>
          </cell>
          <cell r="I4132">
            <v>46046</v>
          </cell>
          <cell r="J4132">
            <v>200</v>
          </cell>
        </row>
        <row r="4133">
          <cell r="C4133" t="str">
            <v>推广账户自动充值</v>
          </cell>
        </row>
        <row r="4133">
          <cell r="H4133" t="str">
            <v>大坪店</v>
          </cell>
          <cell r="I4133">
            <v>46046</v>
          </cell>
          <cell r="J4133">
            <v>200</v>
          </cell>
        </row>
        <row r="4134">
          <cell r="C4134" t="str">
            <v>推广账户自动充值</v>
          </cell>
        </row>
        <row r="4134">
          <cell r="H4134" t="str">
            <v>启点店</v>
          </cell>
          <cell r="I4134">
            <v>46046</v>
          </cell>
          <cell r="J4134">
            <v>200</v>
          </cell>
        </row>
        <row r="4135">
          <cell r="C4135" t="str">
            <v>推广账户自动充值</v>
          </cell>
        </row>
        <row r="4135">
          <cell r="H4135" t="str">
            <v>观音桥店</v>
          </cell>
          <cell r="I4135">
            <v>46046</v>
          </cell>
          <cell r="J4135">
            <v>200</v>
          </cell>
        </row>
        <row r="4136">
          <cell r="C4136" t="str">
            <v>推广账户自动充值</v>
          </cell>
        </row>
        <row r="4136">
          <cell r="H4136" t="str">
            <v>华信店</v>
          </cell>
          <cell r="I4136">
            <v>46046</v>
          </cell>
          <cell r="J4136">
            <v>200</v>
          </cell>
        </row>
        <row r="4137">
          <cell r="C4137" t="str">
            <v>推广账户自动充值</v>
          </cell>
        </row>
        <row r="4137">
          <cell r="H4137" t="str">
            <v>海口店</v>
          </cell>
          <cell r="I4137">
            <v>46046</v>
          </cell>
          <cell r="J4137">
            <v>200</v>
          </cell>
        </row>
        <row r="4138">
          <cell r="C4138" t="str">
            <v>推广账户自动充值</v>
          </cell>
        </row>
        <row r="4138">
          <cell r="H4138" t="str">
            <v>五路口店</v>
          </cell>
          <cell r="I4138">
            <v>46046</v>
          </cell>
          <cell r="J4138">
            <v>200</v>
          </cell>
        </row>
        <row r="4139">
          <cell r="C4139" t="str">
            <v>推广账户自动充值</v>
          </cell>
        </row>
        <row r="4139">
          <cell r="H4139" t="str">
            <v>余杭店</v>
          </cell>
          <cell r="I4139">
            <v>46046</v>
          </cell>
          <cell r="J4139">
            <v>200</v>
          </cell>
        </row>
        <row r="4140">
          <cell r="C4140" t="str">
            <v>推广账户自动充值</v>
          </cell>
        </row>
        <row r="4140">
          <cell r="H4140" t="str">
            <v>青羊店</v>
          </cell>
          <cell r="I4140">
            <v>46046</v>
          </cell>
          <cell r="J4140">
            <v>200</v>
          </cell>
        </row>
        <row r="4141">
          <cell r="C4141" t="str">
            <v>推广账户自动充值</v>
          </cell>
        </row>
        <row r="4141">
          <cell r="H4141" t="str">
            <v>官渡店</v>
          </cell>
          <cell r="I4141">
            <v>46046</v>
          </cell>
          <cell r="J4141">
            <v>200</v>
          </cell>
        </row>
        <row r="4142">
          <cell r="C4142" t="str">
            <v>推广账户自动充值</v>
          </cell>
        </row>
        <row r="4142">
          <cell r="H4142" t="str">
            <v>槐荫店</v>
          </cell>
          <cell r="I4142">
            <v>46046</v>
          </cell>
          <cell r="J4142">
            <v>200</v>
          </cell>
        </row>
        <row r="4143">
          <cell r="C4143" t="str">
            <v>推广账户自动充值</v>
          </cell>
        </row>
        <row r="4143">
          <cell r="H4143" t="str">
            <v>凤城二路店</v>
          </cell>
          <cell r="I4143">
            <v>46046</v>
          </cell>
          <cell r="J4143">
            <v>200</v>
          </cell>
        </row>
        <row r="4144">
          <cell r="C4144" t="str">
            <v>推广账户自动充值</v>
          </cell>
        </row>
        <row r="4144">
          <cell r="H4144" t="str">
            <v>首山店</v>
          </cell>
          <cell r="I4144">
            <v>46046</v>
          </cell>
          <cell r="J4144">
            <v>200</v>
          </cell>
        </row>
        <row r="4145">
          <cell r="C4145" t="str">
            <v>推广账户自动充值</v>
          </cell>
        </row>
        <row r="4145">
          <cell r="H4145" t="str">
            <v>济南店</v>
          </cell>
          <cell r="I4145">
            <v>46046</v>
          </cell>
          <cell r="J4145">
            <v>200</v>
          </cell>
        </row>
        <row r="4146">
          <cell r="C4146" t="str">
            <v>推广账户自动充值</v>
          </cell>
        </row>
        <row r="4146">
          <cell r="H4146" t="str">
            <v>百捷店</v>
          </cell>
          <cell r="I4146">
            <v>46046</v>
          </cell>
          <cell r="J4146">
            <v>200</v>
          </cell>
        </row>
        <row r="4147">
          <cell r="C4147" t="str">
            <v>推广账户自动充值</v>
          </cell>
        </row>
        <row r="4147">
          <cell r="H4147" t="str">
            <v>五华店</v>
          </cell>
          <cell r="I4147">
            <v>46046</v>
          </cell>
          <cell r="J4147">
            <v>200</v>
          </cell>
        </row>
        <row r="4148">
          <cell r="C4148" t="str">
            <v>推广账户自动充值</v>
          </cell>
        </row>
        <row r="4148">
          <cell r="H4148" t="str">
            <v>诚毅店</v>
          </cell>
          <cell r="I4148">
            <v>46046</v>
          </cell>
          <cell r="J4148">
            <v>200</v>
          </cell>
        </row>
        <row r="4149">
          <cell r="C4149" t="str">
            <v>推广账户自动充值</v>
          </cell>
        </row>
        <row r="4149">
          <cell r="H4149" t="str">
            <v>东新店</v>
          </cell>
          <cell r="I4149">
            <v>46046</v>
          </cell>
          <cell r="J4149">
            <v>200</v>
          </cell>
        </row>
        <row r="4150">
          <cell r="C4150" t="str">
            <v>推广账户自动充值</v>
          </cell>
        </row>
        <row r="4150">
          <cell r="H4150" t="str">
            <v>百丈店</v>
          </cell>
          <cell r="I4150">
            <v>46046</v>
          </cell>
          <cell r="J4150">
            <v>200</v>
          </cell>
        </row>
        <row r="4151">
          <cell r="C4151" t="str">
            <v>推广账户自动充值</v>
          </cell>
        </row>
        <row r="4151">
          <cell r="H4151" t="str">
            <v>滨江店</v>
          </cell>
          <cell r="I4151">
            <v>46046</v>
          </cell>
          <cell r="J4151">
            <v>200</v>
          </cell>
        </row>
        <row r="4152">
          <cell r="C4152" t="str">
            <v>推广订单扣款</v>
          </cell>
        </row>
        <row r="4152">
          <cell r="H4152" t="str">
            <v>济南店</v>
          </cell>
          <cell r="I4152">
            <v>46047</v>
          </cell>
          <cell r="J4152">
            <v>-239.57</v>
          </cell>
        </row>
        <row r="4153">
          <cell r="C4153" t="str">
            <v>推广订单扣款</v>
          </cell>
        </row>
        <row r="4153">
          <cell r="H4153" t="str">
            <v>大坪店</v>
          </cell>
          <cell r="I4153">
            <v>46047</v>
          </cell>
          <cell r="J4153">
            <v>-157.44</v>
          </cell>
        </row>
        <row r="4154">
          <cell r="C4154" t="str">
            <v>推广订单扣款</v>
          </cell>
        </row>
        <row r="4154">
          <cell r="H4154" t="str">
            <v>金牛店</v>
          </cell>
          <cell r="I4154">
            <v>46047</v>
          </cell>
          <cell r="J4154">
            <v>-42.66</v>
          </cell>
        </row>
        <row r="4155">
          <cell r="C4155" t="str">
            <v>推广订单扣款</v>
          </cell>
        </row>
        <row r="4155">
          <cell r="H4155" t="str">
            <v>观音桥店</v>
          </cell>
          <cell r="I4155">
            <v>46047</v>
          </cell>
          <cell r="J4155">
            <v>-239.02</v>
          </cell>
        </row>
        <row r="4156">
          <cell r="C4156" t="str">
            <v>推广订单扣款</v>
          </cell>
        </row>
        <row r="4156">
          <cell r="H4156" t="str">
            <v>南安店</v>
          </cell>
          <cell r="I4156">
            <v>46047</v>
          </cell>
          <cell r="J4156">
            <v>-19.21</v>
          </cell>
        </row>
        <row r="4157">
          <cell r="C4157" t="str">
            <v>推广订单扣款</v>
          </cell>
        </row>
        <row r="4157">
          <cell r="H4157" t="str">
            <v>高新店</v>
          </cell>
          <cell r="I4157">
            <v>46047</v>
          </cell>
          <cell r="J4157">
            <v>-141.74</v>
          </cell>
        </row>
        <row r="4158">
          <cell r="C4158" t="str">
            <v>推广订单扣款</v>
          </cell>
        </row>
        <row r="4158">
          <cell r="H4158" t="str">
            <v>余杭店</v>
          </cell>
          <cell r="I4158">
            <v>46047</v>
          </cell>
          <cell r="J4158">
            <v>-143.77</v>
          </cell>
        </row>
        <row r="4159">
          <cell r="C4159" t="str">
            <v>推广订单扣款</v>
          </cell>
        </row>
        <row r="4159">
          <cell r="H4159" t="str">
            <v>西山店</v>
          </cell>
          <cell r="I4159">
            <v>46047</v>
          </cell>
          <cell r="J4159">
            <v>-152.12</v>
          </cell>
        </row>
        <row r="4160">
          <cell r="C4160" t="str">
            <v>推广订单扣款</v>
          </cell>
        </row>
        <row r="4160">
          <cell r="H4160" t="str">
            <v>华信店</v>
          </cell>
          <cell r="I4160">
            <v>46047</v>
          </cell>
          <cell r="J4160">
            <v>-200</v>
          </cell>
        </row>
        <row r="4161">
          <cell r="C4161" t="str">
            <v>推广订单扣款</v>
          </cell>
        </row>
        <row r="4161">
          <cell r="H4161" t="str">
            <v>湖里店</v>
          </cell>
          <cell r="I4161">
            <v>46047</v>
          </cell>
          <cell r="J4161">
            <v>-99.9</v>
          </cell>
        </row>
        <row r="4162">
          <cell r="C4162" t="str">
            <v>推广订单扣款</v>
          </cell>
        </row>
        <row r="4162">
          <cell r="H4162" t="str">
            <v>武侯店</v>
          </cell>
          <cell r="I4162">
            <v>46047</v>
          </cell>
          <cell r="J4162">
            <v>-53.63</v>
          </cell>
        </row>
        <row r="4163">
          <cell r="C4163" t="str">
            <v>推广订单扣款</v>
          </cell>
        </row>
        <row r="4163">
          <cell r="H4163" t="str">
            <v>青羊店</v>
          </cell>
          <cell r="I4163">
            <v>46047</v>
          </cell>
          <cell r="J4163">
            <v>-71.37</v>
          </cell>
        </row>
        <row r="4164">
          <cell r="C4164" t="str">
            <v>推广订单扣款</v>
          </cell>
        </row>
        <row r="4164">
          <cell r="H4164" t="str">
            <v>首南店</v>
          </cell>
          <cell r="I4164">
            <v>46047</v>
          </cell>
          <cell r="J4164">
            <v>-201.19</v>
          </cell>
        </row>
        <row r="4165">
          <cell r="C4165" t="str">
            <v>推广订单扣款</v>
          </cell>
        </row>
        <row r="4165">
          <cell r="H4165" t="str">
            <v>滨江店</v>
          </cell>
          <cell r="I4165">
            <v>46047</v>
          </cell>
          <cell r="J4165">
            <v>-192.07</v>
          </cell>
        </row>
        <row r="4166">
          <cell r="C4166" t="str">
            <v>推广订单扣款</v>
          </cell>
        </row>
        <row r="4166">
          <cell r="H4166" t="str">
            <v>凤城二路店</v>
          </cell>
          <cell r="I4166">
            <v>46047</v>
          </cell>
          <cell r="J4166">
            <v>-250</v>
          </cell>
        </row>
        <row r="4167">
          <cell r="C4167" t="str">
            <v>推广订单扣款</v>
          </cell>
        </row>
        <row r="4167">
          <cell r="H4167" t="str">
            <v>下沙店</v>
          </cell>
          <cell r="I4167">
            <v>46047</v>
          </cell>
          <cell r="J4167">
            <v>-5.51</v>
          </cell>
        </row>
        <row r="4168">
          <cell r="C4168" t="str">
            <v>推广订单扣款</v>
          </cell>
        </row>
        <row r="4168">
          <cell r="H4168" t="str">
            <v>西湖店</v>
          </cell>
          <cell r="I4168">
            <v>46047</v>
          </cell>
          <cell r="J4168">
            <v>-38.4</v>
          </cell>
        </row>
        <row r="4169">
          <cell r="C4169" t="str">
            <v>推广订单扣款</v>
          </cell>
        </row>
        <row r="4169">
          <cell r="H4169" t="str">
            <v>鼓楼店</v>
          </cell>
          <cell r="I4169">
            <v>46047</v>
          </cell>
          <cell r="J4169">
            <v>-150.46</v>
          </cell>
        </row>
        <row r="4170">
          <cell r="C4170" t="str">
            <v>推广订单扣款</v>
          </cell>
        </row>
        <row r="4170">
          <cell r="H4170" t="str">
            <v>首山店</v>
          </cell>
          <cell r="I4170">
            <v>46047</v>
          </cell>
          <cell r="J4170">
            <v>-127.46</v>
          </cell>
        </row>
        <row r="4171">
          <cell r="C4171" t="str">
            <v>推广订单扣款</v>
          </cell>
        </row>
        <row r="4171">
          <cell r="H4171" t="str">
            <v>五路口店</v>
          </cell>
          <cell r="I4171">
            <v>46047</v>
          </cell>
          <cell r="J4171">
            <v>-240.94</v>
          </cell>
        </row>
        <row r="4172">
          <cell r="C4172" t="str">
            <v>推广订单扣款</v>
          </cell>
        </row>
        <row r="4172">
          <cell r="H4172" t="str">
            <v>百丈店</v>
          </cell>
          <cell r="I4172">
            <v>46047</v>
          </cell>
          <cell r="J4172">
            <v>-114.64</v>
          </cell>
        </row>
        <row r="4173">
          <cell r="C4173" t="str">
            <v>推广订单扣款</v>
          </cell>
        </row>
        <row r="4173">
          <cell r="H4173" t="str">
            <v>长沙店</v>
          </cell>
          <cell r="I4173">
            <v>46047</v>
          </cell>
          <cell r="J4173">
            <v>-69.68</v>
          </cell>
        </row>
        <row r="4174">
          <cell r="C4174" t="str">
            <v>推广订单扣款</v>
          </cell>
        </row>
        <row r="4174">
          <cell r="H4174" t="str">
            <v>海口店</v>
          </cell>
          <cell r="I4174">
            <v>46047</v>
          </cell>
          <cell r="J4174">
            <v>-200</v>
          </cell>
        </row>
        <row r="4175">
          <cell r="C4175" t="str">
            <v>推广订单扣款</v>
          </cell>
        </row>
        <row r="4175">
          <cell r="H4175" t="str">
            <v>五华店</v>
          </cell>
          <cell r="I4175">
            <v>46047</v>
          </cell>
          <cell r="J4175">
            <v>-140.64</v>
          </cell>
        </row>
        <row r="4176">
          <cell r="C4176" t="str">
            <v>推广订单扣款</v>
          </cell>
        </row>
        <row r="4176">
          <cell r="H4176" t="str">
            <v>沙坪坝店</v>
          </cell>
          <cell r="I4176">
            <v>46047</v>
          </cell>
          <cell r="J4176">
            <v>-104.36</v>
          </cell>
        </row>
        <row r="4177">
          <cell r="C4177" t="str">
            <v>推广订单扣款</v>
          </cell>
        </row>
        <row r="4177">
          <cell r="H4177" t="str">
            <v>东新店</v>
          </cell>
          <cell r="I4177">
            <v>46047</v>
          </cell>
          <cell r="J4177">
            <v>-165.89</v>
          </cell>
        </row>
        <row r="4178">
          <cell r="C4178" t="str">
            <v>推广订单扣款</v>
          </cell>
        </row>
        <row r="4178">
          <cell r="H4178" t="str">
            <v>东海店</v>
          </cell>
          <cell r="I4178">
            <v>46047</v>
          </cell>
          <cell r="J4178">
            <v>-111.63</v>
          </cell>
        </row>
        <row r="4179">
          <cell r="C4179" t="str">
            <v>推广订单扣款</v>
          </cell>
        </row>
        <row r="4179">
          <cell r="H4179" t="str">
            <v>官渡店</v>
          </cell>
          <cell r="I4179">
            <v>46047</v>
          </cell>
          <cell r="J4179">
            <v>-140.84</v>
          </cell>
        </row>
        <row r="4180">
          <cell r="C4180" t="str">
            <v>推广订单扣款</v>
          </cell>
        </row>
        <row r="4180">
          <cell r="H4180" t="str">
            <v>槐荫店</v>
          </cell>
          <cell r="I4180">
            <v>46047</v>
          </cell>
          <cell r="J4180">
            <v>-200</v>
          </cell>
        </row>
        <row r="4181">
          <cell r="C4181" t="str">
            <v>推广订单扣款</v>
          </cell>
        </row>
        <row r="4181">
          <cell r="H4181" t="str">
            <v>文灶店</v>
          </cell>
          <cell r="I4181">
            <v>46047</v>
          </cell>
          <cell r="J4181">
            <v>-138.22</v>
          </cell>
        </row>
        <row r="4182">
          <cell r="C4182" t="str">
            <v>推广订单扣款</v>
          </cell>
        </row>
        <row r="4182">
          <cell r="H4182" t="str">
            <v>启点店</v>
          </cell>
          <cell r="I4182">
            <v>46047</v>
          </cell>
          <cell r="J4182">
            <v>-217.03</v>
          </cell>
        </row>
        <row r="4183">
          <cell r="C4183" t="str">
            <v>推广订单扣款</v>
          </cell>
        </row>
        <row r="4183">
          <cell r="H4183" t="str">
            <v>诚毅店</v>
          </cell>
          <cell r="I4183">
            <v>46047</v>
          </cell>
          <cell r="J4183">
            <v>-193.27</v>
          </cell>
        </row>
        <row r="4184">
          <cell r="C4184" t="str">
            <v>推广订单扣款</v>
          </cell>
        </row>
        <row r="4184">
          <cell r="H4184" t="str">
            <v>百捷店</v>
          </cell>
          <cell r="I4184">
            <v>46047</v>
          </cell>
          <cell r="J4184">
            <v>-91.49</v>
          </cell>
        </row>
        <row r="4185">
          <cell r="C4185" t="str">
            <v>推广订单扣款</v>
          </cell>
        </row>
        <row r="4185">
          <cell r="H4185" t="str">
            <v>成华店</v>
          </cell>
          <cell r="I4185">
            <v>46047</v>
          </cell>
          <cell r="J4185">
            <v>-63.83</v>
          </cell>
        </row>
        <row r="4186">
          <cell r="C4186" t="str">
            <v>推广订单扣款</v>
          </cell>
        </row>
        <row r="4186">
          <cell r="H4186" t="str">
            <v>黄雁村店</v>
          </cell>
          <cell r="I4186">
            <v>46047</v>
          </cell>
          <cell r="J4186">
            <v>-205.04</v>
          </cell>
        </row>
        <row r="4187">
          <cell r="C4187" t="str">
            <v>推广订单扣款</v>
          </cell>
        </row>
        <row r="4187">
          <cell r="H4187" t="str">
            <v>观桥店</v>
          </cell>
          <cell r="I4187">
            <v>46047</v>
          </cell>
          <cell r="J4187">
            <v>-130.4</v>
          </cell>
        </row>
        <row r="4188">
          <cell r="C4188" t="str">
            <v>推广订单扣款</v>
          </cell>
        </row>
        <row r="4188">
          <cell r="H4188" t="str">
            <v>文昌店</v>
          </cell>
          <cell r="I4188">
            <v>46047</v>
          </cell>
          <cell r="J4188">
            <v>-171.14</v>
          </cell>
        </row>
        <row r="4189">
          <cell r="C4189" t="str">
            <v>推广账户自动充值</v>
          </cell>
        </row>
        <row r="4189">
          <cell r="H4189" t="str">
            <v>文昌店</v>
          </cell>
          <cell r="I4189">
            <v>46047</v>
          </cell>
          <cell r="J4189">
            <v>200</v>
          </cell>
        </row>
        <row r="4190">
          <cell r="C4190" t="str">
            <v>推广账户自动充值</v>
          </cell>
        </row>
        <row r="4190">
          <cell r="H4190" t="str">
            <v>启点店</v>
          </cell>
          <cell r="I4190">
            <v>46047</v>
          </cell>
          <cell r="J4190">
            <v>200</v>
          </cell>
        </row>
        <row r="4191">
          <cell r="C4191" t="str">
            <v>推广账户自动充值</v>
          </cell>
        </row>
        <row r="4191">
          <cell r="H4191" t="str">
            <v>东海店</v>
          </cell>
          <cell r="I4191">
            <v>46047</v>
          </cell>
          <cell r="J4191">
            <v>200</v>
          </cell>
        </row>
        <row r="4192">
          <cell r="C4192" t="str">
            <v>推广账户自动充值</v>
          </cell>
        </row>
        <row r="4192">
          <cell r="H4192" t="str">
            <v>首南店</v>
          </cell>
          <cell r="I4192">
            <v>46047</v>
          </cell>
          <cell r="J4192">
            <v>200</v>
          </cell>
        </row>
        <row r="4193">
          <cell r="C4193" t="str">
            <v>推广订单扣款</v>
          </cell>
        </row>
        <row r="4193">
          <cell r="H4193" t="str">
            <v>湖里店</v>
          </cell>
          <cell r="I4193">
            <v>46048</v>
          </cell>
          <cell r="J4193">
            <v>-148.08</v>
          </cell>
        </row>
        <row r="4194">
          <cell r="C4194" t="str">
            <v>推广订单扣款</v>
          </cell>
        </row>
        <row r="4194">
          <cell r="H4194" t="str">
            <v>东新店</v>
          </cell>
          <cell r="I4194">
            <v>46048</v>
          </cell>
          <cell r="J4194">
            <v>-170.2</v>
          </cell>
        </row>
        <row r="4195">
          <cell r="C4195" t="str">
            <v>推广订单扣款</v>
          </cell>
        </row>
        <row r="4195">
          <cell r="H4195" t="str">
            <v>启点店</v>
          </cell>
          <cell r="I4195">
            <v>46048</v>
          </cell>
          <cell r="J4195">
            <v>-251.26</v>
          </cell>
        </row>
        <row r="4196">
          <cell r="C4196" t="str">
            <v>推广订单扣款</v>
          </cell>
        </row>
        <row r="4196">
          <cell r="H4196" t="str">
            <v>高新店</v>
          </cell>
          <cell r="I4196">
            <v>46048</v>
          </cell>
          <cell r="J4196">
            <v>-142.15</v>
          </cell>
        </row>
        <row r="4197">
          <cell r="C4197" t="str">
            <v>推广订单扣款</v>
          </cell>
        </row>
        <row r="4197">
          <cell r="H4197" t="str">
            <v>成华店</v>
          </cell>
          <cell r="I4197">
            <v>46048</v>
          </cell>
          <cell r="J4197">
            <v>-94.91</v>
          </cell>
        </row>
        <row r="4198">
          <cell r="C4198" t="str">
            <v>推广订单扣款</v>
          </cell>
        </row>
        <row r="4198">
          <cell r="H4198" t="str">
            <v>金牛店</v>
          </cell>
          <cell r="I4198">
            <v>46048</v>
          </cell>
          <cell r="J4198">
            <v>-51.16</v>
          </cell>
        </row>
        <row r="4199">
          <cell r="C4199" t="str">
            <v>推广订单扣款</v>
          </cell>
        </row>
        <row r="4199">
          <cell r="H4199" t="str">
            <v>西山店</v>
          </cell>
          <cell r="I4199">
            <v>46048</v>
          </cell>
          <cell r="J4199">
            <v>-159.67</v>
          </cell>
        </row>
        <row r="4200">
          <cell r="C4200" t="str">
            <v>推广订单扣款</v>
          </cell>
        </row>
        <row r="4200">
          <cell r="H4200" t="str">
            <v>沙坪坝店</v>
          </cell>
          <cell r="I4200">
            <v>46048</v>
          </cell>
          <cell r="J4200">
            <v>-120.56</v>
          </cell>
        </row>
        <row r="4201">
          <cell r="C4201" t="str">
            <v>推广账户自动充值</v>
          </cell>
        </row>
        <row r="4201">
          <cell r="H4201" t="str">
            <v>凤城二路店</v>
          </cell>
          <cell r="I4201">
            <v>46048</v>
          </cell>
          <cell r="J4201">
            <v>200</v>
          </cell>
        </row>
        <row r="4202">
          <cell r="C4202" t="str">
            <v>推广订单扣款</v>
          </cell>
        </row>
        <row r="4202">
          <cell r="H4202" t="str">
            <v>凤城二路店</v>
          </cell>
          <cell r="I4202">
            <v>46048</v>
          </cell>
          <cell r="J4202">
            <v>-250</v>
          </cell>
        </row>
        <row r="4203">
          <cell r="C4203" t="str">
            <v>推广订单扣款</v>
          </cell>
        </row>
        <row r="4203">
          <cell r="H4203" t="str">
            <v>大坪店</v>
          </cell>
          <cell r="I4203">
            <v>46048</v>
          </cell>
          <cell r="J4203">
            <v>-77.44</v>
          </cell>
        </row>
        <row r="4204">
          <cell r="C4204" t="str">
            <v>推广订单扣款</v>
          </cell>
        </row>
        <row r="4204">
          <cell r="H4204" t="str">
            <v>五华店</v>
          </cell>
          <cell r="I4204">
            <v>46048</v>
          </cell>
          <cell r="J4204">
            <v>-137.48</v>
          </cell>
        </row>
        <row r="4205">
          <cell r="C4205" t="str">
            <v>推广账户自动充值</v>
          </cell>
        </row>
        <row r="4205">
          <cell r="H4205" t="str">
            <v>五华店</v>
          </cell>
          <cell r="I4205">
            <v>46048</v>
          </cell>
          <cell r="J4205">
            <v>200</v>
          </cell>
        </row>
        <row r="4206">
          <cell r="C4206" t="str">
            <v>推广订单扣款</v>
          </cell>
        </row>
        <row r="4206">
          <cell r="H4206" t="str">
            <v>官渡店</v>
          </cell>
          <cell r="I4206">
            <v>46048</v>
          </cell>
          <cell r="J4206">
            <v>-181.54</v>
          </cell>
        </row>
        <row r="4207">
          <cell r="C4207" t="str">
            <v>推广订单扣款</v>
          </cell>
        </row>
        <row r="4207">
          <cell r="H4207" t="str">
            <v>百捷店</v>
          </cell>
          <cell r="I4207">
            <v>46048</v>
          </cell>
          <cell r="J4207">
            <v>-135.54</v>
          </cell>
        </row>
        <row r="4208">
          <cell r="C4208" t="str">
            <v>推广订单扣款</v>
          </cell>
        </row>
        <row r="4208">
          <cell r="H4208" t="str">
            <v>济南店</v>
          </cell>
          <cell r="I4208">
            <v>46048</v>
          </cell>
          <cell r="J4208">
            <v>-235.48</v>
          </cell>
        </row>
        <row r="4209">
          <cell r="C4209" t="str">
            <v>推广账户自动充值</v>
          </cell>
        </row>
        <row r="4209">
          <cell r="H4209" t="str">
            <v>观音桥店</v>
          </cell>
          <cell r="I4209">
            <v>46048</v>
          </cell>
          <cell r="J4209">
            <v>200</v>
          </cell>
        </row>
        <row r="4210">
          <cell r="C4210" t="str">
            <v>推广订单扣款</v>
          </cell>
        </row>
        <row r="4210">
          <cell r="H4210" t="str">
            <v>观音桥店</v>
          </cell>
          <cell r="I4210">
            <v>46048</v>
          </cell>
          <cell r="J4210">
            <v>-179.77</v>
          </cell>
        </row>
        <row r="4211">
          <cell r="C4211" t="str">
            <v>推广订单扣款</v>
          </cell>
        </row>
        <row r="4211">
          <cell r="H4211" t="str">
            <v>长沙店</v>
          </cell>
          <cell r="I4211">
            <v>46048</v>
          </cell>
          <cell r="J4211">
            <v>-124.89</v>
          </cell>
        </row>
        <row r="4212">
          <cell r="C4212" t="str">
            <v>推广订单扣款</v>
          </cell>
        </row>
        <row r="4212">
          <cell r="H4212" t="str">
            <v>洛江店</v>
          </cell>
          <cell r="I4212">
            <v>46048</v>
          </cell>
          <cell r="J4212">
            <v>-64.78</v>
          </cell>
        </row>
        <row r="4213">
          <cell r="C4213" t="str">
            <v>推广订单扣款</v>
          </cell>
        </row>
        <row r="4213">
          <cell r="H4213" t="str">
            <v>五路口店</v>
          </cell>
          <cell r="I4213">
            <v>46048</v>
          </cell>
          <cell r="J4213">
            <v>-279.07</v>
          </cell>
        </row>
        <row r="4214">
          <cell r="C4214" t="str">
            <v>推广订单扣款</v>
          </cell>
        </row>
        <row r="4214">
          <cell r="H4214" t="str">
            <v>青羊店</v>
          </cell>
          <cell r="I4214">
            <v>46048</v>
          </cell>
          <cell r="J4214">
            <v>-61.93</v>
          </cell>
        </row>
        <row r="4215">
          <cell r="C4215" t="str">
            <v>推广订单扣款</v>
          </cell>
        </row>
        <row r="4215">
          <cell r="H4215" t="str">
            <v>武侯店</v>
          </cell>
          <cell r="I4215">
            <v>46048</v>
          </cell>
          <cell r="J4215">
            <v>-72.95</v>
          </cell>
        </row>
        <row r="4216">
          <cell r="C4216" t="str">
            <v>推广订单扣款</v>
          </cell>
        </row>
        <row r="4216">
          <cell r="H4216" t="str">
            <v>鼓楼店</v>
          </cell>
          <cell r="I4216">
            <v>46048</v>
          </cell>
          <cell r="J4216">
            <v>-239.31</v>
          </cell>
        </row>
        <row r="4217">
          <cell r="C4217" t="str">
            <v>推广订单扣款</v>
          </cell>
        </row>
        <row r="4217">
          <cell r="H4217" t="str">
            <v>黄雁村店</v>
          </cell>
          <cell r="I4217">
            <v>46048</v>
          </cell>
          <cell r="J4217">
            <v>-230</v>
          </cell>
        </row>
        <row r="4218">
          <cell r="C4218" t="str">
            <v>推广账户自动充值</v>
          </cell>
        </row>
        <row r="4218">
          <cell r="H4218" t="str">
            <v>黄雁村店</v>
          </cell>
          <cell r="I4218">
            <v>46048</v>
          </cell>
          <cell r="J4218">
            <v>200</v>
          </cell>
        </row>
        <row r="4219">
          <cell r="C4219" t="str">
            <v>推广订单扣款</v>
          </cell>
        </row>
        <row r="4219">
          <cell r="H4219" t="str">
            <v>西湖店</v>
          </cell>
          <cell r="I4219">
            <v>46048</v>
          </cell>
          <cell r="J4219">
            <v>-63.42</v>
          </cell>
        </row>
        <row r="4220">
          <cell r="C4220" t="str">
            <v>推广账户自动充值</v>
          </cell>
        </row>
        <row r="4220">
          <cell r="H4220" t="str">
            <v>百丈店</v>
          </cell>
          <cell r="I4220">
            <v>46048</v>
          </cell>
          <cell r="J4220">
            <v>200</v>
          </cell>
        </row>
        <row r="4221">
          <cell r="C4221" t="str">
            <v>推广订单扣款</v>
          </cell>
        </row>
        <row r="4221">
          <cell r="H4221" t="str">
            <v>百丈店</v>
          </cell>
          <cell r="I4221">
            <v>46048</v>
          </cell>
          <cell r="J4221">
            <v>-251.94</v>
          </cell>
        </row>
        <row r="4222">
          <cell r="C4222" t="str">
            <v>推广订单扣款</v>
          </cell>
        </row>
        <row r="4222">
          <cell r="H4222" t="str">
            <v>文昌店</v>
          </cell>
          <cell r="I4222">
            <v>46048</v>
          </cell>
          <cell r="J4222">
            <v>-244.51</v>
          </cell>
        </row>
        <row r="4223">
          <cell r="C4223" t="str">
            <v>推广订单扣款</v>
          </cell>
        </row>
        <row r="4223">
          <cell r="H4223" t="str">
            <v>观桥店</v>
          </cell>
          <cell r="I4223">
            <v>46048</v>
          </cell>
          <cell r="J4223">
            <v>-164.61</v>
          </cell>
        </row>
        <row r="4224">
          <cell r="C4224" t="str">
            <v>推广订单扣款</v>
          </cell>
        </row>
        <row r="4224">
          <cell r="H4224" t="str">
            <v>海口店</v>
          </cell>
          <cell r="I4224">
            <v>46048</v>
          </cell>
          <cell r="J4224">
            <v>-200</v>
          </cell>
        </row>
        <row r="4225">
          <cell r="C4225" t="str">
            <v>推广订单扣款</v>
          </cell>
        </row>
        <row r="4225">
          <cell r="H4225" t="str">
            <v>南安店</v>
          </cell>
          <cell r="I4225">
            <v>46048</v>
          </cell>
          <cell r="J4225">
            <v>-17</v>
          </cell>
        </row>
        <row r="4226">
          <cell r="C4226" t="str">
            <v>推广订单扣款</v>
          </cell>
        </row>
        <row r="4226">
          <cell r="H4226" t="str">
            <v>诚毅店</v>
          </cell>
          <cell r="I4226">
            <v>46048</v>
          </cell>
          <cell r="J4226">
            <v>-159.73</v>
          </cell>
        </row>
        <row r="4227">
          <cell r="C4227" t="str">
            <v>推广订单扣款</v>
          </cell>
        </row>
        <row r="4227">
          <cell r="H4227" t="str">
            <v>首山店</v>
          </cell>
          <cell r="I4227">
            <v>46048</v>
          </cell>
          <cell r="J4227">
            <v>-155.52</v>
          </cell>
        </row>
        <row r="4228">
          <cell r="C4228" t="str">
            <v>推广订单扣款</v>
          </cell>
        </row>
        <row r="4228">
          <cell r="H4228" t="str">
            <v>首南店</v>
          </cell>
          <cell r="I4228">
            <v>46048</v>
          </cell>
          <cell r="J4228">
            <v>-142.56</v>
          </cell>
        </row>
        <row r="4229">
          <cell r="C4229" t="str">
            <v>推广订单扣款</v>
          </cell>
        </row>
        <row r="4229">
          <cell r="H4229" t="str">
            <v>余杭店</v>
          </cell>
          <cell r="I4229">
            <v>46048</v>
          </cell>
          <cell r="J4229">
            <v>-119.55</v>
          </cell>
        </row>
        <row r="4230">
          <cell r="C4230" t="str">
            <v>推广账户自动充值</v>
          </cell>
        </row>
        <row r="4230">
          <cell r="H4230" t="str">
            <v>余杭店</v>
          </cell>
          <cell r="I4230">
            <v>46048</v>
          </cell>
          <cell r="J4230">
            <v>200</v>
          </cell>
        </row>
        <row r="4231">
          <cell r="C4231" t="str">
            <v>推广订单扣款</v>
          </cell>
        </row>
        <row r="4231">
          <cell r="H4231" t="str">
            <v>东海店</v>
          </cell>
          <cell r="I4231">
            <v>46048</v>
          </cell>
          <cell r="J4231">
            <v>-97.77</v>
          </cell>
        </row>
        <row r="4232">
          <cell r="C4232" t="str">
            <v>推广订单扣款</v>
          </cell>
        </row>
        <row r="4232">
          <cell r="H4232" t="str">
            <v>文灶店</v>
          </cell>
          <cell r="I4232">
            <v>46048</v>
          </cell>
          <cell r="J4232">
            <v>-181.92</v>
          </cell>
        </row>
        <row r="4233">
          <cell r="C4233" t="str">
            <v>推广订单扣款</v>
          </cell>
        </row>
        <row r="4233">
          <cell r="H4233" t="str">
            <v>滨江店</v>
          </cell>
          <cell r="I4233">
            <v>46048</v>
          </cell>
          <cell r="J4233">
            <v>-200</v>
          </cell>
        </row>
        <row r="4234">
          <cell r="C4234" t="str">
            <v>推广订单扣款</v>
          </cell>
        </row>
        <row r="4234">
          <cell r="H4234" t="str">
            <v>下沙店</v>
          </cell>
          <cell r="I4234">
            <v>46048</v>
          </cell>
          <cell r="J4234">
            <v>-21.69</v>
          </cell>
        </row>
        <row r="4235">
          <cell r="C4235" t="str">
            <v>推广订单扣款</v>
          </cell>
        </row>
        <row r="4235">
          <cell r="H4235" t="str">
            <v>华信店</v>
          </cell>
          <cell r="I4235">
            <v>46048</v>
          </cell>
          <cell r="J4235">
            <v>-200</v>
          </cell>
        </row>
        <row r="4236">
          <cell r="C4236" t="str">
            <v>推广订单扣款</v>
          </cell>
        </row>
        <row r="4236">
          <cell r="H4236" t="str">
            <v>槐荫店</v>
          </cell>
          <cell r="I4236">
            <v>46048</v>
          </cell>
          <cell r="J4236">
            <v>-200</v>
          </cell>
        </row>
        <row r="4237">
          <cell r="C4237" t="str">
            <v>推广订单扣款</v>
          </cell>
        </row>
        <row r="4237">
          <cell r="H4237" t="str">
            <v>华信店</v>
          </cell>
          <cell r="I4237">
            <v>46049</v>
          </cell>
          <cell r="J4237">
            <v>-200</v>
          </cell>
        </row>
        <row r="4238">
          <cell r="C4238" t="str">
            <v>推广订单扣款</v>
          </cell>
        </row>
        <row r="4238">
          <cell r="H4238" t="str">
            <v>槐荫店</v>
          </cell>
          <cell r="I4238">
            <v>46049</v>
          </cell>
          <cell r="J4238">
            <v>-200</v>
          </cell>
        </row>
        <row r="4239">
          <cell r="C4239" t="str">
            <v>推广账户自动充值</v>
          </cell>
        </row>
        <row r="4239">
          <cell r="H4239" t="str">
            <v>湖里店</v>
          </cell>
          <cell r="I4239">
            <v>46049</v>
          </cell>
          <cell r="J4239">
            <v>200</v>
          </cell>
        </row>
        <row r="4240">
          <cell r="C4240" t="str">
            <v>推广订单扣款</v>
          </cell>
        </row>
        <row r="4240">
          <cell r="H4240" t="str">
            <v>湖里店</v>
          </cell>
          <cell r="I4240">
            <v>46049</v>
          </cell>
          <cell r="J4240">
            <v>-142.33</v>
          </cell>
        </row>
        <row r="4241">
          <cell r="C4241" t="str">
            <v>推广订单扣款</v>
          </cell>
        </row>
        <row r="4241">
          <cell r="H4241" t="str">
            <v>东新店</v>
          </cell>
          <cell r="I4241">
            <v>46049</v>
          </cell>
          <cell r="J4241">
            <v>-200</v>
          </cell>
        </row>
        <row r="4242">
          <cell r="C4242" t="str">
            <v>推广订单扣款</v>
          </cell>
        </row>
        <row r="4242">
          <cell r="H4242" t="str">
            <v>启点店</v>
          </cell>
          <cell r="I4242">
            <v>46049</v>
          </cell>
          <cell r="J4242">
            <v>-331.43</v>
          </cell>
        </row>
        <row r="4243">
          <cell r="C4243" t="str">
            <v>推广账户自动充值</v>
          </cell>
        </row>
        <row r="4243">
          <cell r="H4243" t="str">
            <v>启点店</v>
          </cell>
          <cell r="I4243">
            <v>46049</v>
          </cell>
          <cell r="J4243">
            <v>200</v>
          </cell>
        </row>
        <row r="4244">
          <cell r="C4244" t="str">
            <v>推广账户自动充值</v>
          </cell>
        </row>
        <row r="4244">
          <cell r="H4244" t="str">
            <v>高新店</v>
          </cell>
          <cell r="I4244">
            <v>46049</v>
          </cell>
          <cell r="J4244">
            <v>200</v>
          </cell>
        </row>
        <row r="4245">
          <cell r="C4245" t="str">
            <v>推广订单扣款</v>
          </cell>
        </row>
        <row r="4245">
          <cell r="H4245" t="str">
            <v>高新店</v>
          </cell>
          <cell r="I4245">
            <v>46049</v>
          </cell>
          <cell r="J4245">
            <v>-249.94</v>
          </cell>
        </row>
        <row r="4246">
          <cell r="C4246" t="str">
            <v>推广订单扣款</v>
          </cell>
        </row>
        <row r="4246">
          <cell r="H4246" t="str">
            <v>成华店</v>
          </cell>
          <cell r="I4246">
            <v>46049</v>
          </cell>
          <cell r="J4246">
            <v>-123.38</v>
          </cell>
        </row>
        <row r="4247">
          <cell r="C4247" t="str">
            <v>推广订单扣款</v>
          </cell>
        </row>
        <row r="4247">
          <cell r="H4247" t="str">
            <v>金牛店</v>
          </cell>
          <cell r="I4247">
            <v>46049</v>
          </cell>
          <cell r="J4247">
            <v>-149.91</v>
          </cell>
        </row>
        <row r="4248">
          <cell r="C4248" t="str">
            <v>推广订单扣款</v>
          </cell>
        </row>
        <row r="4248">
          <cell r="H4248" t="str">
            <v>西山店</v>
          </cell>
          <cell r="I4248">
            <v>46049</v>
          </cell>
          <cell r="J4248">
            <v>-208.96</v>
          </cell>
        </row>
        <row r="4249">
          <cell r="C4249" t="str">
            <v>推广账户自动充值</v>
          </cell>
        </row>
        <row r="4249">
          <cell r="H4249" t="str">
            <v>沙坪坝店</v>
          </cell>
          <cell r="I4249">
            <v>46049</v>
          </cell>
          <cell r="J4249">
            <v>200</v>
          </cell>
        </row>
        <row r="4250">
          <cell r="C4250" t="str">
            <v>推广订单扣款</v>
          </cell>
        </row>
        <row r="4250">
          <cell r="H4250" t="str">
            <v>沙坪坝店</v>
          </cell>
          <cell r="I4250">
            <v>46049</v>
          </cell>
          <cell r="J4250">
            <v>-162.4</v>
          </cell>
        </row>
        <row r="4251">
          <cell r="C4251" t="str">
            <v>推广订单扣款</v>
          </cell>
        </row>
        <row r="4251">
          <cell r="H4251" t="str">
            <v>凤城二路店</v>
          </cell>
          <cell r="I4251">
            <v>46049</v>
          </cell>
          <cell r="J4251">
            <v>-250</v>
          </cell>
        </row>
        <row r="4252">
          <cell r="C4252" t="str">
            <v>推广订单扣款</v>
          </cell>
        </row>
        <row r="4252">
          <cell r="H4252" t="str">
            <v>大坪店</v>
          </cell>
          <cell r="I4252">
            <v>46049</v>
          </cell>
          <cell r="J4252">
            <v>-200</v>
          </cell>
        </row>
        <row r="4253">
          <cell r="C4253" t="str">
            <v>推广订单扣款</v>
          </cell>
        </row>
        <row r="4253">
          <cell r="H4253" t="str">
            <v>五华店</v>
          </cell>
          <cell r="I4253">
            <v>46049</v>
          </cell>
          <cell r="J4253">
            <v>-215.1</v>
          </cell>
        </row>
        <row r="4254">
          <cell r="C4254" t="str">
            <v>推广账户自动充值</v>
          </cell>
        </row>
        <row r="4254">
          <cell r="H4254" t="str">
            <v>官渡店</v>
          </cell>
          <cell r="I4254">
            <v>46049</v>
          </cell>
          <cell r="J4254">
            <v>200</v>
          </cell>
        </row>
        <row r="4255">
          <cell r="C4255" t="str">
            <v>推广订单扣款</v>
          </cell>
        </row>
        <row r="4255">
          <cell r="H4255" t="str">
            <v>官渡店</v>
          </cell>
          <cell r="I4255">
            <v>46049</v>
          </cell>
          <cell r="J4255">
            <v>-252.67</v>
          </cell>
        </row>
        <row r="4256">
          <cell r="C4256" t="str">
            <v>推广订单扣款</v>
          </cell>
        </row>
        <row r="4256">
          <cell r="H4256" t="str">
            <v>百捷店</v>
          </cell>
          <cell r="I4256">
            <v>46049</v>
          </cell>
          <cell r="J4256">
            <v>-255.57</v>
          </cell>
        </row>
        <row r="4257">
          <cell r="C4257" t="str">
            <v>推广账户自动充值</v>
          </cell>
        </row>
        <row r="4257">
          <cell r="H4257" t="str">
            <v>济南店</v>
          </cell>
          <cell r="I4257">
            <v>46049</v>
          </cell>
          <cell r="J4257">
            <v>200</v>
          </cell>
        </row>
        <row r="4258">
          <cell r="C4258" t="str">
            <v>推广订单扣款</v>
          </cell>
        </row>
        <row r="4258">
          <cell r="H4258" t="str">
            <v>济南店</v>
          </cell>
          <cell r="I4258">
            <v>46049</v>
          </cell>
          <cell r="J4258">
            <v>-250</v>
          </cell>
        </row>
        <row r="4259">
          <cell r="C4259" t="str">
            <v>推广订单扣款</v>
          </cell>
        </row>
        <row r="4259">
          <cell r="H4259" t="str">
            <v>观音桥店</v>
          </cell>
          <cell r="I4259">
            <v>46049</v>
          </cell>
          <cell r="J4259">
            <v>-277.19</v>
          </cell>
        </row>
        <row r="4260">
          <cell r="C4260" t="str">
            <v>推广订单扣款</v>
          </cell>
        </row>
        <row r="4260">
          <cell r="H4260" t="str">
            <v>长沙店</v>
          </cell>
          <cell r="I4260">
            <v>46049</v>
          </cell>
          <cell r="J4260">
            <v>-143.05</v>
          </cell>
        </row>
        <row r="4261">
          <cell r="C4261" t="str">
            <v>推广订单扣款</v>
          </cell>
        </row>
        <row r="4261">
          <cell r="H4261" t="str">
            <v>洛江店</v>
          </cell>
          <cell r="I4261">
            <v>46049</v>
          </cell>
          <cell r="J4261">
            <v>-78.15</v>
          </cell>
        </row>
        <row r="4262">
          <cell r="C4262" t="str">
            <v>推广账户自动充值</v>
          </cell>
        </row>
        <row r="4262">
          <cell r="H4262" t="str">
            <v>五路口店</v>
          </cell>
          <cell r="I4262">
            <v>46049</v>
          </cell>
          <cell r="J4262">
            <v>200</v>
          </cell>
        </row>
        <row r="4263">
          <cell r="C4263" t="str">
            <v>推广订单扣款</v>
          </cell>
        </row>
        <row r="4263">
          <cell r="H4263" t="str">
            <v>五路口店</v>
          </cell>
          <cell r="I4263">
            <v>46049</v>
          </cell>
          <cell r="J4263">
            <v>-300</v>
          </cell>
        </row>
        <row r="4264">
          <cell r="C4264" t="str">
            <v>推广账户自动充值</v>
          </cell>
        </row>
        <row r="4264">
          <cell r="H4264" t="str">
            <v>青羊店</v>
          </cell>
          <cell r="I4264">
            <v>46049</v>
          </cell>
          <cell r="J4264">
            <v>200</v>
          </cell>
        </row>
        <row r="4265">
          <cell r="C4265" t="str">
            <v>推广订单扣款</v>
          </cell>
        </row>
        <row r="4265">
          <cell r="H4265" t="str">
            <v>青羊店</v>
          </cell>
          <cell r="I4265">
            <v>46049</v>
          </cell>
          <cell r="J4265">
            <v>-96.79</v>
          </cell>
        </row>
        <row r="4266">
          <cell r="C4266" t="str">
            <v>推广订单扣款</v>
          </cell>
        </row>
        <row r="4266">
          <cell r="H4266" t="str">
            <v>武侯店</v>
          </cell>
          <cell r="I4266">
            <v>46049</v>
          </cell>
          <cell r="J4266">
            <v>-71.28</v>
          </cell>
        </row>
        <row r="4267">
          <cell r="C4267" t="str">
            <v>推广订单扣款</v>
          </cell>
        </row>
        <row r="4267">
          <cell r="H4267" t="str">
            <v>鼓楼店</v>
          </cell>
          <cell r="I4267">
            <v>46049</v>
          </cell>
          <cell r="J4267">
            <v>-201.06</v>
          </cell>
        </row>
        <row r="4268">
          <cell r="C4268" t="str">
            <v>推广订单扣款</v>
          </cell>
        </row>
        <row r="4268">
          <cell r="H4268" t="str">
            <v>黄雁村店</v>
          </cell>
          <cell r="I4268">
            <v>46049</v>
          </cell>
          <cell r="J4268">
            <v>-230</v>
          </cell>
        </row>
        <row r="4269">
          <cell r="C4269" t="str">
            <v>推广账户自动充值</v>
          </cell>
        </row>
        <row r="4269">
          <cell r="H4269" t="str">
            <v>西湖店</v>
          </cell>
          <cell r="I4269">
            <v>46049</v>
          </cell>
          <cell r="J4269">
            <v>200</v>
          </cell>
        </row>
        <row r="4270">
          <cell r="C4270" t="str">
            <v>推广订单扣款</v>
          </cell>
        </row>
        <row r="4270">
          <cell r="H4270" t="str">
            <v>西湖店</v>
          </cell>
          <cell r="I4270">
            <v>46049</v>
          </cell>
          <cell r="J4270">
            <v>-131.55</v>
          </cell>
        </row>
        <row r="4271">
          <cell r="C4271" t="str">
            <v>推广订单扣款</v>
          </cell>
        </row>
        <row r="4271">
          <cell r="H4271" t="str">
            <v>百丈店</v>
          </cell>
          <cell r="I4271">
            <v>46049</v>
          </cell>
          <cell r="J4271">
            <v>-300</v>
          </cell>
        </row>
        <row r="4272">
          <cell r="C4272" t="str">
            <v>推广订单扣款</v>
          </cell>
        </row>
        <row r="4272">
          <cell r="H4272" t="str">
            <v>文昌店</v>
          </cell>
          <cell r="I4272">
            <v>46049</v>
          </cell>
          <cell r="J4272">
            <v>-171.35</v>
          </cell>
        </row>
        <row r="4273">
          <cell r="C4273" t="str">
            <v>推广账户自动充值</v>
          </cell>
        </row>
        <row r="4273">
          <cell r="H4273" t="str">
            <v>文昌店</v>
          </cell>
          <cell r="I4273">
            <v>46049</v>
          </cell>
          <cell r="J4273">
            <v>200</v>
          </cell>
        </row>
        <row r="4274">
          <cell r="C4274" t="str">
            <v>推广账户自动充值</v>
          </cell>
        </row>
        <row r="4274">
          <cell r="H4274" t="str">
            <v>观桥店</v>
          </cell>
          <cell r="I4274">
            <v>46049</v>
          </cell>
          <cell r="J4274">
            <v>200</v>
          </cell>
        </row>
        <row r="4275">
          <cell r="C4275" t="str">
            <v>推广订单扣款</v>
          </cell>
        </row>
        <row r="4275">
          <cell r="H4275" t="str">
            <v>观桥店</v>
          </cell>
          <cell r="I4275">
            <v>46049</v>
          </cell>
          <cell r="J4275">
            <v>-115.17</v>
          </cell>
        </row>
        <row r="4276">
          <cell r="C4276" t="str">
            <v>推广订单扣款</v>
          </cell>
        </row>
        <row r="4276">
          <cell r="H4276" t="str">
            <v>海口店</v>
          </cell>
          <cell r="I4276">
            <v>46049</v>
          </cell>
          <cell r="J4276">
            <v>-250</v>
          </cell>
        </row>
        <row r="4277">
          <cell r="C4277" t="str">
            <v>推广订单扣款</v>
          </cell>
        </row>
        <row r="4277">
          <cell r="H4277" t="str">
            <v>南安店</v>
          </cell>
          <cell r="I4277">
            <v>46049</v>
          </cell>
          <cell r="J4277">
            <v>-18.57</v>
          </cell>
        </row>
        <row r="4278">
          <cell r="C4278" t="str">
            <v>推广订单扣款</v>
          </cell>
        </row>
        <row r="4278">
          <cell r="H4278" t="str">
            <v>诚毅店</v>
          </cell>
          <cell r="I4278">
            <v>46049</v>
          </cell>
          <cell r="J4278">
            <v>-200</v>
          </cell>
        </row>
        <row r="4279">
          <cell r="C4279" t="str">
            <v>推广订单扣款</v>
          </cell>
        </row>
        <row r="4279">
          <cell r="H4279" t="str">
            <v>首山店</v>
          </cell>
          <cell r="I4279">
            <v>46049</v>
          </cell>
          <cell r="J4279">
            <v>-226.57</v>
          </cell>
        </row>
        <row r="4280">
          <cell r="C4280" t="str">
            <v>推广账户自动充值</v>
          </cell>
        </row>
        <row r="4280">
          <cell r="H4280" t="str">
            <v>首南店</v>
          </cell>
          <cell r="I4280">
            <v>46049</v>
          </cell>
          <cell r="J4280">
            <v>200</v>
          </cell>
        </row>
        <row r="4281">
          <cell r="C4281" t="str">
            <v>推广订单扣款</v>
          </cell>
        </row>
        <row r="4281">
          <cell r="H4281" t="str">
            <v>首南店</v>
          </cell>
          <cell r="I4281">
            <v>46049</v>
          </cell>
          <cell r="J4281">
            <v>-250</v>
          </cell>
        </row>
        <row r="4282">
          <cell r="C4282" t="str">
            <v>推广订单扣款</v>
          </cell>
        </row>
        <row r="4282">
          <cell r="H4282" t="str">
            <v>余杭店</v>
          </cell>
          <cell r="I4282">
            <v>46049</v>
          </cell>
          <cell r="J4282">
            <v>-199.34</v>
          </cell>
        </row>
        <row r="4283">
          <cell r="C4283" t="str">
            <v>推广账户自动充值</v>
          </cell>
        </row>
        <row r="4283">
          <cell r="H4283" t="str">
            <v>余杭店</v>
          </cell>
          <cell r="I4283">
            <v>46049</v>
          </cell>
          <cell r="J4283">
            <v>200</v>
          </cell>
        </row>
        <row r="4284">
          <cell r="C4284" t="str">
            <v>推广账户自动充值</v>
          </cell>
        </row>
        <row r="4284">
          <cell r="H4284" t="str">
            <v>东海店</v>
          </cell>
          <cell r="I4284">
            <v>46049</v>
          </cell>
          <cell r="J4284">
            <v>200</v>
          </cell>
        </row>
        <row r="4285">
          <cell r="C4285" t="str">
            <v>推广订单扣款</v>
          </cell>
        </row>
        <row r="4285">
          <cell r="H4285" t="str">
            <v>东海店</v>
          </cell>
          <cell r="I4285">
            <v>46049</v>
          </cell>
          <cell r="J4285">
            <v>-115.32</v>
          </cell>
        </row>
        <row r="4286">
          <cell r="C4286" t="str">
            <v>推广订单扣款</v>
          </cell>
        </row>
        <row r="4286">
          <cell r="H4286" t="str">
            <v>文灶店</v>
          </cell>
          <cell r="I4286">
            <v>46049</v>
          </cell>
          <cell r="J4286">
            <v>-206.77</v>
          </cell>
        </row>
        <row r="4287">
          <cell r="C4287" t="str">
            <v>推广订单扣款</v>
          </cell>
        </row>
        <row r="4287">
          <cell r="H4287" t="str">
            <v>滨江店</v>
          </cell>
          <cell r="I4287">
            <v>46049</v>
          </cell>
          <cell r="J4287">
            <v>-200</v>
          </cell>
        </row>
        <row r="4288">
          <cell r="C4288" t="str">
            <v>推广订单扣款</v>
          </cell>
        </row>
        <row r="4288">
          <cell r="H4288" t="str">
            <v>湖里店</v>
          </cell>
          <cell r="I4288">
            <v>46050</v>
          </cell>
          <cell r="J4288">
            <v>-171.58</v>
          </cell>
        </row>
        <row r="4289">
          <cell r="C4289" t="str">
            <v>推广订单扣款</v>
          </cell>
        </row>
        <row r="4289">
          <cell r="H4289" t="str">
            <v>东新店</v>
          </cell>
          <cell r="I4289">
            <v>46050</v>
          </cell>
          <cell r="J4289">
            <v>-200</v>
          </cell>
        </row>
        <row r="4290">
          <cell r="C4290" t="str">
            <v>推广订单扣款</v>
          </cell>
        </row>
        <row r="4290">
          <cell r="H4290" t="str">
            <v>启点店</v>
          </cell>
          <cell r="I4290">
            <v>46050</v>
          </cell>
          <cell r="J4290">
            <v>-333.12</v>
          </cell>
        </row>
        <row r="4291">
          <cell r="C4291" t="str">
            <v>推广订单扣款</v>
          </cell>
        </row>
        <row r="4291">
          <cell r="H4291" t="str">
            <v>高新店</v>
          </cell>
          <cell r="I4291">
            <v>46050</v>
          </cell>
          <cell r="J4291">
            <v>-200.49</v>
          </cell>
        </row>
        <row r="4292">
          <cell r="C4292" t="str">
            <v>推广订单扣款</v>
          </cell>
        </row>
        <row r="4292">
          <cell r="H4292" t="str">
            <v>成华店</v>
          </cell>
          <cell r="I4292">
            <v>46050</v>
          </cell>
          <cell r="J4292">
            <v>-121.48</v>
          </cell>
        </row>
        <row r="4293">
          <cell r="C4293" t="str">
            <v>推广订单扣款</v>
          </cell>
        </row>
        <row r="4293">
          <cell r="H4293" t="str">
            <v>金牛店</v>
          </cell>
          <cell r="I4293">
            <v>46050</v>
          </cell>
          <cell r="J4293">
            <v>-160.03</v>
          </cell>
        </row>
        <row r="4294">
          <cell r="C4294" t="str">
            <v>推广账户自动充值</v>
          </cell>
        </row>
        <row r="4294">
          <cell r="H4294" t="str">
            <v>西山店</v>
          </cell>
          <cell r="I4294">
            <v>46050</v>
          </cell>
          <cell r="J4294">
            <v>200</v>
          </cell>
        </row>
        <row r="4295">
          <cell r="C4295" t="str">
            <v>推广订单扣款</v>
          </cell>
        </row>
        <row r="4295">
          <cell r="H4295" t="str">
            <v>西山店</v>
          </cell>
          <cell r="I4295">
            <v>46050</v>
          </cell>
          <cell r="J4295">
            <v>-235.54</v>
          </cell>
        </row>
        <row r="4296">
          <cell r="C4296" t="str">
            <v>推广订单扣款</v>
          </cell>
        </row>
        <row r="4296">
          <cell r="H4296" t="str">
            <v>沙坪坝店</v>
          </cell>
          <cell r="I4296">
            <v>46050</v>
          </cell>
          <cell r="J4296">
            <v>-153.58</v>
          </cell>
        </row>
        <row r="4297">
          <cell r="C4297" t="str">
            <v>推广订单扣款</v>
          </cell>
        </row>
        <row r="4297">
          <cell r="H4297" t="str">
            <v>凤城二路店</v>
          </cell>
          <cell r="I4297">
            <v>46050</v>
          </cell>
          <cell r="J4297">
            <v>-250</v>
          </cell>
        </row>
        <row r="4298">
          <cell r="C4298" t="str">
            <v>推广订单扣款</v>
          </cell>
        </row>
        <row r="4298">
          <cell r="H4298" t="str">
            <v>大坪店</v>
          </cell>
          <cell r="I4298">
            <v>46050</v>
          </cell>
          <cell r="J4298">
            <v>-200</v>
          </cell>
        </row>
        <row r="4299">
          <cell r="C4299" t="str">
            <v>推广账户自动充值</v>
          </cell>
        </row>
        <row r="4299">
          <cell r="H4299" t="str">
            <v>五华店</v>
          </cell>
          <cell r="I4299">
            <v>46050</v>
          </cell>
          <cell r="J4299">
            <v>200</v>
          </cell>
        </row>
        <row r="4300">
          <cell r="C4300" t="str">
            <v>推广订单扣款</v>
          </cell>
        </row>
        <row r="4300">
          <cell r="H4300" t="str">
            <v>五华店</v>
          </cell>
          <cell r="I4300">
            <v>46050</v>
          </cell>
          <cell r="J4300">
            <v>-182.02</v>
          </cell>
        </row>
        <row r="4301">
          <cell r="C4301" t="str">
            <v>推广订单扣款</v>
          </cell>
        </row>
        <row r="4301">
          <cell r="H4301" t="str">
            <v>官渡店</v>
          </cell>
          <cell r="I4301">
            <v>46050</v>
          </cell>
          <cell r="J4301">
            <v>-269.02</v>
          </cell>
        </row>
        <row r="4302">
          <cell r="C4302" t="str">
            <v>推广订单扣款</v>
          </cell>
        </row>
        <row r="4302">
          <cell r="H4302" t="str">
            <v>百捷店</v>
          </cell>
          <cell r="I4302">
            <v>46050</v>
          </cell>
          <cell r="J4302">
            <v>-212.38</v>
          </cell>
        </row>
        <row r="4303">
          <cell r="C4303" t="str">
            <v>推广订单扣款</v>
          </cell>
        </row>
        <row r="4303">
          <cell r="H4303" t="str">
            <v>济南店</v>
          </cell>
          <cell r="I4303">
            <v>46050</v>
          </cell>
          <cell r="J4303">
            <v>-250</v>
          </cell>
        </row>
        <row r="4304">
          <cell r="C4304" t="str">
            <v>推广订单扣款</v>
          </cell>
        </row>
        <row r="4304">
          <cell r="H4304" t="str">
            <v>观音桥店</v>
          </cell>
          <cell r="I4304">
            <v>46050</v>
          </cell>
          <cell r="J4304">
            <v>-280</v>
          </cell>
        </row>
        <row r="4305">
          <cell r="C4305" t="str">
            <v>推广账户自动充值</v>
          </cell>
        </row>
        <row r="4305">
          <cell r="H4305" t="str">
            <v>长沙店</v>
          </cell>
          <cell r="I4305">
            <v>46050</v>
          </cell>
          <cell r="J4305">
            <v>200</v>
          </cell>
        </row>
        <row r="4306">
          <cell r="C4306" t="str">
            <v>推广订单扣款</v>
          </cell>
        </row>
        <row r="4306">
          <cell r="H4306" t="str">
            <v>长沙店</v>
          </cell>
          <cell r="I4306">
            <v>46050</v>
          </cell>
          <cell r="J4306">
            <v>-146.87</v>
          </cell>
        </row>
        <row r="4307">
          <cell r="C4307" t="str">
            <v>推广订单扣款</v>
          </cell>
        </row>
        <row r="4307">
          <cell r="H4307" t="str">
            <v>洛江店</v>
          </cell>
          <cell r="I4307">
            <v>46050</v>
          </cell>
          <cell r="J4307">
            <v>-64.88</v>
          </cell>
        </row>
        <row r="4308">
          <cell r="C4308" t="str">
            <v>推广订单扣款</v>
          </cell>
        </row>
        <row r="4308">
          <cell r="H4308" t="str">
            <v>五路口店</v>
          </cell>
          <cell r="I4308">
            <v>46050</v>
          </cell>
          <cell r="J4308">
            <v>-300</v>
          </cell>
        </row>
        <row r="4309">
          <cell r="C4309" t="str">
            <v>推广订单扣款</v>
          </cell>
        </row>
        <row r="4309">
          <cell r="H4309" t="str">
            <v>青羊店</v>
          </cell>
          <cell r="I4309">
            <v>46050</v>
          </cell>
          <cell r="J4309">
            <v>-96.79</v>
          </cell>
        </row>
        <row r="4310">
          <cell r="C4310" t="str">
            <v>推广订单扣款</v>
          </cell>
        </row>
        <row r="4310">
          <cell r="H4310" t="str">
            <v>武侯店</v>
          </cell>
          <cell r="I4310">
            <v>46050</v>
          </cell>
          <cell r="J4310">
            <v>-90.76</v>
          </cell>
        </row>
        <row r="4311">
          <cell r="C4311" t="str">
            <v>推广订单扣款</v>
          </cell>
        </row>
        <row r="4311">
          <cell r="H4311" t="str">
            <v>鼓楼店</v>
          </cell>
          <cell r="I4311">
            <v>46050</v>
          </cell>
          <cell r="J4311">
            <v>-242.83</v>
          </cell>
        </row>
        <row r="4312">
          <cell r="C4312" t="str">
            <v>推广订单扣款</v>
          </cell>
        </row>
        <row r="4312">
          <cell r="H4312" t="str">
            <v>黄雁村店</v>
          </cell>
          <cell r="I4312">
            <v>46050</v>
          </cell>
          <cell r="J4312">
            <v>-230</v>
          </cell>
        </row>
        <row r="4313">
          <cell r="C4313" t="str">
            <v>推广订单扣款</v>
          </cell>
        </row>
        <row r="4313">
          <cell r="H4313" t="str">
            <v>西湖店</v>
          </cell>
          <cell r="I4313">
            <v>46050</v>
          </cell>
          <cell r="J4313">
            <v>-107.82</v>
          </cell>
        </row>
        <row r="4314">
          <cell r="C4314" t="str">
            <v>推广订单扣款</v>
          </cell>
        </row>
        <row r="4314">
          <cell r="H4314" t="str">
            <v>百丈店</v>
          </cell>
          <cell r="I4314">
            <v>46050</v>
          </cell>
          <cell r="J4314">
            <v>-273.15</v>
          </cell>
        </row>
        <row r="4315">
          <cell r="C4315" t="str">
            <v>推广订单扣款</v>
          </cell>
        </row>
        <row r="4315">
          <cell r="H4315" t="str">
            <v>文昌店</v>
          </cell>
          <cell r="I4315">
            <v>46050</v>
          </cell>
          <cell r="J4315">
            <v>-213.99</v>
          </cell>
        </row>
        <row r="4316">
          <cell r="C4316" t="str">
            <v>推广订单扣款</v>
          </cell>
        </row>
        <row r="4316">
          <cell r="H4316" t="str">
            <v>观桥店</v>
          </cell>
          <cell r="I4316">
            <v>46050</v>
          </cell>
          <cell r="J4316">
            <v>-200</v>
          </cell>
        </row>
        <row r="4317">
          <cell r="C4317" t="str">
            <v>推广订单扣款</v>
          </cell>
        </row>
        <row r="4317">
          <cell r="H4317" t="str">
            <v>海口店</v>
          </cell>
          <cell r="I4317">
            <v>46050</v>
          </cell>
          <cell r="J4317">
            <v>-250</v>
          </cell>
        </row>
        <row r="4318">
          <cell r="C4318" t="str">
            <v>推广订单扣款</v>
          </cell>
        </row>
        <row r="4318">
          <cell r="H4318" t="str">
            <v>南安店</v>
          </cell>
          <cell r="I4318">
            <v>46050</v>
          </cell>
          <cell r="J4318">
            <v>-29.01</v>
          </cell>
        </row>
        <row r="4319">
          <cell r="C4319" t="str">
            <v>推广订单扣款</v>
          </cell>
        </row>
        <row r="4319">
          <cell r="H4319" t="str">
            <v>诚毅店</v>
          </cell>
          <cell r="I4319">
            <v>46050</v>
          </cell>
          <cell r="J4319">
            <v>-178.09</v>
          </cell>
        </row>
        <row r="4320">
          <cell r="C4320" t="str">
            <v>推广订单扣款</v>
          </cell>
        </row>
        <row r="4320">
          <cell r="H4320" t="str">
            <v>首山店</v>
          </cell>
          <cell r="I4320">
            <v>46050</v>
          </cell>
          <cell r="J4320">
            <v>-212.4</v>
          </cell>
        </row>
        <row r="4321">
          <cell r="C4321" t="str">
            <v>推广订单扣款</v>
          </cell>
        </row>
        <row r="4321">
          <cell r="H4321" t="str">
            <v>首南店</v>
          </cell>
          <cell r="I4321">
            <v>46050</v>
          </cell>
          <cell r="J4321">
            <v>-185.95</v>
          </cell>
        </row>
        <row r="4322">
          <cell r="C4322" t="str">
            <v>推广订单扣款</v>
          </cell>
        </row>
        <row r="4322">
          <cell r="H4322" t="str">
            <v>余杭店</v>
          </cell>
          <cell r="I4322">
            <v>46050</v>
          </cell>
          <cell r="J4322">
            <v>-145.19</v>
          </cell>
        </row>
        <row r="4323">
          <cell r="C4323" t="str">
            <v>推广订单扣款</v>
          </cell>
        </row>
        <row r="4323">
          <cell r="H4323" t="str">
            <v>东海店</v>
          </cell>
          <cell r="I4323">
            <v>46050</v>
          </cell>
          <cell r="J4323">
            <v>-103.21</v>
          </cell>
        </row>
        <row r="4324">
          <cell r="C4324" t="str">
            <v>推广订单扣款</v>
          </cell>
        </row>
        <row r="4324">
          <cell r="H4324" t="str">
            <v>文灶店</v>
          </cell>
          <cell r="I4324">
            <v>46050</v>
          </cell>
          <cell r="J4324">
            <v>-172.98</v>
          </cell>
        </row>
        <row r="4325">
          <cell r="C4325" t="str">
            <v>推广订单扣款</v>
          </cell>
        </row>
        <row r="4325">
          <cell r="H4325" t="str">
            <v>滨江店</v>
          </cell>
          <cell r="I4325">
            <v>46050</v>
          </cell>
          <cell r="J4325">
            <v>-200</v>
          </cell>
        </row>
        <row r="4326">
          <cell r="C4326" t="str">
            <v>推广订单扣款</v>
          </cell>
        </row>
        <row r="4326">
          <cell r="H4326" t="str">
            <v>下沙店</v>
          </cell>
          <cell r="I4326">
            <v>46050</v>
          </cell>
          <cell r="J4326">
            <v>-5.43</v>
          </cell>
        </row>
        <row r="4327">
          <cell r="C4327" t="str">
            <v>推广订单扣款</v>
          </cell>
        </row>
        <row r="4327">
          <cell r="H4327" t="str">
            <v>华信店</v>
          </cell>
          <cell r="I4327">
            <v>46050</v>
          </cell>
          <cell r="J4327">
            <v>-200</v>
          </cell>
        </row>
        <row r="4328">
          <cell r="C4328" t="str">
            <v>推广订单扣款</v>
          </cell>
        </row>
        <row r="4328">
          <cell r="H4328" t="str">
            <v>槐荫店</v>
          </cell>
          <cell r="I4328">
            <v>46050</v>
          </cell>
          <cell r="J4328">
            <v>-200</v>
          </cell>
        </row>
        <row r="4329">
          <cell r="C4329" t="str">
            <v>推广订单扣款</v>
          </cell>
        </row>
        <row r="4329">
          <cell r="H4329" t="str">
            <v>华信店</v>
          </cell>
          <cell r="I4329">
            <v>46051</v>
          </cell>
          <cell r="J4329">
            <v>-200</v>
          </cell>
        </row>
        <row r="4330">
          <cell r="C4330" t="str">
            <v>推广订单扣款</v>
          </cell>
        </row>
        <row r="4330">
          <cell r="H4330" t="str">
            <v>槐荫店</v>
          </cell>
          <cell r="I4330">
            <v>46051</v>
          </cell>
          <cell r="J4330">
            <v>-200</v>
          </cell>
        </row>
        <row r="4331">
          <cell r="C4331" t="str">
            <v>推广订单扣款</v>
          </cell>
        </row>
        <row r="4331">
          <cell r="H4331" t="str">
            <v>湖里店</v>
          </cell>
          <cell r="I4331">
            <v>46051</v>
          </cell>
          <cell r="J4331">
            <v>-158.33</v>
          </cell>
        </row>
        <row r="4332">
          <cell r="C4332" t="str">
            <v>推广订单扣款</v>
          </cell>
        </row>
        <row r="4332">
          <cell r="H4332" t="str">
            <v>东新店</v>
          </cell>
          <cell r="I4332">
            <v>46051</v>
          </cell>
          <cell r="J4332">
            <v>-190.45</v>
          </cell>
        </row>
        <row r="4333">
          <cell r="C4333" t="str">
            <v>推广订单扣款</v>
          </cell>
        </row>
        <row r="4333">
          <cell r="H4333" t="str">
            <v>启点店</v>
          </cell>
          <cell r="I4333">
            <v>46051</v>
          </cell>
          <cell r="J4333">
            <v>-322.47</v>
          </cell>
        </row>
        <row r="4334">
          <cell r="C4334" t="str">
            <v>推广订单扣款</v>
          </cell>
        </row>
        <row r="4334">
          <cell r="H4334" t="str">
            <v>高新店</v>
          </cell>
          <cell r="I4334">
            <v>46051</v>
          </cell>
          <cell r="J4334">
            <v>-199.51</v>
          </cell>
        </row>
        <row r="4335">
          <cell r="C4335" t="str">
            <v>推广订单扣款</v>
          </cell>
        </row>
        <row r="4335">
          <cell r="H4335" t="str">
            <v>成华店</v>
          </cell>
          <cell r="I4335">
            <v>46051</v>
          </cell>
          <cell r="J4335">
            <v>-145.72</v>
          </cell>
        </row>
        <row r="4336">
          <cell r="C4336" t="str">
            <v>推广订单扣款</v>
          </cell>
        </row>
        <row r="4336">
          <cell r="H4336" t="str">
            <v>金牛店</v>
          </cell>
          <cell r="I4336">
            <v>46051</v>
          </cell>
          <cell r="J4336">
            <v>-151.62</v>
          </cell>
        </row>
        <row r="4337">
          <cell r="C4337" t="str">
            <v>推广账户自动充值</v>
          </cell>
        </row>
        <row r="4337">
          <cell r="H4337" t="str">
            <v>西山店</v>
          </cell>
          <cell r="I4337">
            <v>46051</v>
          </cell>
          <cell r="J4337">
            <v>200</v>
          </cell>
        </row>
        <row r="4338">
          <cell r="C4338" t="str">
            <v>推广订单扣款</v>
          </cell>
        </row>
        <row r="4338">
          <cell r="H4338" t="str">
            <v>西山店</v>
          </cell>
          <cell r="I4338">
            <v>46051</v>
          </cell>
          <cell r="J4338">
            <v>-227.5</v>
          </cell>
        </row>
        <row r="4339">
          <cell r="C4339" t="str">
            <v>推广账户自动充值</v>
          </cell>
        </row>
        <row r="4339">
          <cell r="H4339" t="str">
            <v>沙坪坝店</v>
          </cell>
          <cell r="I4339">
            <v>46051</v>
          </cell>
          <cell r="J4339">
            <v>200</v>
          </cell>
        </row>
        <row r="4340">
          <cell r="C4340" t="str">
            <v>推广订单扣款</v>
          </cell>
        </row>
        <row r="4340">
          <cell r="H4340" t="str">
            <v>沙坪坝店</v>
          </cell>
          <cell r="I4340">
            <v>46051</v>
          </cell>
          <cell r="J4340">
            <v>-72.95</v>
          </cell>
        </row>
        <row r="4341">
          <cell r="C4341" t="str">
            <v>推广订单扣款</v>
          </cell>
        </row>
        <row r="4341">
          <cell r="H4341" t="str">
            <v>凤城二路店</v>
          </cell>
          <cell r="I4341">
            <v>46051</v>
          </cell>
          <cell r="J4341">
            <v>-250</v>
          </cell>
        </row>
        <row r="4342">
          <cell r="C4342" t="str">
            <v>推广订单扣款</v>
          </cell>
        </row>
        <row r="4342">
          <cell r="H4342" t="str">
            <v>大坪店</v>
          </cell>
          <cell r="I4342">
            <v>46051</v>
          </cell>
          <cell r="J4342">
            <v>-200</v>
          </cell>
        </row>
        <row r="4343">
          <cell r="C4343" t="str">
            <v>推广订单扣款</v>
          </cell>
        </row>
        <row r="4343">
          <cell r="H4343" t="str">
            <v>五华店</v>
          </cell>
          <cell r="I4343">
            <v>46051</v>
          </cell>
          <cell r="J4343">
            <v>-163.91</v>
          </cell>
        </row>
        <row r="4344">
          <cell r="C4344" t="str">
            <v>推广订单扣款</v>
          </cell>
        </row>
        <row r="4344">
          <cell r="H4344" t="str">
            <v>官渡店</v>
          </cell>
          <cell r="I4344">
            <v>46051</v>
          </cell>
          <cell r="J4344">
            <v>-299.16</v>
          </cell>
        </row>
        <row r="4345">
          <cell r="C4345" t="str">
            <v>推广订单扣款</v>
          </cell>
        </row>
        <row r="4345">
          <cell r="H4345" t="str">
            <v>百捷店</v>
          </cell>
          <cell r="I4345">
            <v>46051</v>
          </cell>
          <cell r="J4345">
            <v>-203.22</v>
          </cell>
        </row>
        <row r="4346">
          <cell r="C4346" t="str">
            <v>推广订单扣款</v>
          </cell>
        </row>
        <row r="4346">
          <cell r="H4346" t="str">
            <v>济南店</v>
          </cell>
          <cell r="I4346">
            <v>46051</v>
          </cell>
          <cell r="J4346">
            <v>-250</v>
          </cell>
        </row>
        <row r="4347">
          <cell r="C4347" t="str">
            <v>推广账户自动充值</v>
          </cell>
        </row>
        <row r="4347">
          <cell r="H4347" t="str">
            <v>观音桥店</v>
          </cell>
          <cell r="I4347">
            <v>46051</v>
          </cell>
          <cell r="J4347">
            <v>200</v>
          </cell>
        </row>
        <row r="4348">
          <cell r="C4348" t="str">
            <v>推广订单扣款</v>
          </cell>
        </row>
        <row r="4348">
          <cell r="H4348" t="str">
            <v>观音桥店</v>
          </cell>
          <cell r="I4348">
            <v>46051</v>
          </cell>
          <cell r="J4348">
            <v>-280</v>
          </cell>
        </row>
        <row r="4349">
          <cell r="C4349" t="str">
            <v>推广订单扣款</v>
          </cell>
        </row>
        <row r="4349">
          <cell r="H4349" t="str">
            <v>长沙店</v>
          </cell>
          <cell r="I4349">
            <v>46051</v>
          </cell>
          <cell r="J4349">
            <v>-175.16</v>
          </cell>
        </row>
        <row r="4350">
          <cell r="C4350" t="str">
            <v>推广订单扣款</v>
          </cell>
        </row>
        <row r="4350">
          <cell r="H4350" t="str">
            <v>洛江店</v>
          </cell>
          <cell r="I4350">
            <v>46051</v>
          </cell>
          <cell r="J4350">
            <v>-64.64</v>
          </cell>
        </row>
        <row r="4351">
          <cell r="C4351" t="str">
            <v>推广订单扣款</v>
          </cell>
        </row>
        <row r="4351">
          <cell r="H4351" t="str">
            <v>五路口店</v>
          </cell>
          <cell r="I4351">
            <v>46051</v>
          </cell>
          <cell r="J4351">
            <v>-300</v>
          </cell>
        </row>
        <row r="4352">
          <cell r="C4352" t="str">
            <v>推广订单扣款</v>
          </cell>
        </row>
        <row r="4352">
          <cell r="H4352" t="str">
            <v>青羊店</v>
          </cell>
          <cell r="I4352">
            <v>46051</v>
          </cell>
          <cell r="J4352">
            <v>-63.43</v>
          </cell>
        </row>
        <row r="4353">
          <cell r="C4353" t="str">
            <v>推广订单扣款</v>
          </cell>
        </row>
        <row r="4353">
          <cell r="H4353" t="str">
            <v>武侯店</v>
          </cell>
          <cell r="I4353">
            <v>46051</v>
          </cell>
          <cell r="J4353">
            <v>-96.31</v>
          </cell>
        </row>
        <row r="4354">
          <cell r="C4354" t="str">
            <v>推广订单扣款</v>
          </cell>
        </row>
        <row r="4354">
          <cell r="H4354" t="str">
            <v>鼓楼店</v>
          </cell>
          <cell r="I4354">
            <v>46051</v>
          </cell>
          <cell r="J4354">
            <v>-286.23</v>
          </cell>
        </row>
        <row r="4355">
          <cell r="C4355" t="str">
            <v>推广订单扣款</v>
          </cell>
        </row>
        <row r="4355">
          <cell r="H4355" t="str">
            <v>黄雁村店</v>
          </cell>
          <cell r="I4355">
            <v>46051</v>
          </cell>
          <cell r="J4355">
            <v>-230</v>
          </cell>
        </row>
        <row r="4356">
          <cell r="C4356" t="str">
            <v>推广订单扣款</v>
          </cell>
        </row>
        <row r="4356">
          <cell r="H4356" t="str">
            <v>西湖店</v>
          </cell>
          <cell r="I4356">
            <v>46051</v>
          </cell>
          <cell r="J4356">
            <v>-67.59</v>
          </cell>
        </row>
        <row r="4357">
          <cell r="C4357" t="str">
            <v>推广账户自动充值</v>
          </cell>
        </row>
        <row r="4357">
          <cell r="H4357" t="str">
            <v>百丈店</v>
          </cell>
          <cell r="I4357">
            <v>46051</v>
          </cell>
          <cell r="J4357">
            <v>200</v>
          </cell>
        </row>
        <row r="4358">
          <cell r="C4358" t="str">
            <v>推广订单扣款</v>
          </cell>
        </row>
        <row r="4358">
          <cell r="H4358" t="str">
            <v>百丈店</v>
          </cell>
          <cell r="I4358">
            <v>46051</v>
          </cell>
          <cell r="J4358">
            <v>-280.12</v>
          </cell>
        </row>
        <row r="4359">
          <cell r="C4359" t="str">
            <v>推广订单扣款</v>
          </cell>
        </row>
        <row r="4359">
          <cell r="H4359" t="str">
            <v>文昌店</v>
          </cell>
          <cell r="I4359">
            <v>46051</v>
          </cell>
          <cell r="J4359">
            <v>-116.65</v>
          </cell>
        </row>
        <row r="4360">
          <cell r="C4360" t="str">
            <v>推广订单扣款</v>
          </cell>
        </row>
        <row r="4360">
          <cell r="H4360" t="str">
            <v>观桥店</v>
          </cell>
          <cell r="I4360">
            <v>46051</v>
          </cell>
          <cell r="J4360">
            <v>-200</v>
          </cell>
        </row>
        <row r="4361">
          <cell r="C4361" t="str">
            <v>推广订单扣款</v>
          </cell>
        </row>
        <row r="4361">
          <cell r="H4361" t="str">
            <v>海口店</v>
          </cell>
          <cell r="I4361">
            <v>46051</v>
          </cell>
          <cell r="J4361">
            <v>-246.69</v>
          </cell>
        </row>
        <row r="4362">
          <cell r="C4362" t="str">
            <v>推广订单扣款</v>
          </cell>
        </row>
        <row r="4362">
          <cell r="H4362" t="str">
            <v>南安店</v>
          </cell>
          <cell r="I4362">
            <v>46051</v>
          </cell>
          <cell r="J4362">
            <v>-13.82</v>
          </cell>
        </row>
        <row r="4363">
          <cell r="C4363" t="str">
            <v>推广订单扣款</v>
          </cell>
        </row>
        <row r="4363">
          <cell r="H4363" t="str">
            <v>诚毅店</v>
          </cell>
          <cell r="I4363">
            <v>46051</v>
          </cell>
          <cell r="J4363">
            <v>-199.48</v>
          </cell>
        </row>
        <row r="4364">
          <cell r="C4364" t="str">
            <v>推广订单扣款</v>
          </cell>
        </row>
        <row r="4364">
          <cell r="H4364" t="str">
            <v>首山店</v>
          </cell>
          <cell r="I4364">
            <v>46051</v>
          </cell>
          <cell r="J4364">
            <v>-214.74</v>
          </cell>
        </row>
        <row r="4365">
          <cell r="C4365" t="str">
            <v>推广订单扣款</v>
          </cell>
        </row>
        <row r="4365">
          <cell r="H4365" t="str">
            <v>首南店</v>
          </cell>
          <cell r="I4365">
            <v>46051</v>
          </cell>
          <cell r="J4365">
            <v>-105.72</v>
          </cell>
        </row>
        <row r="4366">
          <cell r="C4366" t="str">
            <v>推广订单扣款</v>
          </cell>
        </row>
        <row r="4366">
          <cell r="H4366" t="str">
            <v>余杭店</v>
          </cell>
          <cell r="I4366">
            <v>46051</v>
          </cell>
          <cell r="J4366">
            <v>-131.07</v>
          </cell>
        </row>
        <row r="4367">
          <cell r="C4367" t="str">
            <v>推广账户自动充值</v>
          </cell>
        </row>
        <row r="4367">
          <cell r="H4367" t="str">
            <v>东海店</v>
          </cell>
          <cell r="I4367">
            <v>46051</v>
          </cell>
          <cell r="J4367">
            <v>200</v>
          </cell>
        </row>
        <row r="4368">
          <cell r="C4368" t="str">
            <v>推广订单扣款</v>
          </cell>
        </row>
        <row r="4368">
          <cell r="H4368" t="str">
            <v>东海店</v>
          </cell>
          <cell r="I4368">
            <v>46051</v>
          </cell>
          <cell r="J4368">
            <v>-95.1</v>
          </cell>
        </row>
        <row r="4369">
          <cell r="C4369" t="str">
            <v>推广订单扣款</v>
          </cell>
        </row>
        <row r="4369">
          <cell r="H4369" t="str">
            <v>文灶店</v>
          </cell>
          <cell r="I4369">
            <v>46051</v>
          </cell>
          <cell r="J4369">
            <v>-144.91</v>
          </cell>
        </row>
        <row r="4370">
          <cell r="C4370" t="str">
            <v>推广订单扣款</v>
          </cell>
        </row>
        <row r="4370">
          <cell r="H4370" t="str">
            <v>滨江店</v>
          </cell>
          <cell r="I4370">
            <v>46051</v>
          </cell>
          <cell r="J4370">
            <v>-200</v>
          </cell>
        </row>
        <row r="4371">
          <cell r="C4371" t="str">
            <v>推广订单扣款</v>
          </cell>
        </row>
        <row r="4371">
          <cell r="H4371" t="str">
            <v>下沙店</v>
          </cell>
          <cell r="I4371">
            <v>46051</v>
          </cell>
          <cell r="J4371">
            <v>-69.42</v>
          </cell>
        </row>
        <row r="4372">
          <cell r="C4372" t="str">
            <v>推广账户自动充值</v>
          </cell>
        </row>
        <row r="4372">
          <cell r="H4372" t="str">
            <v>高新店</v>
          </cell>
          <cell r="I4372">
            <v>46052</v>
          </cell>
          <cell r="J4372">
            <v>200</v>
          </cell>
        </row>
        <row r="4373">
          <cell r="C4373" t="str">
            <v>推广订单扣款</v>
          </cell>
        </row>
        <row r="4373">
          <cell r="H4373" t="str">
            <v>济南店</v>
          </cell>
          <cell r="I4373">
            <v>46052</v>
          </cell>
          <cell r="J4373">
            <v>-250</v>
          </cell>
        </row>
        <row r="4374">
          <cell r="C4374" t="str">
            <v>推广订单扣款</v>
          </cell>
        </row>
        <row r="4374">
          <cell r="H4374" t="str">
            <v>大坪店</v>
          </cell>
          <cell r="I4374">
            <v>46052</v>
          </cell>
          <cell r="J4374">
            <v>-200</v>
          </cell>
        </row>
        <row r="4375">
          <cell r="C4375" t="str">
            <v>推广订单扣款</v>
          </cell>
        </row>
        <row r="4375">
          <cell r="H4375" t="str">
            <v>金牛店</v>
          </cell>
          <cell r="I4375">
            <v>46052</v>
          </cell>
          <cell r="J4375">
            <v>-91.56</v>
          </cell>
        </row>
        <row r="4376">
          <cell r="C4376" t="str">
            <v>推广订单扣款</v>
          </cell>
        </row>
        <row r="4376">
          <cell r="H4376" t="str">
            <v>观音桥店</v>
          </cell>
          <cell r="I4376">
            <v>46052</v>
          </cell>
          <cell r="J4376">
            <v>-280</v>
          </cell>
        </row>
        <row r="4377">
          <cell r="C4377" t="str">
            <v>推广订单扣款</v>
          </cell>
        </row>
        <row r="4377">
          <cell r="H4377" t="str">
            <v>南安店</v>
          </cell>
          <cell r="I4377">
            <v>46052</v>
          </cell>
          <cell r="J4377">
            <v>-15.85</v>
          </cell>
        </row>
        <row r="4378">
          <cell r="C4378" t="str">
            <v>推广订单扣款</v>
          </cell>
        </row>
        <row r="4378">
          <cell r="H4378" t="str">
            <v>高新店</v>
          </cell>
          <cell r="I4378">
            <v>46052</v>
          </cell>
          <cell r="J4378">
            <v>-262.58</v>
          </cell>
        </row>
        <row r="4379">
          <cell r="C4379" t="str">
            <v>推广订单扣款</v>
          </cell>
        </row>
        <row r="4379">
          <cell r="H4379" t="str">
            <v>西山店</v>
          </cell>
          <cell r="I4379">
            <v>46052</v>
          </cell>
          <cell r="J4379">
            <v>-228.08</v>
          </cell>
        </row>
        <row r="4380">
          <cell r="C4380" t="str">
            <v>推广订单扣款</v>
          </cell>
        </row>
        <row r="4380">
          <cell r="H4380" t="str">
            <v>余杭店</v>
          </cell>
          <cell r="I4380">
            <v>46052</v>
          </cell>
          <cell r="J4380">
            <v>-84.15</v>
          </cell>
        </row>
        <row r="4381">
          <cell r="C4381" t="str">
            <v>推广订单扣款</v>
          </cell>
        </row>
        <row r="4381">
          <cell r="H4381" t="str">
            <v>华信店</v>
          </cell>
          <cell r="I4381">
            <v>46052</v>
          </cell>
          <cell r="J4381">
            <v>-200</v>
          </cell>
        </row>
        <row r="4382">
          <cell r="C4382" t="str">
            <v>推广订单扣款</v>
          </cell>
        </row>
        <row r="4382">
          <cell r="H4382" t="str">
            <v>武侯店</v>
          </cell>
          <cell r="I4382">
            <v>46052</v>
          </cell>
          <cell r="J4382">
            <v>-68.36</v>
          </cell>
        </row>
        <row r="4383">
          <cell r="C4383" t="str">
            <v>推广订单扣款</v>
          </cell>
        </row>
        <row r="4383">
          <cell r="H4383" t="str">
            <v>青羊店</v>
          </cell>
          <cell r="I4383">
            <v>46052</v>
          </cell>
          <cell r="J4383">
            <v>-78.46</v>
          </cell>
        </row>
        <row r="4384">
          <cell r="C4384" t="str">
            <v>推广订单扣款</v>
          </cell>
        </row>
        <row r="4384">
          <cell r="H4384" t="str">
            <v>湖里店</v>
          </cell>
          <cell r="I4384">
            <v>46052</v>
          </cell>
          <cell r="J4384">
            <v>-147.75</v>
          </cell>
        </row>
        <row r="4385">
          <cell r="C4385" t="str">
            <v>推广订单扣款</v>
          </cell>
        </row>
        <row r="4385">
          <cell r="H4385" t="str">
            <v>首南店</v>
          </cell>
          <cell r="I4385">
            <v>46052</v>
          </cell>
          <cell r="J4385">
            <v>-143.54</v>
          </cell>
        </row>
        <row r="4386">
          <cell r="C4386" t="str">
            <v>推广订单扣款</v>
          </cell>
        </row>
        <row r="4386">
          <cell r="H4386" t="str">
            <v>滨江店</v>
          </cell>
          <cell r="I4386">
            <v>46052</v>
          </cell>
          <cell r="J4386">
            <v>-200</v>
          </cell>
        </row>
        <row r="4387">
          <cell r="C4387" t="str">
            <v>推广订单扣款</v>
          </cell>
        </row>
        <row r="4387">
          <cell r="H4387" t="str">
            <v>凤城二路店</v>
          </cell>
          <cell r="I4387">
            <v>46052</v>
          </cell>
          <cell r="J4387">
            <v>-250</v>
          </cell>
        </row>
        <row r="4388">
          <cell r="C4388" t="str">
            <v>推广订单扣款</v>
          </cell>
        </row>
        <row r="4388">
          <cell r="H4388" t="str">
            <v>西湖店</v>
          </cell>
          <cell r="I4388">
            <v>46052</v>
          </cell>
          <cell r="J4388">
            <v>-56.67</v>
          </cell>
        </row>
        <row r="4389">
          <cell r="C4389" t="str">
            <v>推广订单扣款</v>
          </cell>
        </row>
        <row r="4389">
          <cell r="H4389" t="str">
            <v>鼓楼店</v>
          </cell>
          <cell r="I4389">
            <v>46052</v>
          </cell>
          <cell r="J4389">
            <v>-290.11</v>
          </cell>
        </row>
        <row r="4390">
          <cell r="C4390" t="str">
            <v>推广订单扣款</v>
          </cell>
        </row>
        <row r="4390">
          <cell r="H4390" t="str">
            <v>首山店</v>
          </cell>
          <cell r="I4390">
            <v>46052</v>
          </cell>
          <cell r="J4390">
            <v>-217.18</v>
          </cell>
        </row>
        <row r="4391">
          <cell r="C4391" t="str">
            <v>推广订单扣款</v>
          </cell>
        </row>
        <row r="4391">
          <cell r="H4391" t="str">
            <v>洛江店</v>
          </cell>
          <cell r="I4391">
            <v>46052</v>
          </cell>
          <cell r="J4391">
            <v>-61.33</v>
          </cell>
        </row>
        <row r="4392">
          <cell r="C4392" t="str">
            <v>推广订单扣款</v>
          </cell>
        </row>
        <row r="4392">
          <cell r="H4392" t="str">
            <v>长沙店</v>
          </cell>
          <cell r="I4392">
            <v>46052</v>
          </cell>
          <cell r="J4392">
            <v>-172.5</v>
          </cell>
        </row>
        <row r="4393">
          <cell r="C4393" t="str">
            <v>推广订单扣款</v>
          </cell>
        </row>
        <row r="4393">
          <cell r="H4393" t="str">
            <v>五路口店</v>
          </cell>
          <cell r="I4393">
            <v>46052</v>
          </cell>
          <cell r="J4393">
            <v>-280.56</v>
          </cell>
        </row>
        <row r="4394">
          <cell r="C4394" t="str">
            <v>推广订单扣款</v>
          </cell>
        </row>
        <row r="4394">
          <cell r="H4394" t="str">
            <v>百丈店</v>
          </cell>
          <cell r="I4394">
            <v>46052</v>
          </cell>
          <cell r="J4394">
            <v>-274.19</v>
          </cell>
        </row>
        <row r="4395">
          <cell r="C4395" t="str">
            <v>推广订单扣款</v>
          </cell>
        </row>
        <row r="4395">
          <cell r="H4395" t="str">
            <v>五华店</v>
          </cell>
          <cell r="I4395">
            <v>46052</v>
          </cell>
          <cell r="J4395">
            <v>-122.79</v>
          </cell>
        </row>
        <row r="4396">
          <cell r="C4396" t="str">
            <v>推广账户自动充值</v>
          </cell>
        </row>
        <row r="4396">
          <cell r="H4396" t="str">
            <v>凤城二路店</v>
          </cell>
          <cell r="I4396">
            <v>46052</v>
          </cell>
          <cell r="J4396">
            <v>200</v>
          </cell>
        </row>
        <row r="4397">
          <cell r="C4397" t="str">
            <v>推广订单扣款</v>
          </cell>
        </row>
        <row r="4397">
          <cell r="H4397" t="str">
            <v>沙坪坝店</v>
          </cell>
          <cell r="I4397">
            <v>46052</v>
          </cell>
          <cell r="J4397">
            <v>-158.13</v>
          </cell>
        </row>
        <row r="4398">
          <cell r="C4398" t="str">
            <v>推广订单扣款</v>
          </cell>
        </row>
        <row r="4398">
          <cell r="H4398" t="str">
            <v>海口店</v>
          </cell>
          <cell r="I4398">
            <v>46052</v>
          </cell>
          <cell r="J4398">
            <v>-219.05</v>
          </cell>
        </row>
        <row r="4399">
          <cell r="C4399" t="str">
            <v>推广订单扣款</v>
          </cell>
        </row>
        <row r="4399">
          <cell r="H4399" t="str">
            <v>槐荫店</v>
          </cell>
          <cell r="I4399">
            <v>46052</v>
          </cell>
          <cell r="J4399">
            <v>-200</v>
          </cell>
        </row>
        <row r="4400">
          <cell r="C4400" t="str">
            <v>推广订单扣款</v>
          </cell>
        </row>
        <row r="4400">
          <cell r="H4400" t="str">
            <v>东新店</v>
          </cell>
          <cell r="I4400">
            <v>46052</v>
          </cell>
          <cell r="J4400">
            <v>-190.42</v>
          </cell>
        </row>
        <row r="4401">
          <cell r="C4401" t="str">
            <v>推广订单扣款</v>
          </cell>
        </row>
        <row r="4401">
          <cell r="H4401" t="str">
            <v>东海店</v>
          </cell>
          <cell r="I4401">
            <v>46052</v>
          </cell>
          <cell r="J4401">
            <v>-144.88</v>
          </cell>
        </row>
        <row r="4402">
          <cell r="C4402" t="str">
            <v>推广订单扣款</v>
          </cell>
        </row>
        <row r="4402">
          <cell r="H4402" t="str">
            <v>官渡店</v>
          </cell>
          <cell r="I4402">
            <v>46052</v>
          </cell>
          <cell r="J4402">
            <v>-231.95</v>
          </cell>
        </row>
        <row r="4403">
          <cell r="C4403" t="str">
            <v>推广订单扣款</v>
          </cell>
        </row>
        <row r="4403">
          <cell r="H4403" t="str">
            <v>百捷店</v>
          </cell>
          <cell r="I4403">
            <v>46052</v>
          </cell>
          <cell r="J4403">
            <v>-226.78</v>
          </cell>
        </row>
        <row r="4404">
          <cell r="C4404" t="str">
            <v>推广订单扣款</v>
          </cell>
        </row>
        <row r="4404">
          <cell r="H4404" t="str">
            <v>文灶店</v>
          </cell>
          <cell r="I4404">
            <v>46052</v>
          </cell>
          <cell r="J4404">
            <v>-124.12</v>
          </cell>
        </row>
        <row r="4405">
          <cell r="C4405" t="str">
            <v>推广订单扣款</v>
          </cell>
        </row>
        <row r="4405">
          <cell r="H4405" t="str">
            <v>成华店</v>
          </cell>
          <cell r="I4405">
            <v>46052</v>
          </cell>
          <cell r="J4405">
            <v>-160.9</v>
          </cell>
        </row>
        <row r="4406">
          <cell r="C4406" t="str">
            <v>推广订单扣款</v>
          </cell>
        </row>
        <row r="4406">
          <cell r="H4406" t="str">
            <v>诚毅店</v>
          </cell>
          <cell r="I4406">
            <v>46052</v>
          </cell>
          <cell r="J4406">
            <v>-200</v>
          </cell>
        </row>
        <row r="4407">
          <cell r="C4407" t="str">
            <v>推广订单扣款</v>
          </cell>
        </row>
        <row r="4407">
          <cell r="H4407" t="str">
            <v>黄雁村店</v>
          </cell>
          <cell r="I4407">
            <v>46052</v>
          </cell>
          <cell r="J4407">
            <v>-230</v>
          </cell>
        </row>
        <row r="4408">
          <cell r="C4408" t="str">
            <v>推广订单扣款</v>
          </cell>
        </row>
        <row r="4408">
          <cell r="H4408" t="str">
            <v>启点店</v>
          </cell>
          <cell r="I4408">
            <v>46052</v>
          </cell>
          <cell r="J4408">
            <v>-314.98</v>
          </cell>
        </row>
        <row r="4409">
          <cell r="C4409" t="str">
            <v>推广订单扣款</v>
          </cell>
        </row>
        <row r="4409">
          <cell r="H4409" t="str">
            <v>观桥店</v>
          </cell>
          <cell r="I4409">
            <v>46052</v>
          </cell>
          <cell r="J4409">
            <v>-200</v>
          </cell>
        </row>
        <row r="4410">
          <cell r="C4410" t="str">
            <v>推广订单扣款</v>
          </cell>
        </row>
        <row r="4410">
          <cell r="H4410" t="str">
            <v>文昌店</v>
          </cell>
          <cell r="I4410">
            <v>46052</v>
          </cell>
          <cell r="J4410">
            <v>-155.06</v>
          </cell>
        </row>
        <row r="4411">
          <cell r="C4411" t="str">
            <v>推广账户自动充值</v>
          </cell>
        </row>
        <row r="4411">
          <cell r="H4411" t="str">
            <v>西湖店</v>
          </cell>
          <cell r="I4411">
            <v>46052</v>
          </cell>
          <cell r="J4411">
            <v>200</v>
          </cell>
        </row>
        <row r="4412">
          <cell r="C4412" t="str">
            <v>推广账户自动充值</v>
          </cell>
        </row>
        <row r="4412">
          <cell r="H4412" t="str">
            <v>济南店</v>
          </cell>
          <cell r="I4412">
            <v>46052</v>
          </cell>
          <cell r="J4412">
            <v>200</v>
          </cell>
        </row>
        <row r="4413">
          <cell r="C4413" t="str">
            <v>推广账户自动充值</v>
          </cell>
        </row>
        <row r="4413">
          <cell r="H4413" t="str">
            <v>启点店</v>
          </cell>
          <cell r="I4413">
            <v>46052</v>
          </cell>
          <cell r="J4413">
            <v>200</v>
          </cell>
        </row>
        <row r="4414">
          <cell r="C4414" t="str">
            <v>推广账户自动充值</v>
          </cell>
        </row>
        <row r="4414">
          <cell r="H4414" t="str">
            <v>余杭店</v>
          </cell>
          <cell r="I4414">
            <v>46052</v>
          </cell>
          <cell r="J4414">
            <v>200</v>
          </cell>
        </row>
        <row r="4415">
          <cell r="C4415" t="str">
            <v>推广账户自动充值</v>
          </cell>
        </row>
        <row r="4415">
          <cell r="H4415" t="str">
            <v>沙坪坝店</v>
          </cell>
          <cell r="I4415">
            <v>46052</v>
          </cell>
          <cell r="J4415">
            <v>200</v>
          </cell>
        </row>
        <row r="4416">
          <cell r="C4416" t="str">
            <v>推广账户自动充值</v>
          </cell>
        </row>
        <row r="4416">
          <cell r="H4416" t="str">
            <v>官渡店</v>
          </cell>
          <cell r="I4416">
            <v>46052</v>
          </cell>
          <cell r="J4416">
            <v>200</v>
          </cell>
        </row>
        <row r="4417">
          <cell r="C4417" t="str">
            <v>推广账户自动充值</v>
          </cell>
        </row>
        <row r="4417">
          <cell r="H4417" t="str">
            <v>黄雁村店</v>
          </cell>
          <cell r="I4417">
            <v>46052</v>
          </cell>
          <cell r="J4417">
            <v>200</v>
          </cell>
        </row>
        <row r="4418">
          <cell r="C4418" t="str">
            <v>推广账户自动充值</v>
          </cell>
        </row>
        <row r="4418">
          <cell r="H4418" t="str">
            <v>观桥店</v>
          </cell>
          <cell r="I4418">
            <v>46052</v>
          </cell>
          <cell r="J4418">
            <v>200</v>
          </cell>
        </row>
        <row r="4419">
          <cell r="C4419" t="str">
            <v>推广账户自动充值</v>
          </cell>
        </row>
        <row r="4419">
          <cell r="H4419" t="str">
            <v>五路口店</v>
          </cell>
          <cell r="I4419">
            <v>46052</v>
          </cell>
          <cell r="J4419">
            <v>200</v>
          </cell>
        </row>
        <row r="4420">
          <cell r="C4420" t="str">
            <v>推广账户自动充值</v>
          </cell>
        </row>
        <row r="4420">
          <cell r="H4420" t="str">
            <v>观音桥店</v>
          </cell>
          <cell r="I4420">
            <v>46052</v>
          </cell>
          <cell r="J4420">
            <v>200</v>
          </cell>
        </row>
        <row r="4421">
          <cell r="C4421" t="str">
            <v>推广账户自动充值</v>
          </cell>
        </row>
        <row r="4421">
          <cell r="H4421" t="str">
            <v>华信店</v>
          </cell>
          <cell r="I4421">
            <v>46052</v>
          </cell>
          <cell r="J4421">
            <v>200</v>
          </cell>
        </row>
        <row r="4422">
          <cell r="C4422" t="str">
            <v>推广账户自动充值</v>
          </cell>
        </row>
        <row r="4422">
          <cell r="H4422" t="str">
            <v>槐荫店</v>
          </cell>
          <cell r="I4422">
            <v>46052</v>
          </cell>
          <cell r="J4422">
            <v>200</v>
          </cell>
        </row>
        <row r="4423">
          <cell r="C4423" t="str">
            <v>推广账户自动充值</v>
          </cell>
        </row>
        <row r="4423">
          <cell r="H4423" t="str">
            <v>首山店</v>
          </cell>
          <cell r="I4423">
            <v>46052</v>
          </cell>
          <cell r="J4423">
            <v>200</v>
          </cell>
        </row>
        <row r="4424">
          <cell r="C4424" t="str">
            <v>推广账户自动充值</v>
          </cell>
        </row>
        <row r="4424">
          <cell r="H4424" t="str">
            <v>鼓楼店</v>
          </cell>
          <cell r="I4424">
            <v>46052</v>
          </cell>
          <cell r="J4424">
            <v>200</v>
          </cell>
        </row>
        <row r="4425">
          <cell r="C4425" t="str">
            <v>推广账户自动充值</v>
          </cell>
        </row>
        <row r="4425">
          <cell r="H4425" t="str">
            <v>文灶店</v>
          </cell>
          <cell r="I4425">
            <v>46052</v>
          </cell>
          <cell r="J4425">
            <v>200</v>
          </cell>
        </row>
        <row r="4426">
          <cell r="C4426" t="str">
            <v>推广账户自动充值</v>
          </cell>
        </row>
        <row r="4426">
          <cell r="H4426" t="str">
            <v>启点店</v>
          </cell>
          <cell r="I4426">
            <v>46052</v>
          </cell>
          <cell r="J4426">
            <v>200</v>
          </cell>
        </row>
        <row r="4427">
          <cell r="C4427" t="str">
            <v>推广账户自动充值</v>
          </cell>
        </row>
        <row r="4427">
          <cell r="H4427" t="str">
            <v>凤城二路店</v>
          </cell>
          <cell r="I4427">
            <v>46052</v>
          </cell>
          <cell r="J4427">
            <v>200</v>
          </cell>
        </row>
        <row r="4428">
          <cell r="C4428" t="str">
            <v>推广账户自动充值</v>
          </cell>
        </row>
        <row r="4428">
          <cell r="H4428" t="str">
            <v>成华店</v>
          </cell>
          <cell r="I4428">
            <v>46052</v>
          </cell>
          <cell r="J4428">
            <v>200</v>
          </cell>
        </row>
        <row r="4429">
          <cell r="C4429" t="str">
            <v>推广账户自动充值</v>
          </cell>
        </row>
        <row r="4429">
          <cell r="H4429" t="str">
            <v>长沙店</v>
          </cell>
          <cell r="I4429">
            <v>46052</v>
          </cell>
          <cell r="J4429">
            <v>200</v>
          </cell>
        </row>
        <row r="4430">
          <cell r="C4430" t="str">
            <v>推广账户自动充值</v>
          </cell>
        </row>
        <row r="4430">
          <cell r="H4430" t="str">
            <v>诚毅店</v>
          </cell>
          <cell r="I4430">
            <v>46052</v>
          </cell>
          <cell r="J4430">
            <v>200</v>
          </cell>
        </row>
        <row r="4431">
          <cell r="C4431" t="str">
            <v>推广账户自动充值</v>
          </cell>
        </row>
        <row r="4431">
          <cell r="H4431" t="str">
            <v>百捷店</v>
          </cell>
          <cell r="I4431">
            <v>46052</v>
          </cell>
          <cell r="J4431">
            <v>200</v>
          </cell>
        </row>
        <row r="4432">
          <cell r="C4432" t="str">
            <v>推广账户自动充值</v>
          </cell>
        </row>
        <row r="4432">
          <cell r="H4432" t="str">
            <v>武侯店</v>
          </cell>
          <cell r="I4432">
            <v>46052</v>
          </cell>
          <cell r="J4432">
            <v>200</v>
          </cell>
        </row>
        <row r="4433">
          <cell r="C4433" t="str">
            <v>推广账户自动充值</v>
          </cell>
        </row>
        <row r="4433">
          <cell r="H4433" t="str">
            <v>五华店</v>
          </cell>
          <cell r="I4433">
            <v>46052</v>
          </cell>
          <cell r="J4433">
            <v>200</v>
          </cell>
        </row>
        <row r="4434">
          <cell r="C4434" t="str">
            <v>推广账户自动充值</v>
          </cell>
        </row>
        <row r="4434">
          <cell r="H4434" t="str">
            <v>滨江店</v>
          </cell>
          <cell r="I4434">
            <v>46052</v>
          </cell>
          <cell r="J4434">
            <v>200</v>
          </cell>
        </row>
        <row r="4435">
          <cell r="C4435" t="str">
            <v>推广账户自动充值</v>
          </cell>
        </row>
        <row r="4435">
          <cell r="H4435" t="str">
            <v>西山店</v>
          </cell>
          <cell r="I4435">
            <v>46052</v>
          </cell>
          <cell r="J4435">
            <v>200</v>
          </cell>
        </row>
        <row r="4436">
          <cell r="C4436" t="str">
            <v>推广账户自动充值</v>
          </cell>
        </row>
        <row r="4436">
          <cell r="H4436" t="str">
            <v>高新店</v>
          </cell>
          <cell r="I4436">
            <v>46052</v>
          </cell>
          <cell r="J4436">
            <v>200</v>
          </cell>
        </row>
        <row r="4437">
          <cell r="C4437" t="str">
            <v>推广账户自动充值</v>
          </cell>
        </row>
        <row r="4437">
          <cell r="H4437" t="str">
            <v>五路口店</v>
          </cell>
          <cell r="I4437">
            <v>46052</v>
          </cell>
          <cell r="J4437">
            <v>200</v>
          </cell>
        </row>
        <row r="4438">
          <cell r="C4438" t="str">
            <v>推广账户自动充值</v>
          </cell>
        </row>
        <row r="4438">
          <cell r="H4438" t="str">
            <v>大坪店</v>
          </cell>
          <cell r="I4438">
            <v>46052</v>
          </cell>
          <cell r="J4438">
            <v>200</v>
          </cell>
        </row>
        <row r="4439">
          <cell r="C4439" t="str">
            <v>推广账户自动充值</v>
          </cell>
        </row>
        <row r="4439">
          <cell r="H4439" t="str">
            <v>湖里店</v>
          </cell>
          <cell r="I4439">
            <v>46052</v>
          </cell>
          <cell r="J4439">
            <v>200</v>
          </cell>
        </row>
        <row r="4440">
          <cell r="C4440" t="str">
            <v>推广账户自动充值</v>
          </cell>
        </row>
        <row r="4440">
          <cell r="H4440" t="str">
            <v>金牛店</v>
          </cell>
          <cell r="I4440">
            <v>46052</v>
          </cell>
          <cell r="J4440">
            <v>200</v>
          </cell>
        </row>
        <row r="4441">
          <cell r="C4441" t="str">
            <v>推广账户自动充值</v>
          </cell>
        </row>
        <row r="4441">
          <cell r="H4441" t="str">
            <v>百丈店</v>
          </cell>
          <cell r="I4441">
            <v>46052</v>
          </cell>
          <cell r="J4441">
            <v>200</v>
          </cell>
        </row>
        <row r="4442">
          <cell r="C4442" t="str">
            <v>推广账户自动充值</v>
          </cell>
        </row>
        <row r="4442">
          <cell r="H4442" t="str">
            <v>首南店</v>
          </cell>
          <cell r="I4442">
            <v>46052</v>
          </cell>
          <cell r="J4442">
            <v>200</v>
          </cell>
        </row>
        <row r="4443">
          <cell r="C4443" t="str">
            <v>推广账户自动充值</v>
          </cell>
        </row>
        <row r="4443">
          <cell r="H4443" t="str">
            <v>东新店</v>
          </cell>
          <cell r="I4443">
            <v>46052</v>
          </cell>
          <cell r="J4443">
            <v>200</v>
          </cell>
        </row>
        <row r="4444">
          <cell r="C4444" t="str">
            <v>推广账户自动充值</v>
          </cell>
        </row>
        <row r="4444">
          <cell r="H4444" t="str">
            <v>济南店</v>
          </cell>
          <cell r="I4444">
            <v>46053</v>
          </cell>
          <cell r="J4444">
            <v>200</v>
          </cell>
        </row>
        <row r="4445">
          <cell r="C4445" t="str">
            <v>推广订单扣款</v>
          </cell>
        </row>
        <row r="4445">
          <cell r="H4445" t="str">
            <v>济南店</v>
          </cell>
          <cell r="I4445">
            <v>46053</v>
          </cell>
          <cell r="J4445">
            <v>-250</v>
          </cell>
        </row>
        <row r="4446">
          <cell r="C4446" t="str">
            <v>推广订单扣款</v>
          </cell>
        </row>
        <row r="4446">
          <cell r="H4446" t="str">
            <v>大坪店</v>
          </cell>
          <cell r="I4446">
            <v>46053</v>
          </cell>
          <cell r="J4446">
            <v>-200</v>
          </cell>
        </row>
        <row r="4447">
          <cell r="C4447" t="str">
            <v>推广订单扣款</v>
          </cell>
        </row>
        <row r="4447">
          <cell r="H4447" t="str">
            <v>金牛店</v>
          </cell>
          <cell r="I4447">
            <v>46053</v>
          </cell>
          <cell r="J4447">
            <v>-169.31</v>
          </cell>
        </row>
        <row r="4448">
          <cell r="C4448" t="str">
            <v>推广订单扣款</v>
          </cell>
        </row>
        <row r="4448">
          <cell r="H4448" t="str">
            <v>观音桥店</v>
          </cell>
          <cell r="I4448">
            <v>46053</v>
          </cell>
          <cell r="J4448">
            <v>-280</v>
          </cell>
        </row>
        <row r="4449">
          <cell r="C4449" t="str">
            <v>推广订单扣款</v>
          </cell>
        </row>
        <row r="4449">
          <cell r="H4449" t="str">
            <v>高新店</v>
          </cell>
          <cell r="I4449">
            <v>46053</v>
          </cell>
          <cell r="J4449">
            <v>-289.43</v>
          </cell>
        </row>
        <row r="4450">
          <cell r="C4450" t="str">
            <v>推广订单扣款</v>
          </cell>
        </row>
        <row r="4450">
          <cell r="H4450" t="str">
            <v>南安店</v>
          </cell>
          <cell r="I4450">
            <v>46053</v>
          </cell>
          <cell r="J4450">
            <v>-35.61</v>
          </cell>
        </row>
        <row r="4451">
          <cell r="C4451" t="str">
            <v>推广订单扣款</v>
          </cell>
        </row>
        <row r="4451">
          <cell r="H4451" t="str">
            <v>余杭店</v>
          </cell>
          <cell r="I4451">
            <v>46053</v>
          </cell>
          <cell r="J4451">
            <v>-164.6</v>
          </cell>
        </row>
        <row r="4452">
          <cell r="C4452" t="str">
            <v>推广订单扣款</v>
          </cell>
        </row>
        <row r="4452">
          <cell r="H4452" t="str">
            <v>西山店</v>
          </cell>
          <cell r="I4452">
            <v>46053</v>
          </cell>
          <cell r="J4452">
            <v>-268.27</v>
          </cell>
        </row>
        <row r="4453">
          <cell r="C4453" t="str">
            <v>推广订单扣款</v>
          </cell>
        </row>
        <row r="4453">
          <cell r="H4453" t="str">
            <v>华信店</v>
          </cell>
          <cell r="I4453">
            <v>46053</v>
          </cell>
          <cell r="J4453">
            <v>-200</v>
          </cell>
        </row>
        <row r="4454">
          <cell r="C4454" t="str">
            <v>推广订单扣款</v>
          </cell>
        </row>
        <row r="4454">
          <cell r="H4454" t="str">
            <v>武侯店</v>
          </cell>
          <cell r="I4454">
            <v>46053</v>
          </cell>
          <cell r="J4454">
            <v>-84.56</v>
          </cell>
        </row>
        <row r="4455">
          <cell r="C4455" t="str">
            <v>推广订单扣款</v>
          </cell>
        </row>
        <row r="4455">
          <cell r="H4455" t="str">
            <v>青羊店</v>
          </cell>
          <cell r="I4455">
            <v>46053</v>
          </cell>
          <cell r="J4455">
            <v>-61.67</v>
          </cell>
        </row>
        <row r="4456">
          <cell r="C4456" t="str">
            <v>推广订单扣款</v>
          </cell>
        </row>
        <row r="4456">
          <cell r="H4456" t="str">
            <v>湖里店</v>
          </cell>
          <cell r="I4456">
            <v>46053</v>
          </cell>
          <cell r="J4456">
            <v>-157.04</v>
          </cell>
        </row>
        <row r="4457">
          <cell r="C4457" t="str">
            <v>推广订单扣款</v>
          </cell>
        </row>
        <row r="4457">
          <cell r="H4457" t="str">
            <v>首南店</v>
          </cell>
          <cell r="I4457">
            <v>46053</v>
          </cell>
          <cell r="J4457">
            <v>-198.17</v>
          </cell>
        </row>
        <row r="4458">
          <cell r="C4458" t="str">
            <v>推广订单扣款</v>
          </cell>
        </row>
        <row r="4458">
          <cell r="H4458" t="str">
            <v>滨江店</v>
          </cell>
          <cell r="I4458">
            <v>46053</v>
          </cell>
          <cell r="J4458">
            <v>-200</v>
          </cell>
        </row>
        <row r="4459">
          <cell r="C4459" t="str">
            <v>推广订单扣款</v>
          </cell>
        </row>
        <row r="4459">
          <cell r="H4459" t="str">
            <v>凤城二路店</v>
          </cell>
          <cell r="I4459">
            <v>46053</v>
          </cell>
          <cell r="J4459">
            <v>-250</v>
          </cell>
        </row>
        <row r="4460">
          <cell r="C4460" t="str">
            <v>推广订单扣款</v>
          </cell>
        </row>
        <row r="4460">
          <cell r="H4460" t="str">
            <v>西湖店</v>
          </cell>
          <cell r="I4460">
            <v>46053</v>
          </cell>
          <cell r="J4460">
            <v>-149.74</v>
          </cell>
        </row>
        <row r="4461">
          <cell r="C4461" t="str">
            <v>推广订单扣款</v>
          </cell>
        </row>
        <row r="4461">
          <cell r="H4461" t="str">
            <v>首山店</v>
          </cell>
          <cell r="I4461">
            <v>46053</v>
          </cell>
          <cell r="J4461">
            <v>-239.46</v>
          </cell>
        </row>
        <row r="4462">
          <cell r="C4462" t="str">
            <v>推广订单扣款</v>
          </cell>
        </row>
        <row r="4462">
          <cell r="H4462" t="str">
            <v>鼓楼店</v>
          </cell>
          <cell r="I4462">
            <v>46053</v>
          </cell>
          <cell r="J4462">
            <v>-292.55</v>
          </cell>
        </row>
        <row r="4463">
          <cell r="C4463" t="str">
            <v>推广订单扣款</v>
          </cell>
        </row>
        <row r="4463">
          <cell r="H4463" t="str">
            <v>洛江店</v>
          </cell>
          <cell r="I4463">
            <v>46053</v>
          </cell>
          <cell r="J4463">
            <v>-97.12</v>
          </cell>
        </row>
        <row r="4464">
          <cell r="C4464" t="str">
            <v>推广订单扣款</v>
          </cell>
        </row>
        <row r="4464">
          <cell r="H4464" t="str">
            <v>长沙店</v>
          </cell>
          <cell r="I4464">
            <v>46053</v>
          </cell>
          <cell r="J4464">
            <v>-157.69</v>
          </cell>
        </row>
        <row r="4465">
          <cell r="C4465" t="str">
            <v>推广订单扣款</v>
          </cell>
        </row>
        <row r="4465">
          <cell r="H4465" t="str">
            <v>百丈店</v>
          </cell>
          <cell r="I4465">
            <v>46053</v>
          </cell>
          <cell r="J4465">
            <v>-204.69</v>
          </cell>
        </row>
        <row r="4466">
          <cell r="C4466" t="str">
            <v>推广订单扣款</v>
          </cell>
        </row>
        <row r="4466">
          <cell r="H4466" t="str">
            <v>五路口店</v>
          </cell>
          <cell r="I4466">
            <v>46053</v>
          </cell>
          <cell r="J4466">
            <v>-300</v>
          </cell>
        </row>
        <row r="4467">
          <cell r="C4467" t="str">
            <v>推广订单扣款</v>
          </cell>
        </row>
        <row r="4467">
          <cell r="H4467" t="str">
            <v>五华店</v>
          </cell>
          <cell r="I4467">
            <v>46053</v>
          </cell>
          <cell r="J4467">
            <v>-178.21</v>
          </cell>
        </row>
        <row r="4468">
          <cell r="C4468" t="str">
            <v>推广订单扣款</v>
          </cell>
        </row>
        <row r="4468">
          <cell r="H4468" t="str">
            <v>海口店</v>
          </cell>
          <cell r="I4468">
            <v>46053</v>
          </cell>
          <cell r="J4468">
            <v>-250</v>
          </cell>
        </row>
        <row r="4469">
          <cell r="C4469" t="str">
            <v>推广订单扣款</v>
          </cell>
        </row>
        <row r="4469">
          <cell r="H4469" t="str">
            <v>沙坪坝店</v>
          </cell>
          <cell r="I4469">
            <v>46053</v>
          </cell>
          <cell r="J4469">
            <v>-157.77</v>
          </cell>
        </row>
        <row r="4470">
          <cell r="C4470" t="str">
            <v>推广订单扣款</v>
          </cell>
        </row>
        <row r="4470">
          <cell r="H4470" t="str">
            <v>槐荫店</v>
          </cell>
          <cell r="I4470">
            <v>46053</v>
          </cell>
          <cell r="J4470">
            <v>-200</v>
          </cell>
        </row>
        <row r="4471">
          <cell r="C4471" t="str">
            <v>推广订单扣款</v>
          </cell>
        </row>
        <row r="4471">
          <cell r="H4471" t="str">
            <v>东新店</v>
          </cell>
          <cell r="I4471">
            <v>46053</v>
          </cell>
          <cell r="J4471">
            <v>-200</v>
          </cell>
        </row>
        <row r="4472">
          <cell r="C4472" t="str">
            <v>推广订单扣款</v>
          </cell>
        </row>
        <row r="4472">
          <cell r="H4472" t="str">
            <v>东海店</v>
          </cell>
          <cell r="I4472">
            <v>46053</v>
          </cell>
          <cell r="J4472">
            <v>-79.57</v>
          </cell>
        </row>
        <row r="4473">
          <cell r="C4473" t="str">
            <v>推广订单扣款</v>
          </cell>
        </row>
        <row r="4473">
          <cell r="H4473" t="str">
            <v>官渡店</v>
          </cell>
          <cell r="I4473">
            <v>46053</v>
          </cell>
          <cell r="J4473">
            <v>-250.92</v>
          </cell>
        </row>
        <row r="4474">
          <cell r="C4474" t="str">
            <v>推广订单扣款</v>
          </cell>
        </row>
        <row r="4474">
          <cell r="H4474" t="str">
            <v>百捷店</v>
          </cell>
          <cell r="I4474">
            <v>46053</v>
          </cell>
          <cell r="J4474">
            <v>-188.93</v>
          </cell>
        </row>
        <row r="4475">
          <cell r="C4475" t="str">
            <v>推广订单扣款</v>
          </cell>
        </row>
        <row r="4475">
          <cell r="H4475" t="str">
            <v>文灶店</v>
          </cell>
          <cell r="I4475">
            <v>46053</v>
          </cell>
          <cell r="J4475">
            <v>-186.61</v>
          </cell>
        </row>
        <row r="4476">
          <cell r="C4476" t="str">
            <v>推广订单扣款</v>
          </cell>
        </row>
        <row r="4476">
          <cell r="H4476" t="str">
            <v>成华店</v>
          </cell>
          <cell r="I4476">
            <v>46053</v>
          </cell>
          <cell r="J4476">
            <v>-159.73</v>
          </cell>
        </row>
        <row r="4477">
          <cell r="C4477" t="str">
            <v>推广订单扣款</v>
          </cell>
        </row>
        <row r="4477">
          <cell r="H4477" t="str">
            <v>诚毅店</v>
          </cell>
          <cell r="I4477">
            <v>46053</v>
          </cell>
          <cell r="J4477">
            <v>-200</v>
          </cell>
        </row>
        <row r="4478">
          <cell r="C4478" t="str">
            <v>推广订单扣款</v>
          </cell>
        </row>
        <row r="4478">
          <cell r="H4478" t="str">
            <v>黄雁村店</v>
          </cell>
          <cell r="I4478">
            <v>46053</v>
          </cell>
          <cell r="J4478">
            <v>-230</v>
          </cell>
        </row>
        <row r="4479">
          <cell r="C4479" t="str">
            <v>推广订单扣款</v>
          </cell>
        </row>
        <row r="4479">
          <cell r="H4479" t="str">
            <v>启点店</v>
          </cell>
          <cell r="I4479">
            <v>46053</v>
          </cell>
          <cell r="J4479">
            <v>-353.73</v>
          </cell>
        </row>
        <row r="4480">
          <cell r="C4480" t="str">
            <v>推广账户自动充值</v>
          </cell>
        </row>
        <row r="4480">
          <cell r="H4480" t="str">
            <v>官渡店</v>
          </cell>
          <cell r="I4480">
            <v>46053</v>
          </cell>
          <cell r="J4480">
            <v>200</v>
          </cell>
        </row>
        <row r="4481">
          <cell r="C4481" t="str">
            <v>推广订单扣款</v>
          </cell>
        </row>
        <row r="4481">
          <cell r="H4481" t="str">
            <v>观桥店</v>
          </cell>
          <cell r="I4481">
            <v>46053</v>
          </cell>
          <cell r="J4481">
            <v>-200</v>
          </cell>
        </row>
        <row r="4482">
          <cell r="C4482" t="str">
            <v>推广订单扣款</v>
          </cell>
        </row>
        <row r="4482">
          <cell r="H4482" t="str">
            <v>文昌店</v>
          </cell>
          <cell r="I4482">
            <v>46053</v>
          </cell>
          <cell r="J4482">
            <v>-127.3</v>
          </cell>
        </row>
        <row r="4483">
          <cell r="C4483" t="str">
            <v>推广账户自动充值</v>
          </cell>
        </row>
        <row r="4483">
          <cell r="H4483" t="str">
            <v>东海店</v>
          </cell>
          <cell r="I4483">
            <v>46053</v>
          </cell>
          <cell r="J4483">
            <v>200</v>
          </cell>
        </row>
        <row r="4484">
          <cell r="C4484" t="str">
            <v>推广账户自动充值</v>
          </cell>
        </row>
        <row r="4484">
          <cell r="H4484" t="str">
            <v>文昌店</v>
          </cell>
          <cell r="I4484">
            <v>46053</v>
          </cell>
          <cell r="J4484">
            <v>200</v>
          </cell>
        </row>
        <row r="4485">
          <cell r="C4485" t="str">
            <v>推广账户自动充值</v>
          </cell>
        </row>
        <row r="4485">
          <cell r="H4485" t="str">
            <v>启点店</v>
          </cell>
          <cell r="I4485">
            <v>46053</v>
          </cell>
          <cell r="J4485">
            <v>200</v>
          </cell>
        </row>
        <row r="4486">
          <cell r="C4486" t="str">
            <v>推广账户自动充值</v>
          </cell>
        </row>
        <row r="4486">
          <cell r="H4486" t="str">
            <v>观音桥店</v>
          </cell>
          <cell r="I4486">
            <v>46053</v>
          </cell>
          <cell r="J4486">
            <v>200</v>
          </cell>
        </row>
        <row r="4487">
          <cell r="C4487" t="str">
            <v>推广账户自动充值</v>
          </cell>
        </row>
        <row r="4487">
          <cell r="H4487" t="str">
            <v>首山店</v>
          </cell>
          <cell r="I4487">
            <v>46053</v>
          </cell>
          <cell r="J4487">
            <v>200</v>
          </cell>
        </row>
        <row r="4488">
          <cell r="C4488" t="str">
            <v>推广账户自动充值</v>
          </cell>
        </row>
        <row r="4488">
          <cell r="H4488" t="str">
            <v>黄雁村店</v>
          </cell>
          <cell r="I4488">
            <v>46053</v>
          </cell>
          <cell r="J4488">
            <v>200</v>
          </cell>
        </row>
        <row r="4489">
          <cell r="C4489" t="str">
            <v>推广账户自动充值</v>
          </cell>
        </row>
        <row r="4489">
          <cell r="H4489" t="str">
            <v>鼓楼店</v>
          </cell>
          <cell r="I4489">
            <v>46053</v>
          </cell>
          <cell r="J4489">
            <v>200</v>
          </cell>
        </row>
        <row r="4490">
          <cell r="C4490" t="str">
            <v>推广账户自动充值</v>
          </cell>
        </row>
        <row r="4490">
          <cell r="H4490" t="str">
            <v>百丈店</v>
          </cell>
          <cell r="I4490">
            <v>46053</v>
          </cell>
          <cell r="J4490">
            <v>200</v>
          </cell>
        </row>
        <row r="4491">
          <cell r="C4491" t="str">
            <v>推广账户自动充值</v>
          </cell>
        </row>
        <row r="4491">
          <cell r="H4491" t="str">
            <v>华信店</v>
          </cell>
          <cell r="I4491">
            <v>46053</v>
          </cell>
          <cell r="J4491">
            <v>200</v>
          </cell>
        </row>
        <row r="4492">
          <cell r="C4492" t="str">
            <v>推广账户自动充值</v>
          </cell>
        </row>
        <row r="4492">
          <cell r="H4492" t="str">
            <v>高新店</v>
          </cell>
          <cell r="I4492">
            <v>46053</v>
          </cell>
          <cell r="J4492">
            <v>200</v>
          </cell>
        </row>
        <row r="4493">
          <cell r="C4493" t="str">
            <v>推广账户自动充值</v>
          </cell>
        </row>
        <row r="4493">
          <cell r="H4493" t="str">
            <v>余杭店</v>
          </cell>
          <cell r="I4493">
            <v>46053</v>
          </cell>
          <cell r="J4493">
            <v>200</v>
          </cell>
        </row>
        <row r="4494">
          <cell r="C4494" t="str">
            <v>推广账户自动充值</v>
          </cell>
        </row>
        <row r="4494">
          <cell r="H4494" t="str">
            <v>槐荫店</v>
          </cell>
          <cell r="I4494">
            <v>46053</v>
          </cell>
          <cell r="J4494">
            <v>200</v>
          </cell>
        </row>
        <row r="4495">
          <cell r="C4495" t="str">
            <v>推广账户自动充值</v>
          </cell>
        </row>
        <row r="4495">
          <cell r="H4495" t="str">
            <v>五路口店</v>
          </cell>
          <cell r="I4495">
            <v>46053</v>
          </cell>
          <cell r="J4495">
            <v>200</v>
          </cell>
        </row>
        <row r="4496">
          <cell r="C4496" t="str">
            <v>推广账户自动充值</v>
          </cell>
        </row>
        <row r="4496">
          <cell r="H4496" t="str">
            <v>凤城二路店</v>
          </cell>
          <cell r="I4496">
            <v>46053</v>
          </cell>
          <cell r="J4496">
            <v>200</v>
          </cell>
        </row>
        <row r="4497">
          <cell r="C4497" t="str">
            <v>推广账户自动充值</v>
          </cell>
        </row>
        <row r="4497">
          <cell r="H4497" t="str">
            <v>启点店</v>
          </cell>
          <cell r="I4497">
            <v>46053</v>
          </cell>
          <cell r="J4497">
            <v>200</v>
          </cell>
        </row>
        <row r="4498">
          <cell r="C4498" t="str">
            <v>推广账户自动充值</v>
          </cell>
        </row>
        <row r="4498">
          <cell r="H4498" t="str">
            <v>文灶店</v>
          </cell>
          <cell r="I4498">
            <v>46053</v>
          </cell>
          <cell r="J4498">
            <v>200</v>
          </cell>
        </row>
        <row r="4499">
          <cell r="C4499" t="str">
            <v>推广账户自动充值</v>
          </cell>
        </row>
        <row r="4499">
          <cell r="H4499" t="str">
            <v>济南店</v>
          </cell>
          <cell r="I4499">
            <v>46053</v>
          </cell>
          <cell r="J4499">
            <v>200</v>
          </cell>
        </row>
        <row r="4500">
          <cell r="C4500" t="str">
            <v>推广账户自动充值</v>
          </cell>
        </row>
        <row r="4500">
          <cell r="H4500" t="str">
            <v>西山店</v>
          </cell>
          <cell r="I4500">
            <v>46053</v>
          </cell>
          <cell r="J4500">
            <v>200</v>
          </cell>
        </row>
        <row r="4501">
          <cell r="C4501" t="str">
            <v>推广账户自动充值</v>
          </cell>
        </row>
        <row r="4501">
          <cell r="H4501" t="str">
            <v>西湖店</v>
          </cell>
          <cell r="I4501">
            <v>46053</v>
          </cell>
          <cell r="J4501">
            <v>200</v>
          </cell>
        </row>
        <row r="4502">
          <cell r="C4502" t="str">
            <v>推广账户自动充值</v>
          </cell>
        </row>
        <row r="4502">
          <cell r="H4502" t="str">
            <v>观音桥店</v>
          </cell>
          <cell r="I4502">
            <v>46053</v>
          </cell>
          <cell r="J4502">
            <v>200</v>
          </cell>
        </row>
        <row r="4503">
          <cell r="C4503" t="str">
            <v>推广账户自动充值</v>
          </cell>
        </row>
        <row r="4503">
          <cell r="H4503" t="str">
            <v>大坪店</v>
          </cell>
          <cell r="I4503">
            <v>46053</v>
          </cell>
          <cell r="J4503">
            <v>200</v>
          </cell>
        </row>
        <row r="4504">
          <cell r="C4504" t="str">
            <v>推广账户自动充值</v>
          </cell>
        </row>
        <row r="4504">
          <cell r="H4504" t="str">
            <v>官渡店</v>
          </cell>
          <cell r="I4504">
            <v>46053</v>
          </cell>
          <cell r="J4504">
            <v>200</v>
          </cell>
        </row>
        <row r="4505">
          <cell r="C4505" t="str">
            <v>推广账户自动充值</v>
          </cell>
        </row>
        <row r="4505">
          <cell r="H4505" t="str">
            <v>诚毅店</v>
          </cell>
          <cell r="I4505">
            <v>46053</v>
          </cell>
          <cell r="J4505">
            <v>200</v>
          </cell>
        </row>
        <row r="4506">
          <cell r="C4506" t="str">
            <v>推广账户自动充值</v>
          </cell>
        </row>
        <row r="4506">
          <cell r="H4506" t="str">
            <v>滨江店</v>
          </cell>
          <cell r="I4506">
            <v>46053</v>
          </cell>
          <cell r="J4506">
            <v>200</v>
          </cell>
        </row>
        <row r="4507">
          <cell r="C4507" t="str">
            <v>推广账户自动充值</v>
          </cell>
        </row>
        <row r="4507">
          <cell r="H4507" t="str">
            <v>五华店</v>
          </cell>
          <cell r="I4507">
            <v>46053</v>
          </cell>
          <cell r="J4507">
            <v>200</v>
          </cell>
        </row>
        <row r="4508">
          <cell r="C4508" t="str">
            <v>推广账户自动充值</v>
          </cell>
        </row>
        <row r="4508">
          <cell r="H4508" t="str">
            <v>长沙店</v>
          </cell>
          <cell r="I4508">
            <v>46053</v>
          </cell>
          <cell r="J4508">
            <v>200</v>
          </cell>
        </row>
        <row r="4509">
          <cell r="C4509" t="str">
            <v>推广账户自动充值</v>
          </cell>
        </row>
        <row r="4509">
          <cell r="H4509" t="str">
            <v>成华店</v>
          </cell>
          <cell r="I4509">
            <v>46053</v>
          </cell>
          <cell r="J4509">
            <v>200</v>
          </cell>
        </row>
        <row r="4510">
          <cell r="C4510" t="str">
            <v>推广账户自动充值</v>
          </cell>
        </row>
        <row r="4510">
          <cell r="H4510" t="str">
            <v>沙坪坝店</v>
          </cell>
          <cell r="I4510">
            <v>46053</v>
          </cell>
          <cell r="J4510">
            <v>200</v>
          </cell>
        </row>
        <row r="4511">
          <cell r="C4511" t="str">
            <v>推广账户自动充值</v>
          </cell>
        </row>
        <row r="4511">
          <cell r="H4511" t="str">
            <v>百捷店</v>
          </cell>
          <cell r="I4511">
            <v>46053</v>
          </cell>
          <cell r="J4511">
            <v>200</v>
          </cell>
        </row>
        <row r="4512">
          <cell r="C4512" t="str">
            <v>推广订单扣款</v>
          </cell>
        </row>
        <row r="4512">
          <cell r="H4512" t="str">
            <v>济南店</v>
          </cell>
          <cell r="I4512">
            <v>46054</v>
          </cell>
          <cell r="J4512">
            <v>-250</v>
          </cell>
        </row>
        <row r="4513">
          <cell r="C4513" t="str">
            <v>推广订单扣款</v>
          </cell>
        </row>
        <row r="4513">
          <cell r="H4513" t="str">
            <v>大坪店</v>
          </cell>
          <cell r="I4513">
            <v>46054</v>
          </cell>
          <cell r="J4513">
            <v>-200</v>
          </cell>
        </row>
        <row r="4514">
          <cell r="C4514" t="str">
            <v>推广订单扣款</v>
          </cell>
        </row>
        <row r="4514">
          <cell r="H4514" t="str">
            <v>金牛店</v>
          </cell>
          <cell r="I4514">
            <v>46054</v>
          </cell>
          <cell r="J4514">
            <v>-145.43</v>
          </cell>
        </row>
        <row r="4515">
          <cell r="C4515" t="str">
            <v>推广订单扣款</v>
          </cell>
        </row>
        <row r="4515">
          <cell r="H4515" t="str">
            <v>观音桥店</v>
          </cell>
          <cell r="I4515">
            <v>46054</v>
          </cell>
          <cell r="J4515">
            <v>-280</v>
          </cell>
        </row>
        <row r="4516">
          <cell r="C4516" t="str">
            <v>推广订单扣款</v>
          </cell>
        </row>
        <row r="4516">
          <cell r="H4516" t="str">
            <v>高新店</v>
          </cell>
          <cell r="I4516">
            <v>46054</v>
          </cell>
          <cell r="J4516">
            <v>-289.28</v>
          </cell>
        </row>
        <row r="4517">
          <cell r="C4517" t="str">
            <v>推广订单扣款</v>
          </cell>
        </row>
        <row r="4517">
          <cell r="H4517" t="str">
            <v>南安店</v>
          </cell>
          <cell r="I4517">
            <v>46054</v>
          </cell>
          <cell r="J4517">
            <v>-33.68</v>
          </cell>
        </row>
        <row r="4518">
          <cell r="C4518" t="str">
            <v>推广订单扣款</v>
          </cell>
        </row>
        <row r="4518">
          <cell r="H4518" t="str">
            <v>余杭店</v>
          </cell>
          <cell r="I4518">
            <v>46054</v>
          </cell>
          <cell r="J4518">
            <v>-179.67</v>
          </cell>
        </row>
        <row r="4519">
          <cell r="C4519" t="str">
            <v>推广订单扣款</v>
          </cell>
        </row>
        <row r="4519">
          <cell r="H4519" t="str">
            <v>西山店</v>
          </cell>
          <cell r="I4519">
            <v>46054</v>
          </cell>
          <cell r="J4519">
            <v>-181.73</v>
          </cell>
        </row>
        <row r="4520">
          <cell r="C4520" t="str">
            <v>推广订单扣款</v>
          </cell>
        </row>
        <row r="4520">
          <cell r="H4520" t="str">
            <v>武侯店</v>
          </cell>
          <cell r="I4520">
            <v>46054</v>
          </cell>
          <cell r="J4520">
            <v>-86.26</v>
          </cell>
        </row>
        <row r="4521">
          <cell r="C4521" t="str">
            <v>推广订单扣款</v>
          </cell>
        </row>
        <row r="4521">
          <cell r="H4521" t="str">
            <v>青羊店</v>
          </cell>
          <cell r="I4521">
            <v>46054</v>
          </cell>
          <cell r="J4521">
            <v>-68.52</v>
          </cell>
        </row>
        <row r="4522">
          <cell r="C4522" t="str">
            <v>推广订单扣款</v>
          </cell>
        </row>
        <row r="4522">
          <cell r="H4522" t="str">
            <v>华信店</v>
          </cell>
          <cell r="I4522">
            <v>46054</v>
          </cell>
          <cell r="J4522">
            <v>-200</v>
          </cell>
        </row>
        <row r="4523">
          <cell r="C4523" t="str">
            <v>推广订单扣款</v>
          </cell>
        </row>
        <row r="4523">
          <cell r="H4523" t="str">
            <v>湖里店</v>
          </cell>
          <cell r="I4523">
            <v>46054</v>
          </cell>
          <cell r="J4523">
            <v>-159.72</v>
          </cell>
        </row>
        <row r="4524">
          <cell r="C4524" t="str">
            <v>推广订单扣款</v>
          </cell>
        </row>
        <row r="4524">
          <cell r="H4524" t="str">
            <v>滨江店</v>
          </cell>
          <cell r="I4524">
            <v>46054</v>
          </cell>
          <cell r="J4524">
            <v>-197.03</v>
          </cell>
        </row>
        <row r="4525">
          <cell r="C4525" t="str">
            <v>推广订单扣款</v>
          </cell>
        </row>
        <row r="4525">
          <cell r="H4525" t="str">
            <v>首南店</v>
          </cell>
          <cell r="I4525">
            <v>46054</v>
          </cell>
          <cell r="J4525">
            <v>-155.28</v>
          </cell>
        </row>
        <row r="4526">
          <cell r="C4526" t="str">
            <v>推广订单扣款</v>
          </cell>
        </row>
        <row r="4526">
          <cell r="H4526" t="str">
            <v>凤城二路店</v>
          </cell>
          <cell r="I4526">
            <v>46054</v>
          </cell>
          <cell r="J4526">
            <v>-250</v>
          </cell>
        </row>
        <row r="4527">
          <cell r="C4527" t="str">
            <v>推广订单扣款</v>
          </cell>
        </row>
        <row r="4527">
          <cell r="H4527" t="str">
            <v>西湖店</v>
          </cell>
          <cell r="I4527">
            <v>46054</v>
          </cell>
          <cell r="J4527">
            <v>-107.64</v>
          </cell>
        </row>
        <row r="4528">
          <cell r="C4528" t="str">
            <v>推广订单扣款</v>
          </cell>
        </row>
        <row r="4528">
          <cell r="H4528" t="str">
            <v>下沙店</v>
          </cell>
          <cell r="I4528">
            <v>46054</v>
          </cell>
          <cell r="J4528">
            <v>-32.12</v>
          </cell>
        </row>
        <row r="4529">
          <cell r="C4529" t="str">
            <v>推广订单扣款</v>
          </cell>
        </row>
        <row r="4529">
          <cell r="H4529" t="str">
            <v>鼓楼店</v>
          </cell>
          <cell r="I4529">
            <v>46054</v>
          </cell>
          <cell r="J4529">
            <v>-205.68</v>
          </cell>
        </row>
        <row r="4530">
          <cell r="C4530" t="str">
            <v>推广账户自动充值</v>
          </cell>
        </row>
        <row r="4530">
          <cell r="H4530" t="str">
            <v>东新店</v>
          </cell>
          <cell r="I4530">
            <v>46054</v>
          </cell>
          <cell r="J4530">
            <v>200</v>
          </cell>
        </row>
        <row r="4531">
          <cell r="C4531" t="str">
            <v>推广订单扣款</v>
          </cell>
        </row>
        <row r="4531">
          <cell r="H4531" t="str">
            <v>首山店</v>
          </cell>
          <cell r="I4531">
            <v>46054</v>
          </cell>
          <cell r="J4531">
            <v>-232.97</v>
          </cell>
        </row>
        <row r="4532">
          <cell r="C4532" t="str">
            <v>推广订单扣款</v>
          </cell>
        </row>
        <row r="4532">
          <cell r="H4532" t="str">
            <v>长沙店</v>
          </cell>
          <cell r="I4532">
            <v>46054</v>
          </cell>
          <cell r="J4532">
            <v>-168.34</v>
          </cell>
        </row>
        <row r="4533">
          <cell r="C4533" t="str">
            <v>推广订单扣款</v>
          </cell>
        </row>
        <row r="4533">
          <cell r="H4533" t="str">
            <v>百丈店</v>
          </cell>
          <cell r="I4533">
            <v>46054</v>
          </cell>
          <cell r="J4533">
            <v>-270.46</v>
          </cell>
        </row>
        <row r="4534">
          <cell r="C4534" t="str">
            <v>推广订单扣款</v>
          </cell>
        </row>
        <row r="4534">
          <cell r="H4534" t="str">
            <v>五路口店</v>
          </cell>
          <cell r="I4534">
            <v>46054</v>
          </cell>
          <cell r="J4534">
            <v>-269.33</v>
          </cell>
        </row>
        <row r="4535">
          <cell r="C4535" t="str">
            <v>推广订单扣款</v>
          </cell>
        </row>
        <row r="4535">
          <cell r="H4535" t="str">
            <v>五华店</v>
          </cell>
          <cell r="I4535">
            <v>46054</v>
          </cell>
          <cell r="J4535">
            <v>-183.66</v>
          </cell>
        </row>
        <row r="4536">
          <cell r="C4536" t="str">
            <v>推广订单扣款</v>
          </cell>
        </row>
        <row r="4536">
          <cell r="H4536" t="str">
            <v>沙坪坝店</v>
          </cell>
          <cell r="I4536">
            <v>46054</v>
          </cell>
          <cell r="J4536">
            <v>-91.43</v>
          </cell>
        </row>
        <row r="4537">
          <cell r="C4537" t="str">
            <v>推广订单扣款</v>
          </cell>
        </row>
        <row r="4537">
          <cell r="H4537" t="str">
            <v>海口店</v>
          </cell>
          <cell r="I4537">
            <v>46054</v>
          </cell>
          <cell r="J4537">
            <v>-242.58</v>
          </cell>
        </row>
        <row r="4538">
          <cell r="C4538" t="str">
            <v>推广订单扣款</v>
          </cell>
        </row>
        <row r="4538">
          <cell r="H4538" t="str">
            <v>槐荫店</v>
          </cell>
          <cell r="I4538">
            <v>46054</v>
          </cell>
          <cell r="J4538">
            <v>-200</v>
          </cell>
        </row>
        <row r="4539">
          <cell r="C4539" t="str">
            <v>推广订单扣款</v>
          </cell>
        </row>
        <row r="4539">
          <cell r="H4539" t="str">
            <v>东新店</v>
          </cell>
          <cell r="I4539">
            <v>46054</v>
          </cell>
          <cell r="J4539">
            <v>-180.33</v>
          </cell>
        </row>
        <row r="4540">
          <cell r="C4540" t="str">
            <v>推广订单扣款</v>
          </cell>
        </row>
        <row r="4540">
          <cell r="H4540" t="str">
            <v>东海店</v>
          </cell>
          <cell r="I4540">
            <v>46054</v>
          </cell>
          <cell r="J4540">
            <v>-117.29</v>
          </cell>
        </row>
        <row r="4541">
          <cell r="C4541" t="str">
            <v>推广订单扣款</v>
          </cell>
        </row>
        <row r="4541">
          <cell r="H4541" t="str">
            <v>百捷店</v>
          </cell>
          <cell r="I4541">
            <v>46054</v>
          </cell>
          <cell r="J4541">
            <v>-176.75</v>
          </cell>
        </row>
        <row r="4542">
          <cell r="C4542" t="str">
            <v>推广订单扣款</v>
          </cell>
        </row>
        <row r="4542">
          <cell r="H4542" t="str">
            <v>文灶店</v>
          </cell>
          <cell r="I4542">
            <v>46054</v>
          </cell>
          <cell r="J4542">
            <v>-186.2</v>
          </cell>
        </row>
        <row r="4543">
          <cell r="C4543" t="str">
            <v>推广订单扣款</v>
          </cell>
        </row>
        <row r="4543">
          <cell r="H4543" t="str">
            <v>官渡店</v>
          </cell>
          <cell r="I4543">
            <v>46054</v>
          </cell>
          <cell r="J4543">
            <v>-266.12</v>
          </cell>
        </row>
        <row r="4544">
          <cell r="C4544" t="str">
            <v>推广订单扣款</v>
          </cell>
        </row>
        <row r="4544">
          <cell r="H4544" t="str">
            <v>诚毅店</v>
          </cell>
          <cell r="I4544">
            <v>46054</v>
          </cell>
          <cell r="J4544">
            <v>-199.48</v>
          </cell>
        </row>
        <row r="4545">
          <cell r="C4545" t="str">
            <v>推广订单扣款</v>
          </cell>
        </row>
        <row r="4545">
          <cell r="H4545" t="str">
            <v>启点店</v>
          </cell>
          <cell r="I4545">
            <v>46054</v>
          </cell>
          <cell r="J4545">
            <v>-392.1</v>
          </cell>
        </row>
        <row r="4546">
          <cell r="C4546" t="str">
            <v>推广订单扣款</v>
          </cell>
        </row>
        <row r="4546">
          <cell r="H4546" t="str">
            <v>成华店</v>
          </cell>
          <cell r="I4546">
            <v>46054</v>
          </cell>
          <cell r="J4546">
            <v>-180.19</v>
          </cell>
        </row>
        <row r="4547">
          <cell r="C4547" t="str">
            <v>推广订单扣款</v>
          </cell>
        </row>
        <row r="4547">
          <cell r="H4547" t="str">
            <v>黄雁村店</v>
          </cell>
          <cell r="I4547">
            <v>46054</v>
          </cell>
          <cell r="J4547">
            <v>-196.57</v>
          </cell>
        </row>
        <row r="4548">
          <cell r="C4548" t="str">
            <v>推广订单扣款</v>
          </cell>
        </row>
        <row r="4548">
          <cell r="H4548" t="str">
            <v>观桥店</v>
          </cell>
          <cell r="I4548">
            <v>46054</v>
          </cell>
          <cell r="J4548">
            <v>-65.13</v>
          </cell>
        </row>
        <row r="4549">
          <cell r="C4549" t="str">
            <v>推广订单扣款</v>
          </cell>
        </row>
        <row r="4549">
          <cell r="H4549" t="str">
            <v>文昌店</v>
          </cell>
          <cell r="I4549">
            <v>46054</v>
          </cell>
          <cell r="J4549">
            <v>-139.63</v>
          </cell>
        </row>
        <row r="4550">
          <cell r="C4550" t="str">
            <v>推广账户自动充值</v>
          </cell>
        </row>
        <row r="4550">
          <cell r="H4550" t="str">
            <v>高新店</v>
          </cell>
          <cell r="I4550">
            <v>46054</v>
          </cell>
          <cell r="J4550">
            <v>200</v>
          </cell>
        </row>
        <row r="4551">
          <cell r="C4551" t="str">
            <v>推广账户自动充值</v>
          </cell>
        </row>
        <row r="4551">
          <cell r="H4551" t="str">
            <v>首山店</v>
          </cell>
          <cell r="I4551">
            <v>46054</v>
          </cell>
          <cell r="J4551">
            <v>200</v>
          </cell>
        </row>
        <row r="4552">
          <cell r="C4552" t="str">
            <v>推广账户自动充值</v>
          </cell>
        </row>
        <row r="4552">
          <cell r="H4552" t="str">
            <v>五路口店</v>
          </cell>
          <cell r="I4552">
            <v>46054</v>
          </cell>
          <cell r="J4552">
            <v>200</v>
          </cell>
        </row>
        <row r="4553">
          <cell r="C4553" t="str">
            <v>推广账户自动充值</v>
          </cell>
        </row>
        <row r="4553">
          <cell r="H4553" t="str">
            <v>启点店</v>
          </cell>
          <cell r="I4553">
            <v>46054</v>
          </cell>
          <cell r="J4553">
            <v>200</v>
          </cell>
        </row>
        <row r="4554">
          <cell r="C4554" t="str">
            <v>推广账户自动充值</v>
          </cell>
        </row>
        <row r="4554">
          <cell r="H4554" t="str">
            <v>首南店</v>
          </cell>
          <cell r="I4554">
            <v>46054</v>
          </cell>
          <cell r="J4554">
            <v>200</v>
          </cell>
        </row>
        <row r="4555">
          <cell r="C4555" t="str">
            <v>推广账户自动充值</v>
          </cell>
        </row>
        <row r="4555">
          <cell r="H4555" t="str">
            <v>百丈店</v>
          </cell>
          <cell r="I4555">
            <v>46054</v>
          </cell>
          <cell r="J4555">
            <v>200</v>
          </cell>
        </row>
        <row r="4556">
          <cell r="C4556" t="str">
            <v>推广账户自动充值</v>
          </cell>
        </row>
        <row r="4556">
          <cell r="H4556" t="str">
            <v>文昌店</v>
          </cell>
          <cell r="I4556">
            <v>46054</v>
          </cell>
          <cell r="J4556">
            <v>200</v>
          </cell>
        </row>
        <row r="4557">
          <cell r="C4557" t="str">
            <v>推广账户自动充值</v>
          </cell>
        </row>
        <row r="4557">
          <cell r="H4557" t="str">
            <v>湖里店</v>
          </cell>
          <cell r="I4557">
            <v>46054</v>
          </cell>
          <cell r="J4557">
            <v>200</v>
          </cell>
        </row>
        <row r="4558">
          <cell r="C4558" t="str">
            <v>推广账户自动充值</v>
          </cell>
        </row>
        <row r="4558">
          <cell r="H4558" t="str">
            <v>黄雁村店</v>
          </cell>
          <cell r="I4558">
            <v>46054</v>
          </cell>
          <cell r="J4558">
            <v>200</v>
          </cell>
        </row>
        <row r="4559">
          <cell r="C4559" t="str">
            <v>推广账户自动充值</v>
          </cell>
        </row>
        <row r="4559">
          <cell r="H4559" t="str">
            <v>鼓楼店</v>
          </cell>
          <cell r="I4559">
            <v>46054</v>
          </cell>
          <cell r="J4559">
            <v>200</v>
          </cell>
        </row>
        <row r="4560">
          <cell r="C4560" t="str">
            <v>推广账户自动充值</v>
          </cell>
        </row>
        <row r="4560">
          <cell r="H4560" t="str">
            <v>观音桥店</v>
          </cell>
          <cell r="I4560">
            <v>46054</v>
          </cell>
          <cell r="J4560">
            <v>200</v>
          </cell>
        </row>
        <row r="4561">
          <cell r="C4561" t="str">
            <v>推广账户自动充值</v>
          </cell>
        </row>
        <row r="4561">
          <cell r="H4561" t="str">
            <v>下沙店</v>
          </cell>
          <cell r="I4561">
            <v>46054</v>
          </cell>
          <cell r="J4561">
            <v>100</v>
          </cell>
        </row>
        <row r="4562">
          <cell r="C4562" t="str">
            <v>推广账户自动充值</v>
          </cell>
        </row>
        <row r="4562">
          <cell r="H4562" t="str">
            <v>青羊店</v>
          </cell>
          <cell r="I4562">
            <v>46054</v>
          </cell>
          <cell r="J4562">
            <v>200</v>
          </cell>
        </row>
        <row r="4563">
          <cell r="C4563" t="str">
            <v>推广账户自动充值</v>
          </cell>
        </row>
        <row r="4563">
          <cell r="H4563" t="str">
            <v>济南店</v>
          </cell>
          <cell r="I4563">
            <v>46054</v>
          </cell>
          <cell r="J4563">
            <v>200</v>
          </cell>
        </row>
        <row r="4564">
          <cell r="C4564" t="str">
            <v>推广订单扣款</v>
          </cell>
        </row>
        <row r="4564">
          <cell r="H4564" t="str">
            <v>湖里店</v>
          </cell>
          <cell r="I4564">
            <v>46055</v>
          </cell>
          <cell r="J4564">
            <v>-182.33</v>
          </cell>
        </row>
        <row r="4565">
          <cell r="C4565" t="str">
            <v>推广订单扣款</v>
          </cell>
        </row>
        <row r="4565">
          <cell r="H4565" t="str">
            <v>东新店</v>
          </cell>
          <cell r="I4565">
            <v>46055</v>
          </cell>
          <cell r="J4565">
            <v>-199.4</v>
          </cell>
        </row>
        <row r="4566">
          <cell r="C4566" t="str">
            <v>推广账户自动充值</v>
          </cell>
        </row>
        <row r="4566">
          <cell r="H4566" t="str">
            <v>东新店</v>
          </cell>
          <cell r="I4566">
            <v>46055</v>
          </cell>
          <cell r="J4566">
            <v>200</v>
          </cell>
        </row>
        <row r="4567">
          <cell r="C4567" t="str">
            <v>推广订单扣款</v>
          </cell>
        </row>
        <row r="4567">
          <cell r="H4567" t="str">
            <v>启点店</v>
          </cell>
          <cell r="I4567">
            <v>46055</v>
          </cell>
          <cell r="J4567">
            <v>-300.91</v>
          </cell>
        </row>
        <row r="4568">
          <cell r="C4568" t="str">
            <v>推广订单扣款</v>
          </cell>
        </row>
        <row r="4568">
          <cell r="H4568" t="str">
            <v>高新店</v>
          </cell>
          <cell r="I4568">
            <v>46055</v>
          </cell>
          <cell r="J4568">
            <v>-181.1</v>
          </cell>
        </row>
        <row r="4569">
          <cell r="C4569" t="str">
            <v>推广订单扣款</v>
          </cell>
        </row>
        <row r="4569">
          <cell r="H4569" t="str">
            <v>成华店</v>
          </cell>
          <cell r="I4569">
            <v>46055</v>
          </cell>
          <cell r="J4569">
            <v>-143</v>
          </cell>
        </row>
        <row r="4570">
          <cell r="C4570" t="str">
            <v>推广订单扣款</v>
          </cell>
        </row>
        <row r="4570">
          <cell r="H4570" t="str">
            <v>金牛店</v>
          </cell>
          <cell r="I4570">
            <v>46055</v>
          </cell>
          <cell r="J4570">
            <v>-100.35</v>
          </cell>
        </row>
        <row r="4571">
          <cell r="C4571" t="str">
            <v>推广订单扣款</v>
          </cell>
        </row>
        <row r="4571">
          <cell r="H4571" t="str">
            <v>西山店</v>
          </cell>
          <cell r="I4571">
            <v>46055</v>
          </cell>
          <cell r="J4571">
            <v>-207.73</v>
          </cell>
        </row>
        <row r="4572">
          <cell r="C4572" t="str">
            <v>推广订单扣款</v>
          </cell>
        </row>
        <row r="4572">
          <cell r="H4572" t="str">
            <v>沙坪坝店</v>
          </cell>
          <cell r="I4572">
            <v>46055</v>
          </cell>
          <cell r="J4572">
            <v>-169.54</v>
          </cell>
        </row>
        <row r="4573">
          <cell r="C4573" t="str">
            <v>推广订单扣款</v>
          </cell>
        </row>
        <row r="4573">
          <cell r="H4573" t="str">
            <v>凤城二路店</v>
          </cell>
          <cell r="I4573">
            <v>46055</v>
          </cell>
          <cell r="J4573">
            <v>-244.23</v>
          </cell>
        </row>
        <row r="4574">
          <cell r="C4574" t="str">
            <v>推广订单扣款</v>
          </cell>
        </row>
        <row r="4574">
          <cell r="H4574" t="str">
            <v>大坪店</v>
          </cell>
          <cell r="I4574">
            <v>46055</v>
          </cell>
          <cell r="J4574">
            <v>-200</v>
          </cell>
        </row>
        <row r="4575">
          <cell r="C4575" t="str">
            <v>推广订单扣款</v>
          </cell>
        </row>
        <row r="4575">
          <cell r="H4575" t="str">
            <v>五华店</v>
          </cell>
          <cell r="I4575">
            <v>46055</v>
          </cell>
          <cell r="J4575">
            <v>-202.99</v>
          </cell>
        </row>
        <row r="4576">
          <cell r="C4576" t="str">
            <v>推广订单扣款</v>
          </cell>
        </row>
        <row r="4576">
          <cell r="H4576" t="str">
            <v>官渡店</v>
          </cell>
          <cell r="I4576">
            <v>46055</v>
          </cell>
          <cell r="J4576">
            <v>-303.24</v>
          </cell>
        </row>
        <row r="4577">
          <cell r="C4577" t="str">
            <v>推广订单扣款</v>
          </cell>
        </row>
        <row r="4577">
          <cell r="H4577" t="str">
            <v>百捷店</v>
          </cell>
          <cell r="I4577">
            <v>46055</v>
          </cell>
          <cell r="J4577">
            <v>-205.91</v>
          </cell>
        </row>
        <row r="4578">
          <cell r="C4578" t="str">
            <v>推广订单扣款</v>
          </cell>
        </row>
        <row r="4578">
          <cell r="H4578" t="str">
            <v>济南店</v>
          </cell>
          <cell r="I4578">
            <v>46055</v>
          </cell>
          <cell r="J4578">
            <v>-250</v>
          </cell>
        </row>
        <row r="4579">
          <cell r="C4579" t="str">
            <v>推广订单扣款</v>
          </cell>
        </row>
        <row r="4579">
          <cell r="H4579" t="str">
            <v>观音桥店</v>
          </cell>
          <cell r="I4579">
            <v>46055</v>
          </cell>
          <cell r="J4579">
            <v>-280</v>
          </cell>
        </row>
        <row r="4580">
          <cell r="C4580" t="str">
            <v>推广订单扣款</v>
          </cell>
        </row>
        <row r="4580">
          <cell r="H4580" t="str">
            <v>长沙店</v>
          </cell>
          <cell r="I4580">
            <v>46055</v>
          </cell>
          <cell r="J4580">
            <v>-189.34</v>
          </cell>
        </row>
        <row r="4581">
          <cell r="C4581" t="str">
            <v>推广订单扣款</v>
          </cell>
        </row>
        <row r="4581">
          <cell r="H4581" t="str">
            <v>洛江店</v>
          </cell>
          <cell r="I4581">
            <v>46055</v>
          </cell>
          <cell r="J4581">
            <v>-62.96</v>
          </cell>
        </row>
        <row r="4582">
          <cell r="C4582" t="str">
            <v>推广账户自动充值</v>
          </cell>
        </row>
        <row r="4582">
          <cell r="H4582" t="str">
            <v>五路口店</v>
          </cell>
          <cell r="I4582">
            <v>46055</v>
          </cell>
          <cell r="J4582">
            <v>200</v>
          </cell>
        </row>
        <row r="4583">
          <cell r="C4583" t="str">
            <v>推广订单扣款</v>
          </cell>
        </row>
        <row r="4583">
          <cell r="H4583" t="str">
            <v>五路口店</v>
          </cell>
          <cell r="I4583">
            <v>46055</v>
          </cell>
          <cell r="J4583">
            <v>-230.67</v>
          </cell>
        </row>
        <row r="4584">
          <cell r="C4584" t="str">
            <v>推广订单扣款</v>
          </cell>
        </row>
        <row r="4584">
          <cell r="H4584" t="str">
            <v>青羊店</v>
          </cell>
          <cell r="I4584">
            <v>46055</v>
          </cell>
          <cell r="J4584">
            <v>-87.81</v>
          </cell>
        </row>
        <row r="4585">
          <cell r="C4585" t="str">
            <v>推广订单扣款</v>
          </cell>
        </row>
        <row r="4585">
          <cell r="H4585" t="str">
            <v>武侯店</v>
          </cell>
          <cell r="I4585">
            <v>46055</v>
          </cell>
          <cell r="J4585">
            <v>-66.72</v>
          </cell>
        </row>
        <row r="4586">
          <cell r="C4586" t="str">
            <v>推广账户自动充值</v>
          </cell>
        </row>
        <row r="4586">
          <cell r="H4586" t="str">
            <v>鼓楼店</v>
          </cell>
          <cell r="I4586">
            <v>46055</v>
          </cell>
          <cell r="J4586">
            <v>200</v>
          </cell>
        </row>
        <row r="4587">
          <cell r="C4587" t="str">
            <v>推广订单扣款</v>
          </cell>
        </row>
        <row r="4587">
          <cell r="H4587" t="str">
            <v>鼓楼店</v>
          </cell>
          <cell r="I4587">
            <v>46055</v>
          </cell>
          <cell r="J4587">
            <v>-245.18</v>
          </cell>
        </row>
        <row r="4588">
          <cell r="C4588" t="str">
            <v>推广账户自动充值</v>
          </cell>
        </row>
        <row r="4588">
          <cell r="H4588" t="str">
            <v>黄雁村店</v>
          </cell>
          <cell r="I4588">
            <v>46055</v>
          </cell>
          <cell r="J4588">
            <v>200</v>
          </cell>
        </row>
        <row r="4589">
          <cell r="C4589" t="str">
            <v>推广订单扣款</v>
          </cell>
        </row>
        <row r="4589">
          <cell r="H4589" t="str">
            <v>黄雁村店</v>
          </cell>
          <cell r="I4589">
            <v>46055</v>
          </cell>
          <cell r="J4589">
            <v>-230</v>
          </cell>
        </row>
        <row r="4590">
          <cell r="C4590" t="str">
            <v>推广订单扣款</v>
          </cell>
        </row>
        <row r="4590">
          <cell r="H4590" t="str">
            <v>西湖店</v>
          </cell>
          <cell r="I4590">
            <v>46055</v>
          </cell>
          <cell r="J4590">
            <v>-152.74</v>
          </cell>
        </row>
        <row r="4591">
          <cell r="C4591" t="str">
            <v>推广账户自动充值</v>
          </cell>
        </row>
        <row r="4591">
          <cell r="H4591" t="str">
            <v>西湖店</v>
          </cell>
          <cell r="I4591">
            <v>46055</v>
          </cell>
          <cell r="J4591">
            <v>200</v>
          </cell>
        </row>
        <row r="4592">
          <cell r="C4592" t="str">
            <v>推广订单扣款</v>
          </cell>
        </row>
        <row r="4592">
          <cell r="H4592" t="str">
            <v>百丈店</v>
          </cell>
          <cell r="I4592">
            <v>46055</v>
          </cell>
          <cell r="J4592">
            <v>-300</v>
          </cell>
        </row>
        <row r="4593">
          <cell r="C4593" t="str">
            <v>推广订单扣款</v>
          </cell>
        </row>
        <row r="4593">
          <cell r="H4593" t="str">
            <v>文昌店</v>
          </cell>
          <cell r="I4593">
            <v>46055</v>
          </cell>
          <cell r="J4593">
            <v>-189.39</v>
          </cell>
        </row>
        <row r="4594">
          <cell r="C4594" t="str">
            <v>推广订单扣款</v>
          </cell>
        </row>
        <row r="4594">
          <cell r="H4594" t="str">
            <v>观桥店</v>
          </cell>
          <cell r="I4594">
            <v>46055</v>
          </cell>
          <cell r="J4594">
            <v>-200</v>
          </cell>
        </row>
        <row r="4595">
          <cell r="C4595" t="str">
            <v>推广订单扣款</v>
          </cell>
        </row>
        <row r="4595">
          <cell r="H4595" t="str">
            <v>海口店</v>
          </cell>
          <cell r="I4595">
            <v>46055</v>
          </cell>
          <cell r="J4595">
            <v>-250</v>
          </cell>
        </row>
        <row r="4596">
          <cell r="C4596" t="str">
            <v>推广订单扣款</v>
          </cell>
        </row>
        <row r="4596">
          <cell r="H4596" t="str">
            <v>南安店</v>
          </cell>
          <cell r="I4596">
            <v>46055</v>
          </cell>
          <cell r="J4596">
            <v>-20.53</v>
          </cell>
        </row>
        <row r="4597">
          <cell r="C4597" t="str">
            <v>推广订单扣款</v>
          </cell>
        </row>
        <row r="4597">
          <cell r="H4597" t="str">
            <v>诚毅店</v>
          </cell>
          <cell r="I4597">
            <v>46055</v>
          </cell>
          <cell r="J4597">
            <v>-129.43</v>
          </cell>
        </row>
        <row r="4598">
          <cell r="C4598" t="str">
            <v>推广订单扣款</v>
          </cell>
        </row>
        <row r="4598">
          <cell r="H4598" t="str">
            <v>首山店</v>
          </cell>
          <cell r="I4598">
            <v>46055</v>
          </cell>
          <cell r="J4598">
            <v>-249.78</v>
          </cell>
        </row>
        <row r="4599">
          <cell r="C4599" t="str">
            <v>推广订单扣款</v>
          </cell>
        </row>
        <row r="4599">
          <cell r="H4599" t="str">
            <v>首南店</v>
          </cell>
          <cell r="I4599">
            <v>46055</v>
          </cell>
          <cell r="J4599">
            <v>-204.58</v>
          </cell>
        </row>
        <row r="4600">
          <cell r="C4600" t="str">
            <v>推广订单扣款</v>
          </cell>
        </row>
        <row r="4600">
          <cell r="H4600" t="str">
            <v>余杭店</v>
          </cell>
          <cell r="I4600">
            <v>46055</v>
          </cell>
          <cell r="J4600">
            <v>-173.27</v>
          </cell>
        </row>
        <row r="4601">
          <cell r="C4601" t="str">
            <v>推广订单扣款</v>
          </cell>
        </row>
        <row r="4601">
          <cell r="H4601" t="str">
            <v>东海店</v>
          </cell>
          <cell r="I4601">
            <v>46055</v>
          </cell>
          <cell r="J4601">
            <v>-106.93</v>
          </cell>
        </row>
        <row r="4602">
          <cell r="C4602" t="str">
            <v>推广订单扣款</v>
          </cell>
        </row>
        <row r="4602">
          <cell r="H4602" t="str">
            <v>文灶店</v>
          </cell>
          <cell r="I4602">
            <v>46055</v>
          </cell>
          <cell r="J4602">
            <v>-166.84</v>
          </cell>
        </row>
        <row r="4603">
          <cell r="C4603" t="str">
            <v>推广订单扣款</v>
          </cell>
        </row>
        <row r="4603">
          <cell r="H4603" t="str">
            <v>滨江店</v>
          </cell>
          <cell r="I4603">
            <v>46055</v>
          </cell>
          <cell r="J4603">
            <v>-200</v>
          </cell>
        </row>
        <row r="4604">
          <cell r="C4604" t="str">
            <v>推广账户自动充值</v>
          </cell>
        </row>
        <row r="4604">
          <cell r="H4604" t="str">
            <v>下沙店</v>
          </cell>
          <cell r="I4604">
            <v>46055</v>
          </cell>
          <cell r="J4604">
            <v>100</v>
          </cell>
        </row>
        <row r="4605">
          <cell r="C4605" t="str">
            <v>推广订单扣款</v>
          </cell>
        </row>
        <row r="4605">
          <cell r="H4605" t="str">
            <v>下沙店</v>
          </cell>
          <cell r="I4605">
            <v>46055</v>
          </cell>
          <cell r="J4605">
            <v>-137.15</v>
          </cell>
        </row>
        <row r="4606">
          <cell r="C4606" t="str">
            <v>推广订单扣款</v>
          </cell>
        </row>
        <row r="4606">
          <cell r="H4606" t="str">
            <v>华信店</v>
          </cell>
          <cell r="I4606">
            <v>46055</v>
          </cell>
          <cell r="J4606">
            <v>-200</v>
          </cell>
        </row>
        <row r="4607">
          <cell r="C4607" t="str">
            <v>推广订单扣款</v>
          </cell>
        </row>
        <row r="4607">
          <cell r="H4607" t="str">
            <v>槐荫店</v>
          </cell>
          <cell r="I4607">
            <v>46055</v>
          </cell>
          <cell r="J4607">
            <v>-200</v>
          </cell>
        </row>
        <row r="4608">
          <cell r="C4608" t="str">
            <v>推广订单扣款</v>
          </cell>
        </row>
        <row r="4608">
          <cell r="H4608" t="str">
            <v>华信店</v>
          </cell>
          <cell r="I4608">
            <v>46056</v>
          </cell>
          <cell r="J4608">
            <v>-200</v>
          </cell>
        </row>
        <row r="4609">
          <cell r="C4609" t="str">
            <v>推广订单扣款</v>
          </cell>
        </row>
        <row r="4609">
          <cell r="H4609" t="str">
            <v>槐荫店</v>
          </cell>
          <cell r="I4609">
            <v>46056</v>
          </cell>
          <cell r="J4609">
            <v>-200</v>
          </cell>
        </row>
        <row r="4610">
          <cell r="C4610" t="str">
            <v>推广订单扣款</v>
          </cell>
        </row>
        <row r="4610">
          <cell r="H4610" t="str">
            <v>湖里店</v>
          </cell>
          <cell r="I4610">
            <v>46056</v>
          </cell>
          <cell r="J4610">
            <v>-155.65</v>
          </cell>
        </row>
        <row r="4611">
          <cell r="C4611" t="str">
            <v>推广账户自动充值</v>
          </cell>
        </row>
        <row r="4611">
          <cell r="H4611" t="str">
            <v>东新店</v>
          </cell>
          <cell r="I4611">
            <v>46056</v>
          </cell>
          <cell r="J4611">
            <v>200</v>
          </cell>
        </row>
        <row r="4612">
          <cell r="C4612" t="str">
            <v>推广订单扣款</v>
          </cell>
        </row>
        <row r="4612">
          <cell r="H4612" t="str">
            <v>东新店</v>
          </cell>
          <cell r="I4612">
            <v>46056</v>
          </cell>
          <cell r="J4612">
            <v>-197.92</v>
          </cell>
        </row>
        <row r="4613">
          <cell r="C4613" t="str">
            <v>推广订单扣款</v>
          </cell>
        </row>
        <row r="4613">
          <cell r="H4613" t="str">
            <v>启点店</v>
          </cell>
          <cell r="I4613">
            <v>46056</v>
          </cell>
          <cell r="J4613">
            <v>-297.04</v>
          </cell>
        </row>
        <row r="4614">
          <cell r="C4614" t="str">
            <v>推广订单扣款</v>
          </cell>
        </row>
        <row r="4614">
          <cell r="H4614" t="str">
            <v>高新店</v>
          </cell>
          <cell r="I4614">
            <v>46056</v>
          </cell>
          <cell r="J4614">
            <v>-293.65</v>
          </cell>
        </row>
        <row r="4615">
          <cell r="C4615" t="str">
            <v>推广订单扣款</v>
          </cell>
        </row>
        <row r="4615">
          <cell r="H4615" t="str">
            <v>成华店</v>
          </cell>
          <cell r="I4615">
            <v>46056</v>
          </cell>
          <cell r="J4615">
            <v>-121.71</v>
          </cell>
        </row>
        <row r="4616">
          <cell r="C4616" t="str">
            <v>推广订单扣款</v>
          </cell>
        </row>
        <row r="4616">
          <cell r="H4616" t="str">
            <v>金牛店</v>
          </cell>
          <cell r="I4616">
            <v>46056</v>
          </cell>
          <cell r="J4616">
            <v>-106.28</v>
          </cell>
        </row>
        <row r="4617">
          <cell r="C4617" t="str">
            <v>推广订单扣款</v>
          </cell>
        </row>
        <row r="4617">
          <cell r="H4617" t="str">
            <v>西山店</v>
          </cell>
          <cell r="I4617">
            <v>46056</v>
          </cell>
          <cell r="J4617">
            <v>-292.83</v>
          </cell>
        </row>
        <row r="4618">
          <cell r="C4618" t="str">
            <v>推广订单扣款</v>
          </cell>
        </row>
        <row r="4618">
          <cell r="H4618" t="str">
            <v>沙坪坝店</v>
          </cell>
          <cell r="I4618">
            <v>46056</v>
          </cell>
          <cell r="J4618">
            <v>-168.83</v>
          </cell>
        </row>
        <row r="4619">
          <cell r="C4619" t="str">
            <v>推广订单扣款</v>
          </cell>
        </row>
        <row r="4619">
          <cell r="H4619" t="str">
            <v>凤城二路店</v>
          </cell>
          <cell r="I4619">
            <v>46056</v>
          </cell>
          <cell r="J4619">
            <v>-200</v>
          </cell>
        </row>
        <row r="4620">
          <cell r="C4620" t="str">
            <v>推广订单扣款</v>
          </cell>
        </row>
        <row r="4620">
          <cell r="H4620" t="str">
            <v>大坪店</v>
          </cell>
          <cell r="I4620">
            <v>46056</v>
          </cell>
          <cell r="J4620">
            <v>-200</v>
          </cell>
        </row>
        <row r="4621">
          <cell r="C4621" t="str">
            <v>推广订单扣款</v>
          </cell>
        </row>
        <row r="4621">
          <cell r="H4621" t="str">
            <v>五华店</v>
          </cell>
          <cell r="I4621">
            <v>46056</v>
          </cell>
          <cell r="J4621">
            <v>-200</v>
          </cell>
        </row>
        <row r="4622">
          <cell r="C4622" t="str">
            <v>推广订单扣款</v>
          </cell>
        </row>
        <row r="4622">
          <cell r="H4622" t="str">
            <v>官渡店</v>
          </cell>
          <cell r="I4622">
            <v>46056</v>
          </cell>
          <cell r="J4622">
            <v>-196.94</v>
          </cell>
        </row>
        <row r="4623">
          <cell r="C4623" t="str">
            <v>推广订单扣款</v>
          </cell>
        </row>
        <row r="4623">
          <cell r="H4623" t="str">
            <v>百捷店</v>
          </cell>
          <cell r="I4623">
            <v>46056</v>
          </cell>
          <cell r="J4623">
            <v>-254.48</v>
          </cell>
        </row>
        <row r="4624">
          <cell r="C4624" t="str">
            <v>推广订单扣款</v>
          </cell>
        </row>
        <row r="4624">
          <cell r="H4624" t="str">
            <v>济南店</v>
          </cell>
          <cell r="I4624">
            <v>46056</v>
          </cell>
          <cell r="J4624">
            <v>-223.26</v>
          </cell>
        </row>
        <row r="4625">
          <cell r="C4625" t="str">
            <v>推广账户自动充值</v>
          </cell>
        </row>
        <row r="4625">
          <cell r="H4625" t="str">
            <v>观音桥店</v>
          </cell>
          <cell r="I4625">
            <v>46056</v>
          </cell>
          <cell r="J4625">
            <v>200</v>
          </cell>
        </row>
        <row r="4626">
          <cell r="C4626" t="str">
            <v>推广订单扣款</v>
          </cell>
        </row>
        <row r="4626">
          <cell r="H4626" t="str">
            <v>观音桥店</v>
          </cell>
          <cell r="I4626">
            <v>46056</v>
          </cell>
          <cell r="J4626">
            <v>-280</v>
          </cell>
        </row>
        <row r="4627">
          <cell r="C4627" t="str">
            <v>推广账户自动充值</v>
          </cell>
        </row>
        <row r="4627">
          <cell r="H4627" t="str">
            <v>长沙店</v>
          </cell>
          <cell r="I4627">
            <v>46056</v>
          </cell>
          <cell r="J4627">
            <v>200</v>
          </cell>
        </row>
        <row r="4628">
          <cell r="C4628" t="str">
            <v>推广订单扣款</v>
          </cell>
        </row>
        <row r="4628">
          <cell r="H4628" t="str">
            <v>长沙店</v>
          </cell>
          <cell r="I4628">
            <v>46056</v>
          </cell>
          <cell r="J4628">
            <v>-152.26</v>
          </cell>
        </row>
        <row r="4629">
          <cell r="C4629" t="str">
            <v>推广订单扣款</v>
          </cell>
        </row>
        <row r="4629">
          <cell r="H4629" t="str">
            <v>洛江店</v>
          </cell>
          <cell r="I4629">
            <v>46056</v>
          </cell>
          <cell r="J4629">
            <v>-33.89</v>
          </cell>
        </row>
        <row r="4630">
          <cell r="C4630" t="str">
            <v>推广账户自动充值</v>
          </cell>
        </row>
        <row r="4630">
          <cell r="H4630" t="str">
            <v>五路口店</v>
          </cell>
          <cell r="I4630">
            <v>46056</v>
          </cell>
          <cell r="J4630">
            <v>200</v>
          </cell>
        </row>
        <row r="4631">
          <cell r="C4631" t="str">
            <v>推广订单扣款</v>
          </cell>
        </row>
        <row r="4631">
          <cell r="H4631" t="str">
            <v>五路口店</v>
          </cell>
          <cell r="I4631">
            <v>46056</v>
          </cell>
          <cell r="J4631">
            <v>-300</v>
          </cell>
        </row>
        <row r="4632">
          <cell r="C4632" t="str">
            <v>推广订单扣款</v>
          </cell>
        </row>
        <row r="4632">
          <cell r="H4632" t="str">
            <v>青羊店</v>
          </cell>
          <cell r="I4632">
            <v>46056</v>
          </cell>
          <cell r="J4632">
            <v>-73.02</v>
          </cell>
        </row>
        <row r="4633">
          <cell r="C4633" t="str">
            <v>推广订单扣款</v>
          </cell>
        </row>
        <row r="4633">
          <cell r="H4633" t="str">
            <v>武侯店</v>
          </cell>
          <cell r="I4633">
            <v>46056</v>
          </cell>
          <cell r="J4633">
            <v>-101.58</v>
          </cell>
        </row>
        <row r="4634">
          <cell r="C4634" t="str">
            <v>推广订单扣款</v>
          </cell>
        </row>
        <row r="4634">
          <cell r="H4634" t="str">
            <v>鼓楼店</v>
          </cell>
          <cell r="I4634">
            <v>46056</v>
          </cell>
          <cell r="J4634">
            <v>-238.92</v>
          </cell>
        </row>
        <row r="4635">
          <cell r="C4635" t="str">
            <v>推广订单扣款</v>
          </cell>
        </row>
        <row r="4635">
          <cell r="H4635" t="str">
            <v>黄雁村店</v>
          </cell>
          <cell r="I4635">
            <v>46056</v>
          </cell>
          <cell r="J4635">
            <v>-230</v>
          </cell>
        </row>
        <row r="4636">
          <cell r="C4636" t="str">
            <v>推广订单扣款</v>
          </cell>
        </row>
        <row r="4636">
          <cell r="H4636" t="str">
            <v>西湖店</v>
          </cell>
          <cell r="I4636">
            <v>46056</v>
          </cell>
          <cell r="J4636">
            <v>-158.21</v>
          </cell>
        </row>
        <row r="4637">
          <cell r="C4637" t="str">
            <v>推广订单扣款</v>
          </cell>
        </row>
        <row r="4637">
          <cell r="H4637" t="str">
            <v>百丈店</v>
          </cell>
          <cell r="I4637">
            <v>46056</v>
          </cell>
          <cell r="J4637">
            <v>-300</v>
          </cell>
        </row>
        <row r="4638">
          <cell r="C4638" t="str">
            <v>推广订单扣款</v>
          </cell>
        </row>
        <row r="4638">
          <cell r="H4638" t="str">
            <v>文昌店</v>
          </cell>
          <cell r="I4638">
            <v>46056</v>
          </cell>
          <cell r="J4638">
            <v>-155.74</v>
          </cell>
        </row>
        <row r="4639">
          <cell r="C4639" t="str">
            <v>推广订单扣款</v>
          </cell>
        </row>
        <row r="4639">
          <cell r="H4639" t="str">
            <v>观桥店</v>
          </cell>
          <cell r="I4639">
            <v>46056</v>
          </cell>
          <cell r="J4639">
            <v>-200</v>
          </cell>
        </row>
        <row r="4640">
          <cell r="C4640" t="str">
            <v>推广订单扣款</v>
          </cell>
        </row>
        <row r="4640">
          <cell r="H4640" t="str">
            <v>海口店</v>
          </cell>
          <cell r="I4640">
            <v>46056</v>
          </cell>
          <cell r="J4640">
            <v>-250</v>
          </cell>
        </row>
        <row r="4641">
          <cell r="C4641" t="str">
            <v>推广订单扣款</v>
          </cell>
        </row>
        <row r="4641">
          <cell r="H4641" t="str">
            <v>南安店</v>
          </cell>
          <cell r="I4641">
            <v>46056</v>
          </cell>
          <cell r="J4641">
            <v>-12.78</v>
          </cell>
        </row>
        <row r="4642">
          <cell r="C4642" t="str">
            <v>推广订单扣款</v>
          </cell>
        </row>
        <row r="4642">
          <cell r="H4642" t="str">
            <v>诚毅店</v>
          </cell>
          <cell r="I4642">
            <v>46056</v>
          </cell>
          <cell r="J4642">
            <v>-200</v>
          </cell>
        </row>
        <row r="4643">
          <cell r="C4643" t="str">
            <v>推广订单扣款</v>
          </cell>
        </row>
        <row r="4643">
          <cell r="H4643" t="str">
            <v>首山店</v>
          </cell>
          <cell r="I4643">
            <v>46056</v>
          </cell>
          <cell r="J4643">
            <v>-198.36</v>
          </cell>
        </row>
        <row r="4644">
          <cell r="C4644" t="str">
            <v>推广订单扣款</v>
          </cell>
        </row>
        <row r="4644">
          <cell r="H4644" t="str">
            <v>首南店</v>
          </cell>
          <cell r="I4644">
            <v>46056</v>
          </cell>
          <cell r="J4644">
            <v>-130.08</v>
          </cell>
        </row>
        <row r="4645">
          <cell r="C4645" t="str">
            <v>推广订单扣款</v>
          </cell>
        </row>
        <row r="4645">
          <cell r="H4645" t="str">
            <v>余杭店</v>
          </cell>
          <cell r="I4645">
            <v>46056</v>
          </cell>
          <cell r="J4645">
            <v>-171.06</v>
          </cell>
        </row>
        <row r="4646">
          <cell r="C4646" t="str">
            <v>推广订单扣款</v>
          </cell>
        </row>
        <row r="4646">
          <cell r="H4646" t="str">
            <v>东海店</v>
          </cell>
          <cell r="I4646">
            <v>46056</v>
          </cell>
          <cell r="J4646">
            <v>-121.9</v>
          </cell>
        </row>
        <row r="4647">
          <cell r="C4647" t="str">
            <v>推广订单扣款</v>
          </cell>
        </row>
        <row r="4647">
          <cell r="H4647" t="str">
            <v>文灶店</v>
          </cell>
          <cell r="I4647">
            <v>46056</v>
          </cell>
          <cell r="J4647">
            <v>-244.83</v>
          </cell>
        </row>
        <row r="4648">
          <cell r="C4648" t="str">
            <v>推广订单扣款</v>
          </cell>
        </row>
        <row r="4648">
          <cell r="H4648" t="str">
            <v>滨江店</v>
          </cell>
          <cell r="I4648">
            <v>46056</v>
          </cell>
          <cell r="J4648">
            <v>-200</v>
          </cell>
        </row>
        <row r="4649">
          <cell r="C4649" t="str">
            <v>推广订单扣款</v>
          </cell>
        </row>
        <row r="4649">
          <cell r="H4649" t="str">
            <v>下沙店</v>
          </cell>
          <cell r="I4649">
            <v>46056</v>
          </cell>
          <cell r="J4649">
            <v>-198.3</v>
          </cell>
        </row>
        <row r="4650">
          <cell r="C4650" t="str">
            <v>推广订单扣款</v>
          </cell>
        </row>
        <row r="4650">
          <cell r="H4650" t="str">
            <v>华信店</v>
          </cell>
          <cell r="I4650">
            <v>46057</v>
          </cell>
          <cell r="J4650">
            <v>-200</v>
          </cell>
        </row>
        <row r="4651">
          <cell r="C4651" t="str">
            <v>推广订单扣款</v>
          </cell>
        </row>
        <row r="4651">
          <cell r="H4651" t="str">
            <v>槐荫店</v>
          </cell>
          <cell r="I4651">
            <v>46057</v>
          </cell>
          <cell r="J4651">
            <v>-200</v>
          </cell>
        </row>
        <row r="4652">
          <cell r="C4652" t="str">
            <v>推广订单扣款</v>
          </cell>
        </row>
        <row r="4652">
          <cell r="H4652" t="str">
            <v>湖里店</v>
          </cell>
          <cell r="I4652">
            <v>46057</v>
          </cell>
          <cell r="J4652">
            <v>-142.7</v>
          </cell>
        </row>
        <row r="4653">
          <cell r="C4653" t="str">
            <v>推广订单扣款</v>
          </cell>
        </row>
        <row r="4653">
          <cell r="H4653" t="str">
            <v>东新店</v>
          </cell>
          <cell r="I4653">
            <v>46057</v>
          </cell>
          <cell r="J4653">
            <v>-200</v>
          </cell>
        </row>
        <row r="4654">
          <cell r="C4654" t="str">
            <v>推广账户自动充值</v>
          </cell>
        </row>
        <row r="4654">
          <cell r="H4654" t="str">
            <v>东新店</v>
          </cell>
          <cell r="I4654">
            <v>46057</v>
          </cell>
          <cell r="J4654">
            <v>200</v>
          </cell>
        </row>
        <row r="4655">
          <cell r="C4655" t="str">
            <v>推广订单扣款</v>
          </cell>
        </row>
        <row r="4655">
          <cell r="H4655" t="str">
            <v>启点店</v>
          </cell>
          <cell r="I4655">
            <v>46057</v>
          </cell>
          <cell r="J4655">
            <v>-302.96</v>
          </cell>
        </row>
        <row r="4656">
          <cell r="C4656" t="str">
            <v>推广订单扣款</v>
          </cell>
        </row>
        <row r="4656">
          <cell r="H4656" t="str">
            <v>高新店</v>
          </cell>
          <cell r="I4656">
            <v>46057</v>
          </cell>
          <cell r="J4656">
            <v>-301</v>
          </cell>
        </row>
        <row r="4657">
          <cell r="C4657" t="str">
            <v>推广订单扣款</v>
          </cell>
        </row>
        <row r="4657">
          <cell r="H4657" t="str">
            <v>成华店</v>
          </cell>
          <cell r="I4657">
            <v>46057</v>
          </cell>
          <cell r="J4657">
            <v>-135.2</v>
          </cell>
        </row>
        <row r="4658">
          <cell r="C4658" t="str">
            <v>推广订单扣款</v>
          </cell>
        </row>
        <row r="4658">
          <cell r="H4658" t="str">
            <v>金牛店</v>
          </cell>
          <cell r="I4658">
            <v>46057</v>
          </cell>
          <cell r="J4658">
            <v>-164.32</v>
          </cell>
        </row>
        <row r="4659">
          <cell r="C4659" t="str">
            <v>推广订单扣款</v>
          </cell>
        </row>
        <row r="4659">
          <cell r="H4659" t="str">
            <v>西山店</v>
          </cell>
          <cell r="I4659">
            <v>46057</v>
          </cell>
          <cell r="J4659">
            <v>-385.99</v>
          </cell>
        </row>
        <row r="4660">
          <cell r="C4660" t="str">
            <v>推广订单扣款</v>
          </cell>
        </row>
        <row r="4660">
          <cell r="H4660" t="str">
            <v>沙坪坝店</v>
          </cell>
          <cell r="I4660">
            <v>46057</v>
          </cell>
          <cell r="J4660">
            <v>-205.83</v>
          </cell>
        </row>
        <row r="4661">
          <cell r="C4661" t="str">
            <v>推广订单扣款</v>
          </cell>
        </row>
        <row r="4661">
          <cell r="H4661" t="str">
            <v>凤城二路店</v>
          </cell>
          <cell r="I4661">
            <v>46057</v>
          </cell>
          <cell r="J4661">
            <v>-200</v>
          </cell>
        </row>
        <row r="4662">
          <cell r="C4662" t="str">
            <v>推广订单扣款</v>
          </cell>
        </row>
        <row r="4662">
          <cell r="H4662" t="str">
            <v>大坪店</v>
          </cell>
          <cell r="I4662">
            <v>46057</v>
          </cell>
          <cell r="J4662">
            <v>-200</v>
          </cell>
        </row>
        <row r="4663">
          <cell r="C4663" t="str">
            <v>推广订单扣款</v>
          </cell>
        </row>
        <row r="4663">
          <cell r="H4663" t="str">
            <v>五华店</v>
          </cell>
          <cell r="I4663">
            <v>46057</v>
          </cell>
          <cell r="J4663">
            <v>-133.9</v>
          </cell>
        </row>
        <row r="4664">
          <cell r="C4664" t="str">
            <v>推广账户自动充值</v>
          </cell>
        </row>
        <row r="4664">
          <cell r="H4664" t="str">
            <v>官渡店</v>
          </cell>
          <cell r="I4664">
            <v>46057</v>
          </cell>
          <cell r="J4664">
            <v>200</v>
          </cell>
        </row>
        <row r="4665">
          <cell r="C4665" t="str">
            <v>推广订单扣款</v>
          </cell>
        </row>
        <row r="4665">
          <cell r="H4665" t="str">
            <v>官渡店</v>
          </cell>
          <cell r="I4665">
            <v>46057</v>
          </cell>
          <cell r="J4665">
            <v>-200</v>
          </cell>
        </row>
        <row r="4666">
          <cell r="C4666" t="str">
            <v>推广订单扣款</v>
          </cell>
        </row>
        <row r="4666">
          <cell r="H4666" t="str">
            <v>百捷店</v>
          </cell>
          <cell r="I4666">
            <v>46057</v>
          </cell>
          <cell r="J4666">
            <v>-166.17</v>
          </cell>
        </row>
        <row r="4667">
          <cell r="C4667" t="str">
            <v>推广账户自动充值</v>
          </cell>
        </row>
        <row r="4667">
          <cell r="H4667" t="str">
            <v>济南店</v>
          </cell>
          <cell r="I4667">
            <v>46057</v>
          </cell>
          <cell r="J4667">
            <v>200</v>
          </cell>
        </row>
        <row r="4668">
          <cell r="C4668" t="str">
            <v>推广订单扣款</v>
          </cell>
        </row>
        <row r="4668">
          <cell r="H4668" t="str">
            <v>济南店</v>
          </cell>
          <cell r="I4668">
            <v>46057</v>
          </cell>
          <cell r="J4668">
            <v>-250</v>
          </cell>
        </row>
        <row r="4669">
          <cell r="C4669" t="str">
            <v>推广订单扣款</v>
          </cell>
        </row>
        <row r="4669">
          <cell r="H4669" t="str">
            <v>观音桥店</v>
          </cell>
          <cell r="I4669">
            <v>46057</v>
          </cell>
          <cell r="J4669">
            <v>-280</v>
          </cell>
        </row>
        <row r="4670">
          <cell r="C4670" t="str">
            <v>推广订单扣款</v>
          </cell>
        </row>
        <row r="4670">
          <cell r="H4670" t="str">
            <v>长沙店</v>
          </cell>
          <cell r="I4670">
            <v>46057</v>
          </cell>
          <cell r="J4670">
            <v>-165.43</v>
          </cell>
        </row>
        <row r="4671">
          <cell r="C4671" t="str">
            <v>推广订单扣款</v>
          </cell>
        </row>
        <row r="4671">
          <cell r="H4671" t="str">
            <v>洛江店</v>
          </cell>
          <cell r="I4671">
            <v>46057</v>
          </cell>
          <cell r="J4671">
            <v>-119.98</v>
          </cell>
        </row>
        <row r="4672">
          <cell r="C4672" t="str">
            <v>推广订单扣款</v>
          </cell>
        </row>
        <row r="4672">
          <cell r="H4672" t="str">
            <v>五路口店</v>
          </cell>
          <cell r="I4672">
            <v>46057</v>
          </cell>
          <cell r="J4672">
            <v>-300</v>
          </cell>
        </row>
        <row r="4673">
          <cell r="C4673" t="str">
            <v>推广订单扣款</v>
          </cell>
        </row>
        <row r="4673">
          <cell r="H4673" t="str">
            <v>青羊店</v>
          </cell>
          <cell r="I4673">
            <v>46057</v>
          </cell>
          <cell r="J4673">
            <v>-106.35</v>
          </cell>
        </row>
        <row r="4674">
          <cell r="C4674" t="str">
            <v>推广订单扣款</v>
          </cell>
        </row>
        <row r="4674">
          <cell r="H4674" t="str">
            <v>武侯店</v>
          </cell>
          <cell r="I4674">
            <v>46057</v>
          </cell>
          <cell r="J4674">
            <v>-179.57</v>
          </cell>
        </row>
        <row r="4675">
          <cell r="C4675" t="str">
            <v>推广订单扣款</v>
          </cell>
        </row>
        <row r="4675">
          <cell r="H4675" t="str">
            <v>鼓楼店</v>
          </cell>
          <cell r="I4675">
            <v>46057</v>
          </cell>
          <cell r="J4675">
            <v>-204.23</v>
          </cell>
        </row>
        <row r="4676">
          <cell r="C4676" t="str">
            <v>推广订单扣款</v>
          </cell>
        </row>
        <row r="4676">
          <cell r="H4676" t="str">
            <v>黄雁村店</v>
          </cell>
          <cell r="I4676">
            <v>46057</v>
          </cell>
          <cell r="J4676">
            <v>-230</v>
          </cell>
        </row>
        <row r="4677">
          <cell r="C4677" t="str">
            <v>推广订单扣款</v>
          </cell>
        </row>
        <row r="4677">
          <cell r="H4677" t="str">
            <v>西湖店</v>
          </cell>
          <cell r="I4677">
            <v>46057</v>
          </cell>
          <cell r="J4677">
            <v>-168.41</v>
          </cell>
        </row>
        <row r="4678">
          <cell r="C4678" t="str">
            <v>推广订单扣款</v>
          </cell>
        </row>
        <row r="4678">
          <cell r="H4678" t="str">
            <v>百丈店</v>
          </cell>
          <cell r="I4678">
            <v>46057</v>
          </cell>
          <cell r="J4678">
            <v>-300</v>
          </cell>
        </row>
        <row r="4679">
          <cell r="C4679" t="str">
            <v>推广订单扣款</v>
          </cell>
        </row>
        <row r="4679">
          <cell r="H4679" t="str">
            <v>文昌店</v>
          </cell>
          <cell r="I4679">
            <v>46057</v>
          </cell>
          <cell r="J4679">
            <v>-230.39</v>
          </cell>
        </row>
        <row r="4680">
          <cell r="C4680" t="str">
            <v>推广订单扣款</v>
          </cell>
        </row>
        <row r="4680">
          <cell r="H4680" t="str">
            <v>观桥店</v>
          </cell>
          <cell r="I4680">
            <v>46057</v>
          </cell>
          <cell r="J4680">
            <v>-154.53</v>
          </cell>
        </row>
        <row r="4681">
          <cell r="C4681" t="str">
            <v>推广订单扣款</v>
          </cell>
        </row>
        <row r="4681">
          <cell r="H4681" t="str">
            <v>海口店</v>
          </cell>
          <cell r="I4681">
            <v>46057</v>
          </cell>
          <cell r="J4681">
            <v>-250</v>
          </cell>
        </row>
        <row r="4682">
          <cell r="C4682" t="str">
            <v>推广订单扣款</v>
          </cell>
        </row>
        <row r="4682">
          <cell r="H4682" t="str">
            <v>南安店</v>
          </cell>
          <cell r="I4682">
            <v>46057</v>
          </cell>
          <cell r="J4682">
            <v>-18.82</v>
          </cell>
        </row>
        <row r="4683">
          <cell r="C4683" t="str">
            <v>推广订单扣款</v>
          </cell>
        </row>
        <row r="4683">
          <cell r="H4683" t="str">
            <v>诚毅店</v>
          </cell>
          <cell r="I4683">
            <v>46057</v>
          </cell>
          <cell r="J4683">
            <v>-191.99</v>
          </cell>
        </row>
        <row r="4684">
          <cell r="C4684" t="str">
            <v>推广订单扣款</v>
          </cell>
        </row>
        <row r="4684">
          <cell r="H4684" t="str">
            <v>首山店</v>
          </cell>
          <cell r="I4684">
            <v>46057</v>
          </cell>
          <cell r="J4684">
            <v>-168.99</v>
          </cell>
        </row>
        <row r="4685">
          <cell r="C4685" t="str">
            <v>推广账户自动充值</v>
          </cell>
        </row>
        <row r="4685">
          <cell r="H4685" t="str">
            <v>首山店</v>
          </cell>
          <cell r="I4685">
            <v>46057</v>
          </cell>
          <cell r="J4685">
            <v>200</v>
          </cell>
        </row>
        <row r="4686">
          <cell r="C4686" t="str">
            <v>推广订单扣款</v>
          </cell>
        </row>
        <row r="4686">
          <cell r="H4686" t="str">
            <v>首南店</v>
          </cell>
          <cell r="I4686">
            <v>46057</v>
          </cell>
          <cell r="J4686">
            <v>-125.08</v>
          </cell>
        </row>
        <row r="4687">
          <cell r="C4687" t="str">
            <v>推广订单扣款</v>
          </cell>
        </row>
        <row r="4687">
          <cell r="H4687" t="str">
            <v>余杭店</v>
          </cell>
          <cell r="I4687">
            <v>46057</v>
          </cell>
          <cell r="J4687">
            <v>-180.34</v>
          </cell>
        </row>
        <row r="4688">
          <cell r="C4688" t="str">
            <v>推广订单扣款</v>
          </cell>
        </row>
        <row r="4688">
          <cell r="H4688" t="str">
            <v>东海店</v>
          </cell>
          <cell r="I4688">
            <v>46057</v>
          </cell>
          <cell r="J4688">
            <v>-155.07</v>
          </cell>
        </row>
        <row r="4689">
          <cell r="C4689" t="str">
            <v>推广订单扣款</v>
          </cell>
        </row>
        <row r="4689">
          <cell r="H4689" t="str">
            <v>文灶店</v>
          </cell>
          <cell r="I4689">
            <v>46057</v>
          </cell>
          <cell r="J4689">
            <v>-211.33</v>
          </cell>
        </row>
        <row r="4690">
          <cell r="C4690" t="str">
            <v>推广订单扣款</v>
          </cell>
        </row>
        <row r="4690">
          <cell r="H4690" t="str">
            <v>滨江店</v>
          </cell>
          <cell r="I4690">
            <v>46057</v>
          </cell>
          <cell r="J4690">
            <v>-200</v>
          </cell>
        </row>
        <row r="4691">
          <cell r="C4691" t="str">
            <v>推广订单扣款</v>
          </cell>
        </row>
        <row r="4691">
          <cell r="H4691" t="str">
            <v>下沙店</v>
          </cell>
          <cell r="I4691">
            <v>46057</v>
          </cell>
          <cell r="J4691">
            <v>-177.52</v>
          </cell>
        </row>
        <row r="4692">
          <cell r="C4692" t="str">
            <v>推广订单扣款</v>
          </cell>
        </row>
        <row r="4692">
          <cell r="H4692" t="str">
            <v>华信店</v>
          </cell>
          <cell r="I4692">
            <v>46058</v>
          </cell>
          <cell r="J4692">
            <v>-200</v>
          </cell>
        </row>
        <row r="4693">
          <cell r="C4693" t="str">
            <v>推广订单扣款</v>
          </cell>
        </row>
        <row r="4693">
          <cell r="H4693" t="str">
            <v>槐荫店</v>
          </cell>
          <cell r="I4693">
            <v>46058</v>
          </cell>
          <cell r="J4693">
            <v>-200</v>
          </cell>
        </row>
        <row r="4694">
          <cell r="C4694" t="str">
            <v>推广账户自动充值</v>
          </cell>
        </row>
        <row r="4694">
          <cell r="H4694" t="str">
            <v>湖里店</v>
          </cell>
          <cell r="I4694">
            <v>46058</v>
          </cell>
          <cell r="J4694">
            <v>200</v>
          </cell>
        </row>
        <row r="4695">
          <cell r="C4695" t="str">
            <v>推广订单扣款</v>
          </cell>
        </row>
        <row r="4695">
          <cell r="H4695" t="str">
            <v>湖里店</v>
          </cell>
          <cell r="I4695">
            <v>46058</v>
          </cell>
          <cell r="J4695">
            <v>-135.04</v>
          </cell>
        </row>
        <row r="4696">
          <cell r="C4696" t="str">
            <v>推广账户自动充值</v>
          </cell>
        </row>
        <row r="4696">
          <cell r="H4696" t="str">
            <v>东新店</v>
          </cell>
          <cell r="I4696">
            <v>46058</v>
          </cell>
          <cell r="J4696">
            <v>200</v>
          </cell>
        </row>
        <row r="4697">
          <cell r="C4697" t="str">
            <v>推广订单扣款</v>
          </cell>
        </row>
        <row r="4697">
          <cell r="H4697" t="str">
            <v>东新店</v>
          </cell>
          <cell r="I4697">
            <v>46058</v>
          </cell>
          <cell r="J4697">
            <v>-178.06</v>
          </cell>
        </row>
        <row r="4698">
          <cell r="C4698" t="str">
            <v>推广订单扣款</v>
          </cell>
        </row>
        <row r="4698">
          <cell r="H4698" t="str">
            <v>泉秀店</v>
          </cell>
          <cell r="I4698">
            <v>46058</v>
          </cell>
          <cell r="J4698">
            <v>-2.48</v>
          </cell>
        </row>
        <row r="4699">
          <cell r="C4699" t="str">
            <v>推广账户自动充值</v>
          </cell>
        </row>
        <row r="4699">
          <cell r="H4699" t="str">
            <v>启点店</v>
          </cell>
          <cell r="I4699">
            <v>46058</v>
          </cell>
          <cell r="J4699">
            <v>200</v>
          </cell>
        </row>
        <row r="4700">
          <cell r="C4700" t="str">
            <v>推广订单扣款</v>
          </cell>
        </row>
        <row r="4700">
          <cell r="H4700" t="str">
            <v>启点店</v>
          </cell>
          <cell r="I4700">
            <v>46058</v>
          </cell>
          <cell r="J4700">
            <v>-316.75</v>
          </cell>
        </row>
        <row r="4701">
          <cell r="C4701" t="str">
            <v>推广订单扣款</v>
          </cell>
        </row>
        <row r="4701">
          <cell r="H4701" t="str">
            <v>高新店</v>
          </cell>
          <cell r="I4701">
            <v>46058</v>
          </cell>
          <cell r="J4701">
            <v>-185</v>
          </cell>
        </row>
        <row r="4702">
          <cell r="C4702" t="str">
            <v>推广订单扣款</v>
          </cell>
        </row>
        <row r="4702">
          <cell r="H4702" t="str">
            <v>成华店</v>
          </cell>
          <cell r="I4702">
            <v>46058</v>
          </cell>
          <cell r="J4702">
            <v>-143.84</v>
          </cell>
        </row>
        <row r="4703">
          <cell r="C4703" t="str">
            <v>推广订单扣款</v>
          </cell>
        </row>
        <row r="4703">
          <cell r="H4703" t="str">
            <v>金牛店</v>
          </cell>
          <cell r="I4703">
            <v>46058</v>
          </cell>
          <cell r="J4703">
            <v>-138.1</v>
          </cell>
        </row>
        <row r="4704">
          <cell r="C4704" t="str">
            <v>推广订单扣款</v>
          </cell>
        </row>
        <row r="4704">
          <cell r="H4704" t="str">
            <v>西山店</v>
          </cell>
          <cell r="I4704">
            <v>46058</v>
          </cell>
          <cell r="J4704">
            <v>-250</v>
          </cell>
        </row>
        <row r="4705">
          <cell r="C4705" t="str">
            <v>推广订单扣款</v>
          </cell>
        </row>
        <row r="4705">
          <cell r="H4705" t="str">
            <v>沙坪坝店</v>
          </cell>
          <cell r="I4705">
            <v>46058</v>
          </cell>
          <cell r="J4705">
            <v>-110.34</v>
          </cell>
        </row>
        <row r="4706">
          <cell r="C4706" t="str">
            <v>推广账户自动充值</v>
          </cell>
        </row>
        <row r="4706">
          <cell r="H4706" t="str">
            <v>凤城二路店</v>
          </cell>
          <cell r="I4706">
            <v>46058</v>
          </cell>
          <cell r="J4706">
            <v>200</v>
          </cell>
        </row>
        <row r="4707">
          <cell r="C4707" t="str">
            <v>推广订单扣款</v>
          </cell>
        </row>
        <row r="4707">
          <cell r="H4707" t="str">
            <v>凤城二路店</v>
          </cell>
          <cell r="I4707">
            <v>46058</v>
          </cell>
          <cell r="J4707">
            <v>-200</v>
          </cell>
        </row>
        <row r="4708">
          <cell r="C4708" t="str">
            <v>推广订单扣款</v>
          </cell>
        </row>
        <row r="4708">
          <cell r="H4708" t="str">
            <v>大坪店</v>
          </cell>
          <cell r="I4708">
            <v>46058</v>
          </cell>
          <cell r="J4708">
            <v>-200</v>
          </cell>
        </row>
        <row r="4709">
          <cell r="C4709" t="str">
            <v>推广账户自动充值</v>
          </cell>
        </row>
        <row r="4709">
          <cell r="H4709" t="str">
            <v>五华店</v>
          </cell>
          <cell r="I4709">
            <v>46058</v>
          </cell>
          <cell r="J4709">
            <v>200</v>
          </cell>
        </row>
        <row r="4710">
          <cell r="C4710" t="str">
            <v>推广订单扣款</v>
          </cell>
        </row>
        <row r="4710">
          <cell r="H4710" t="str">
            <v>五华店</v>
          </cell>
          <cell r="I4710">
            <v>46058</v>
          </cell>
          <cell r="J4710">
            <v>-197.29</v>
          </cell>
        </row>
        <row r="4711">
          <cell r="C4711" t="str">
            <v>推广订单扣款</v>
          </cell>
        </row>
        <row r="4711">
          <cell r="H4711" t="str">
            <v>官渡店</v>
          </cell>
          <cell r="I4711">
            <v>46058</v>
          </cell>
          <cell r="J4711">
            <v>-160</v>
          </cell>
        </row>
        <row r="4712">
          <cell r="C4712" t="str">
            <v>推广账户自动充值</v>
          </cell>
        </row>
        <row r="4712">
          <cell r="H4712" t="str">
            <v>百捷店</v>
          </cell>
          <cell r="I4712">
            <v>46058</v>
          </cell>
          <cell r="J4712">
            <v>200</v>
          </cell>
        </row>
        <row r="4713">
          <cell r="C4713" t="str">
            <v>推广订单扣款</v>
          </cell>
        </row>
        <row r="4713">
          <cell r="H4713" t="str">
            <v>百捷店</v>
          </cell>
          <cell r="I4713">
            <v>46058</v>
          </cell>
          <cell r="J4713">
            <v>-165.33</v>
          </cell>
        </row>
        <row r="4714">
          <cell r="C4714" t="str">
            <v>推广账户自动充值</v>
          </cell>
        </row>
        <row r="4714">
          <cell r="H4714" t="str">
            <v>济南店</v>
          </cell>
          <cell r="I4714">
            <v>46058</v>
          </cell>
          <cell r="J4714">
            <v>200</v>
          </cell>
        </row>
        <row r="4715">
          <cell r="C4715" t="str">
            <v>推广订单扣款</v>
          </cell>
        </row>
        <row r="4715">
          <cell r="H4715" t="str">
            <v>济南店</v>
          </cell>
          <cell r="I4715">
            <v>46058</v>
          </cell>
          <cell r="J4715">
            <v>-205.53</v>
          </cell>
        </row>
        <row r="4716">
          <cell r="C4716" t="str">
            <v>推广账户自动充值</v>
          </cell>
        </row>
        <row r="4716">
          <cell r="H4716" t="str">
            <v>观音桥店</v>
          </cell>
          <cell r="I4716">
            <v>46058</v>
          </cell>
          <cell r="J4716">
            <v>200</v>
          </cell>
        </row>
        <row r="4717">
          <cell r="C4717" t="str">
            <v>推广订单扣款</v>
          </cell>
        </row>
        <row r="4717">
          <cell r="H4717" t="str">
            <v>观音桥店</v>
          </cell>
          <cell r="I4717">
            <v>46058</v>
          </cell>
          <cell r="J4717">
            <v>-250</v>
          </cell>
        </row>
        <row r="4718">
          <cell r="C4718" t="str">
            <v>推广订单扣款</v>
          </cell>
        </row>
        <row r="4718">
          <cell r="H4718" t="str">
            <v>长沙店</v>
          </cell>
          <cell r="I4718">
            <v>46058</v>
          </cell>
          <cell r="J4718">
            <v>-152.02</v>
          </cell>
        </row>
        <row r="4719">
          <cell r="C4719" t="str">
            <v>推广订单扣款</v>
          </cell>
        </row>
        <row r="4719">
          <cell r="H4719" t="str">
            <v>洛江店</v>
          </cell>
          <cell r="I4719">
            <v>46058</v>
          </cell>
          <cell r="J4719">
            <v>-61.73</v>
          </cell>
        </row>
        <row r="4720">
          <cell r="C4720" t="str">
            <v>推广订单扣款</v>
          </cell>
        </row>
        <row r="4720">
          <cell r="H4720" t="str">
            <v>五路口店</v>
          </cell>
          <cell r="I4720">
            <v>46058</v>
          </cell>
          <cell r="J4720">
            <v>-240</v>
          </cell>
        </row>
        <row r="4721">
          <cell r="C4721" t="str">
            <v>推广订单扣款</v>
          </cell>
        </row>
        <row r="4721">
          <cell r="H4721" t="str">
            <v>青羊店</v>
          </cell>
          <cell r="I4721">
            <v>46058</v>
          </cell>
          <cell r="J4721">
            <v>-101.89</v>
          </cell>
        </row>
        <row r="4722">
          <cell r="C4722" t="str">
            <v>推广账户自动充值</v>
          </cell>
        </row>
        <row r="4722">
          <cell r="H4722" t="str">
            <v>武侯店</v>
          </cell>
          <cell r="I4722">
            <v>46058</v>
          </cell>
          <cell r="J4722">
            <v>200</v>
          </cell>
        </row>
        <row r="4723">
          <cell r="C4723" t="str">
            <v>推广订单扣款</v>
          </cell>
        </row>
        <row r="4723">
          <cell r="H4723" t="str">
            <v>武侯店</v>
          </cell>
          <cell r="I4723">
            <v>46058</v>
          </cell>
          <cell r="J4723">
            <v>-103.62</v>
          </cell>
        </row>
        <row r="4724">
          <cell r="C4724" t="str">
            <v>推广账户自动充值</v>
          </cell>
        </row>
        <row r="4724">
          <cell r="H4724" t="str">
            <v>鼓楼店</v>
          </cell>
          <cell r="I4724">
            <v>46058</v>
          </cell>
          <cell r="J4724">
            <v>200</v>
          </cell>
        </row>
        <row r="4725">
          <cell r="C4725" t="str">
            <v>推广订单扣款</v>
          </cell>
        </row>
        <row r="4725">
          <cell r="H4725" t="str">
            <v>鼓楼店</v>
          </cell>
          <cell r="I4725">
            <v>46058</v>
          </cell>
          <cell r="J4725">
            <v>-297.38</v>
          </cell>
        </row>
        <row r="4726">
          <cell r="C4726" t="str">
            <v>推广订单扣款</v>
          </cell>
        </row>
        <row r="4726">
          <cell r="H4726" t="str">
            <v>黄雁村店</v>
          </cell>
          <cell r="I4726">
            <v>46058</v>
          </cell>
          <cell r="J4726">
            <v>-180</v>
          </cell>
        </row>
        <row r="4727">
          <cell r="C4727" t="str">
            <v>推广订单扣款</v>
          </cell>
        </row>
        <row r="4727">
          <cell r="H4727" t="str">
            <v>西湖店</v>
          </cell>
          <cell r="I4727">
            <v>46058</v>
          </cell>
          <cell r="J4727">
            <v>-118.79</v>
          </cell>
        </row>
        <row r="4728">
          <cell r="C4728" t="str">
            <v>推广订单扣款</v>
          </cell>
        </row>
        <row r="4728">
          <cell r="H4728" t="str">
            <v>百丈店</v>
          </cell>
          <cell r="I4728">
            <v>46058</v>
          </cell>
          <cell r="J4728">
            <v>-248.29</v>
          </cell>
        </row>
        <row r="4729">
          <cell r="C4729" t="str">
            <v>推广订单扣款</v>
          </cell>
        </row>
        <row r="4729">
          <cell r="H4729" t="str">
            <v>文昌店</v>
          </cell>
          <cell r="I4729">
            <v>46058</v>
          </cell>
          <cell r="J4729">
            <v>-170.63</v>
          </cell>
        </row>
        <row r="4730">
          <cell r="C4730" t="str">
            <v>推广订单扣款</v>
          </cell>
        </row>
        <row r="4730">
          <cell r="H4730" t="str">
            <v>观桥店</v>
          </cell>
          <cell r="I4730">
            <v>46058</v>
          </cell>
          <cell r="J4730">
            <v>-200</v>
          </cell>
        </row>
        <row r="4731">
          <cell r="C4731" t="str">
            <v>推广订单扣款</v>
          </cell>
        </row>
        <row r="4731">
          <cell r="H4731" t="str">
            <v>海口店</v>
          </cell>
          <cell r="I4731">
            <v>46058</v>
          </cell>
          <cell r="J4731">
            <v>-250</v>
          </cell>
        </row>
        <row r="4732">
          <cell r="C4732" t="str">
            <v>推广订单扣款</v>
          </cell>
        </row>
        <row r="4732">
          <cell r="H4732" t="str">
            <v>南安店</v>
          </cell>
          <cell r="I4732">
            <v>46058</v>
          </cell>
          <cell r="J4732">
            <v>-27.87</v>
          </cell>
        </row>
        <row r="4733">
          <cell r="C4733" t="str">
            <v>推广账户自动充值</v>
          </cell>
        </row>
        <row r="4733">
          <cell r="H4733" t="str">
            <v>诚毅店</v>
          </cell>
          <cell r="I4733">
            <v>46058</v>
          </cell>
          <cell r="J4733">
            <v>200</v>
          </cell>
        </row>
        <row r="4734">
          <cell r="C4734" t="str">
            <v>推广订单扣款</v>
          </cell>
        </row>
        <row r="4734">
          <cell r="H4734" t="str">
            <v>诚毅店</v>
          </cell>
          <cell r="I4734">
            <v>46058</v>
          </cell>
          <cell r="J4734">
            <v>-200</v>
          </cell>
        </row>
        <row r="4735">
          <cell r="C4735" t="str">
            <v>推广账户自动充值</v>
          </cell>
        </row>
        <row r="4735">
          <cell r="H4735" t="str">
            <v>首山店</v>
          </cell>
          <cell r="I4735">
            <v>46058</v>
          </cell>
          <cell r="J4735">
            <v>200</v>
          </cell>
        </row>
        <row r="4736">
          <cell r="C4736" t="str">
            <v>推广订单扣款</v>
          </cell>
        </row>
        <row r="4736">
          <cell r="H4736" t="str">
            <v>首山店</v>
          </cell>
          <cell r="I4736">
            <v>46058</v>
          </cell>
          <cell r="J4736">
            <v>-175.08</v>
          </cell>
        </row>
        <row r="4737">
          <cell r="C4737" t="str">
            <v>推广账户自动充值</v>
          </cell>
        </row>
        <row r="4737">
          <cell r="H4737" t="str">
            <v>首南店</v>
          </cell>
          <cell r="I4737">
            <v>46058</v>
          </cell>
          <cell r="J4737">
            <v>200</v>
          </cell>
        </row>
        <row r="4738">
          <cell r="C4738" t="str">
            <v>推广订单扣款</v>
          </cell>
        </row>
        <row r="4738">
          <cell r="H4738" t="str">
            <v>首南店</v>
          </cell>
          <cell r="I4738">
            <v>46058</v>
          </cell>
          <cell r="J4738">
            <v>-122.4</v>
          </cell>
        </row>
        <row r="4739">
          <cell r="C4739" t="str">
            <v>推广账户自动充值</v>
          </cell>
        </row>
        <row r="4739">
          <cell r="H4739" t="str">
            <v>余杭店</v>
          </cell>
          <cell r="I4739">
            <v>46058</v>
          </cell>
          <cell r="J4739">
            <v>200</v>
          </cell>
        </row>
        <row r="4740">
          <cell r="C4740" t="str">
            <v>推广订单扣款</v>
          </cell>
        </row>
        <row r="4740">
          <cell r="H4740" t="str">
            <v>余杭店</v>
          </cell>
          <cell r="I4740">
            <v>46058</v>
          </cell>
          <cell r="J4740">
            <v>-169.19</v>
          </cell>
        </row>
        <row r="4741">
          <cell r="C4741" t="str">
            <v>推广账户自动充值</v>
          </cell>
        </row>
        <row r="4741">
          <cell r="H4741" t="str">
            <v>东海店</v>
          </cell>
          <cell r="I4741">
            <v>46058</v>
          </cell>
          <cell r="J4741">
            <v>200</v>
          </cell>
        </row>
        <row r="4742">
          <cell r="C4742" t="str">
            <v>推广订单扣款</v>
          </cell>
        </row>
        <row r="4742">
          <cell r="H4742" t="str">
            <v>东海店</v>
          </cell>
          <cell r="I4742">
            <v>46058</v>
          </cell>
          <cell r="J4742">
            <v>-98.81</v>
          </cell>
        </row>
        <row r="4743">
          <cell r="C4743" t="str">
            <v>推广订单扣款</v>
          </cell>
        </row>
        <row r="4743">
          <cell r="H4743" t="str">
            <v>文灶店</v>
          </cell>
          <cell r="I4743">
            <v>46058</v>
          </cell>
          <cell r="J4743">
            <v>-138.32</v>
          </cell>
        </row>
        <row r="4744">
          <cell r="C4744" t="str">
            <v>推广订单扣款</v>
          </cell>
        </row>
        <row r="4744">
          <cell r="H4744" t="str">
            <v>滨江店</v>
          </cell>
          <cell r="I4744">
            <v>46058</v>
          </cell>
          <cell r="J4744">
            <v>-199.27</v>
          </cell>
        </row>
        <row r="4745">
          <cell r="C4745" t="str">
            <v>推广订单扣款</v>
          </cell>
        </row>
        <row r="4745">
          <cell r="H4745" t="str">
            <v>下沙店</v>
          </cell>
          <cell r="I4745">
            <v>46058</v>
          </cell>
          <cell r="J4745">
            <v>-154.84</v>
          </cell>
        </row>
        <row r="4746">
          <cell r="C4746" t="str">
            <v>推广订单扣款</v>
          </cell>
        </row>
        <row r="4746">
          <cell r="H4746" t="str">
            <v>济南店</v>
          </cell>
          <cell r="I4746">
            <v>46059</v>
          </cell>
          <cell r="J4746">
            <v>-106.51</v>
          </cell>
        </row>
        <row r="4747">
          <cell r="C4747" t="str">
            <v>推广订单扣款</v>
          </cell>
        </row>
        <row r="4747">
          <cell r="H4747" t="str">
            <v>大坪店</v>
          </cell>
          <cell r="I4747">
            <v>46059</v>
          </cell>
          <cell r="J4747">
            <v>-168.11</v>
          </cell>
        </row>
        <row r="4748">
          <cell r="C4748" t="str">
            <v>推广订单扣款</v>
          </cell>
        </row>
        <row r="4748">
          <cell r="H4748" t="str">
            <v>金牛店</v>
          </cell>
          <cell r="I4748">
            <v>46059</v>
          </cell>
          <cell r="J4748">
            <v>-95.24</v>
          </cell>
        </row>
        <row r="4749">
          <cell r="C4749" t="str">
            <v>推广订单扣款</v>
          </cell>
        </row>
        <row r="4749">
          <cell r="H4749" t="str">
            <v>观音桥店</v>
          </cell>
          <cell r="I4749">
            <v>46059</v>
          </cell>
          <cell r="J4749">
            <v>-376.25</v>
          </cell>
        </row>
        <row r="4750">
          <cell r="C4750" t="str">
            <v>推广订单扣款</v>
          </cell>
        </row>
        <row r="4750">
          <cell r="H4750" t="str">
            <v>高新店</v>
          </cell>
          <cell r="I4750">
            <v>46059</v>
          </cell>
          <cell r="J4750">
            <v>-115.98</v>
          </cell>
        </row>
        <row r="4751">
          <cell r="C4751" t="str">
            <v>推广订单扣款</v>
          </cell>
        </row>
        <row r="4751">
          <cell r="H4751" t="str">
            <v>南安店</v>
          </cell>
          <cell r="I4751">
            <v>46059</v>
          </cell>
          <cell r="J4751">
            <v>-27.11</v>
          </cell>
        </row>
        <row r="4752">
          <cell r="C4752" t="str">
            <v>推广账户自动充值</v>
          </cell>
        </row>
        <row r="4752">
          <cell r="H4752" t="str">
            <v>文灶店</v>
          </cell>
          <cell r="I4752">
            <v>46059</v>
          </cell>
          <cell r="J4752">
            <v>200</v>
          </cell>
        </row>
        <row r="4753">
          <cell r="C4753" t="str">
            <v>推广订单扣款</v>
          </cell>
        </row>
        <row r="4753">
          <cell r="H4753" t="str">
            <v>余杭店</v>
          </cell>
          <cell r="I4753">
            <v>46059</v>
          </cell>
          <cell r="J4753">
            <v>-167.18</v>
          </cell>
        </row>
        <row r="4754">
          <cell r="C4754" t="str">
            <v>推广订单扣款</v>
          </cell>
        </row>
        <row r="4754">
          <cell r="H4754" t="str">
            <v>西山店</v>
          </cell>
          <cell r="I4754">
            <v>46059</v>
          </cell>
          <cell r="J4754">
            <v>-174.39</v>
          </cell>
        </row>
        <row r="4755">
          <cell r="C4755" t="str">
            <v>推广订单扣款</v>
          </cell>
        </row>
        <row r="4755">
          <cell r="H4755" t="str">
            <v>武侯店</v>
          </cell>
          <cell r="I4755">
            <v>46059</v>
          </cell>
          <cell r="J4755">
            <v>-108.66</v>
          </cell>
        </row>
        <row r="4756">
          <cell r="C4756" t="str">
            <v>推广订单扣款</v>
          </cell>
        </row>
        <row r="4756">
          <cell r="H4756" t="str">
            <v>华信店</v>
          </cell>
          <cell r="I4756">
            <v>46059</v>
          </cell>
          <cell r="J4756">
            <v>-443.36</v>
          </cell>
        </row>
        <row r="4757">
          <cell r="C4757" t="str">
            <v>推广订单扣款</v>
          </cell>
        </row>
        <row r="4757">
          <cell r="H4757" t="str">
            <v>青羊店</v>
          </cell>
          <cell r="I4757">
            <v>46059</v>
          </cell>
          <cell r="J4757">
            <v>-75.28</v>
          </cell>
        </row>
        <row r="4758">
          <cell r="C4758" t="str">
            <v>推广订单扣款</v>
          </cell>
        </row>
        <row r="4758">
          <cell r="H4758" t="str">
            <v>湖里店</v>
          </cell>
          <cell r="I4758">
            <v>46059</v>
          </cell>
          <cell r="J4758">
            <v>-80.4</v>
          </cell>
        </row>
        <row r="4759">
          <cell r="C4759" t="str">
            <v>推广订单扣款</v>
          </cell>
        </row>
        <row r="4759">
          <cell r="H4759" t="str">
            <v>首南店</v>
          </cell>
          <cell r="I4759">
            <v>46059</v>
          </cell>
          <cell r="J4759">
            <v>-168.55</v>
          </cell>
        </row>
        <row r="4760">
          <cell r="C4760" t="str">
            <v>推广订单扣款</v>
          </cell>
        </row>
        <row r="4760">
          <cell r="H4760" t="str">
            <v>滨江店</v>
          </cell>
          <cell r="I4760">
            <v>46059</v>
          </cell>
          <cell r="J4760">
            <v>-317.34</v>
          </cell>
        </row>
        <row r="4761">
          <cell r="C4761" t="str">
            <v>推广订单扣款</v>
          </cell>
        </row>
        <row r="4761">
          <cell r="H4761" t="str">
            <v>凤城二路店</v>
          </cell>
          <cell r="I4761">
            <v>46059</v>
          </cell>
          <cell r="J4761">
            <v>-488.29</v>
          </cell>
        </row>
        <row r="4762">
          <cell r="C4762" t="str">
            <v>推广订单扣款</v>
          </cell>
        </row>
        <row r="4762">
          <cell r="H4762" t="str">
            <v>下沙店</v>
          </cell>
          <cell r="I4762">
            <v>46059</v>
          </cell>
          <cell r="J4762">
            <v>-135.01</v>
          </cell>
        </row>
        <row r="4763">
          <cell r="C4763" t="str">
            <v>推广订单扣款</v>
          </cell>
        </row>
        <row r="4763">
          <cell r="H4763" t="str">
            <v>西湖店</v>
          </cell>
          <cell r="I4763">
            <v>46059</v>
          </cell>
          <cell r="J4763">
            <v>-68.1</v>
          </cell>
        </row>
        <row r="4764">
          <cell r="C4764" t="str">
            <v>推广订单扣款</v>
          </cell>
        </row>
        <row r="4764">
          <cell r="H4764" t="str">
            <v>首山店</v>
          </cell>
          <cell r="I4764">
            <v>46059</v>
          </cell>
          <cell r="J4764">
            <v>-130.63</v>
          </cell>
        </row>
        <row r="4765">
          <cell r="C4765" t="str">
            <v>推广订单扣款</v>
          </cell>
        </row>
        <row r="4765">
          <cell r="H4765" t="str">
            <v>鼓楼店</v>
          </cell>
          <cell r="I4765">
            <v>46059</v>
          </cell>
          <cell r="J4765">
            <v>-286.61</v>
          </cell>
        </row>
        <row r="4766">
          <cell r="C4766" t="str">
            <v>推广订单扣款</v>
          </cell>
        </row>
        <row r="4766">
          <cell r="H4766" t="str">
            <v>长沙店</v>
          </cell>
          <cell r="I4766">
            <v>46059</v>
          </cell>
          <cell r="J4766">
            <v>-198.29</v>
          </cell>
        </row>
        <row r="4767">
          <cell r="C4767" t="str">
            <v>推广订单扣款</v>
          </cell>
        </row>
        <row r="4767">
          <cell r="H4767" t="str">
            <v>五路口店</v>
          </cell>
          <cell r="I4767">
            <v>46059</v>
          </cell>
          <cell r="J4767">
            <v>-235.78</v>
          </cell>
        </row>
        <row r="4768">
          <cell r="C4768" t="str">
            <v>推广订单扣款</v>
          </cell>
        </row>
        <row r="4768">
          <cell r="H4768" t="str">
            <v>洛江店</v>
          </cell>
          <cell r="I4768">
            <v>46059</v>
          </cell>
          <cell r="J4768">
            <v>-89.38</v>
          </cell>
        </row>
        <row r="4769">
          <cell r="C4769" t="str">
            <v>推广订单扣款</v>
          </cell>
        </row>
        <row r="4769">
          <cell r="H4769" t="str">
            <v>百丈店</v>
          </cell>
          <cell r="I4769">
            <v>46059</v>
          </cell>
          <cell r="J4769">
            <v>-184.18</v>
          </cell>
        </row>
        <row r="4770">
          <cell r="C4770" t="str">
            <v>推广订单扣款</v>
          </cell>
        </row>
        <row r="4770">
          <cell r="H4770" t="str">
            <v>海口店</v>
          </cell>
          <cell r="I4770">
            <v>46059</v>
          </cell>
          <cell r="J4770">
            <v>-250</v>
          </cell>
        </row>
        <row r="4771">
          <cell r="C4771" t="str">
            <v>推广订单扣款</v>
          </cell>
        </row>
        <row r="4771">
          <cell r="H4771" t="str">
            <v>沙坪坝店</v>
          </cell>
          <cell r="I4771">
            <v>46059</v>
          </cell>
          <cell r="J4771">
            <v>-100</v>
          </cell>
        </row>
        <row r="4772">
          <cell r="C4772" t="str">
            <v>推广订单扣款</v>
          </cell>
        </row>
        <row r="4772">
          <cell r="H4772" t="str">
            <v>五华店</v>
          </cell>
          <cell r="I4772">
            <v>46059</v>
          </cell>
          <cell r="J4772">
            <v>-128.81</v>
          </cell>
        </row>
        <row r="4773">
          <cell r="C4773" t="str">
            <v>推广订单扣款</v>
          </cell>
        </row>
        <row r="4773">
          <cell r="H4773" t="str">
            <v>槐荫店</v>
          </cell>
          <cell r="I4773">
            <v>46059</v>
          </cell>
          <cell r="J4773">
            <v>-360.36</v>
          </cell>
        </row>
        <row r="4774">
          <cell r="C4774" t="str">
            <v>推广订单扣款</v>
          </cell>
        </row>
        <row r="4774">
          <cell r="H4774" t="str">
            <v>东新店</v>
          </cell>
          <cell r="I4774">
            <v>46059</v>
          </cell>
          <cell r="J4774">
            <v>-172.95</v>
          </cell>
        </row>
        <row r="4775">
          <cell r="C4775" t="str">
            <v>推广订单扣款</v>
          </cell>
        </row>
        <row r="4775">
          <cell r="H4775" t="str">
            <v>泉秀店</v>
          </cell>
          <cell r="I4775">
            <v>46059</v>
          </cell>
          <cell r="J4775">
            <v>-4.32</v>
          </cell>
        </row>
        <row r="4776">
          <cell r="C4776" t="str">
            <v>推广订单扣款</v>
          </cell>
        </row>
        <row r="4776">
          <cell r="H4776" t="str">
            <v>东海店</v>
          </cell>
          <cell r="I4776">
            <v>46059</v>
          </cell>
          <cell r="J4776">
            <v>-126.52</v>
          </cell>
        </row>
        <row r="4777">
          <cell r="C4777" t="str">
            <v>推广订单扣款</v>
          </cell>
        </row>
        <row r="4777">
          <cell r="H4777" t="str">
            <v>官渡店</v>
          </cell>
          <cell r="I4777">
            <v>46059</v>
          </cell>
          <cell r="J4777">
            <v>-127.66</v>
          </cell>
        </row>
        <row r="4778">
          <cell r="C4778" t="str">
            <v>推广订单扣款</v>
          </cell>
        </row>
        <row r="4778">
          <cell r="H4778" t="str">
            <v>百捷店</v>
          </cell>
          <cell r="I4778">
            <v>46059</v>
          </cell>
          <cell r="J4778">
            <v>-279.64</v>
          </cell>
        </row>
        <row r="4779">
          <cell r="C4779" t="str">
            <v>推广订单扣款</v>
          </cell>
        </row>
        <row r="4779">
          <cell r="H4779" t="str">
            <v>文灶店</v>
          </cell>
          <cell r="I4779">
            <v>46059</v>
          </cell>
          <cell r="J4779">
            <v>-156.7</v>
          </cell>
        </row>
        <row r="4780">
          <cell r="C4780" t="str">
            <v>推广账户自动充值</v>
          </cell>
        </row>
        <row r="4780">
          <cell r="H4780" t="str">
            <v>文昌店</v>
          </cell>
          <cell r="I4780">
            <v>46059</v>
          </cell>
          <cell r="J4780">
            <v>200</v>
          </cell>
        </row>
        <row r="4781">
          <cell r="C4781" t="str">
            <v>推广订单扣款</v>
          </cell>
        </row>
        <row r="4781">
          <cell r="H4781" t="str">
            <v>成华店</v>
          </cell>
          <cell r="I4781">
            <v>46059</v>
          </cell>
          <cell r="J4781">
            <v>-230.91</v>
          </cell>
        </row>
        <row r="4782">
          <cell r="C4782" t="str">
            <v>推广订单扣款</v>
          </cell>
        </row>
        <row r="4782">
          <cell r="H4782" t="str">
            <v>诚毅店</v>
          </cell>
          <cell r="I4782">
            <v>46059</v>
          </cell>
          <cell r="J4782">
            <v>-176.39</v>
          </cell>
        </row>
        <row r="4783">
          <cell r="C4783" t="str">
            <v>推广订单扣款</v>
          </cell>
        </row>
        <row r="4783">
          <cell r="H4783" t="str">
            <v>启点店</v>
          </cell>
          <cell r="I4783">
            <v>46059</v>
          </cell>
          <cell r="J4783">
            <v>-262.58</v>
          </cell>
        </row>
        <row r="4784">
          <cell r="C4784" t="str">
            <v>推广订单扣款</v>
          </cell>
        </row>
        <row r="4784">
          <cell r="H4784" t="str">
            <v>黄雁村店</v>
          </cell>
          <cell r="I4784">
            <v>46059</v>
          </cell>
          <cell r="J4784">
            <v>-306.02</v>
          </cell>
        </row>
        <row r="4785">
          <cell r="C4785" t="str">
            <v>推广订单扣款</v>
          </cell>
        </row>
        <row r="4785">
          <cell r="H4785" t="str">
            <v>观桥店</v>
          </cell>
          <cell r="I4785">
            <v>46059</v>
          </cell>
          <cell r="J4785">
            <v>-69.69</v>
          </cell>
        </row>
        <row r="4786">
          <cell r="C4786" t="str">
            <v>推广订单扣款</v>
          </cell>
        </row>
        <row r="4786">
          <cell r="H4786" t="str">
            <v>文昌店</v>
          </cell>
          <cell r="I4786">
            <v>46059</v>
          </cell>
          <cell r="J4786">
            <v>-101.15</v>
          </cell>
        </row>
        <row r="4787">
          <cell r="C4787" t="str">
            <v>推广账户自动充值</v>
          </cell>
        </row>
        <row r="4787">
          <cell r="H4787" t="str">
            <v>启点店</v>
          </cell>
          <cell r="I4787">
            <v>46059</v>
          </cell>
          <cell r="J4787">
            <v>200</v>
          </cell>
        </row>
        <row r="4788">
          <cell r="C4788" t="str">
            <v>推广账户自动充值</v>
          </cell>
        </row>
        <row r="4788">
          <cell r="H4788" t="str">
            <v>槐荫店</v>
          </cell>
          <cell r="I4788">
            <v>46059</v>
          </cell>
          <cell r="J4788">
            <v>200</v>
          </cell>
        </row>
        <row r="4789">
          <cell r="C4789" t="str">
            <v>推广账户自动充值</v>
          </cell>
        </row>
        <row r="4789">
          <cell r="H4789" t="str">
            <v>沙坪坝店</v>
          </cell>
          <cell r="I4789">
            <v>46059</v>
          </cell>
          <cell r="J4789">
            <v>200</v>
          </cell>
        </row>
        <row r="4790">
          <cell r="C4790" t="str">
            <v>推广账户自动充值</v>
          </cell>
        </row>
        <row r="4790">
          <cell r="H4790" t="str">
            <v>大坪店</v>
          </cell>
          <cell r="I4790">
            <v>46059</v>
          </cell>
          <cell r="J4790">
            <v>200</v>
          </cell>
        </row>
        <row r="4791">
          <cell r="C4791" t="str">
            <v>推广账户自动充值</v>
          </cell>
        </row>
        <row r="4791">
          <cell r="H4791" t="str">
            <v>西山店</v>
          </cell>
          <cell r="I4791">
            <v>46059</v>
          </cell>
          <cell r="J4791">
            <v>200</v>
          </cell>
        </row>
        <row r="4792">
          <cell r="C4792" t="str">
            <v>推广账户自动充值</v>
          </cell>
        </row>
        <row r="4792">
          <cell r="H4792" t="str">
            <v>华信店</v>
          </cell>
          <cell r="I4792">
            <v>46059</v>
          </cell>
          <cell r="J4792">
            <v>200</v>
          </cell>
        </row>
        <row r="4793">
          <cell r="C4793" t="str">
            <v>推广账户自动充值</v>
          </cell>
        </row>
        <row r="4793">
          <cell r="H4793" t="str">
            <v>观音桥店</v>
          </cell>
          <cell r="I4793">
            <v>46059</v>
          </cell>
          <cell r="J4793">
            <v>200</v>
          </cell>
        </row>
        <row r="4794">
          <cell r="C4794" t="str">
            <v>推广账户自动充值</v>
          </cell>
        </row>
        <row r="4794">
          <cell r="H4794" t="str">
            <v>下沙店</v>
          </cell>
          <cell r="I4794">
            <v>46059</v>
          </cell>
          <cell r="J4794">
            <v>100</v>
          </cell>
        </row>
        <row r="4795">
          <cell r="C4795" t="str">
            <v>推广账户充值</v>
          </cell>
        </row>
        <row r="4795">
          <cell r="H4795" t="str">
            <v>文灶店</v>
          </cell>
          <cell r="I4795">
            <v>46059</v>
          </cell>
          <cell r="J4795">
            <v>500</v>
          </cell>
        </row>
        <row r="4796">
          <cell r="C4796" t="str">
            <v>推广账户自动充值</v>
          </cell>
        </row>
        <row r="4796">
          <cell r="H4796" t="str">
            <v>余杭店</v>
          </cell>
          <cell r="I4796">
            <v>46059</v>
          </cell>
          <cell r="J4796">
            <v>200</v>
          </cell>
        </row>
        <row r="4797">
          <cell r="C4797" t="str">
            <v>推广账户自动充值</v>
          </cell>
        </row>
        <row r="4797">
          <cell r="H4797" t="str">
            <v>东海店</v>
          </cell>
          <cell r="I4797">
            <v>46059</v>
          </cell>
          <cell r="J4797">
            <v>200</v>
          </cell>
        </row>
        <row r="4798">
          <cell r="C4798" t="str">
            <v>推广账户自动充值</v>
          </cell>
        </row>
        <row r="4798">
          <cell r="H4798" t="str">
            <v>滨江店</v>
          </cell>
          <cell r="I4798">
            <v>46059</v>
          </cell>
          <cell r="J4798">
            <v>200</v>
          </cell>
        </row>
        <row r="4799">
          <cell r="C4799" t="str">
            <v>推广账户自动充值</v>
          </cell>
        </row>
        <row r="4799">
          <cell r="H4799" t="str">
            <v>金牛店</v>
          </cell>
          <cell r="I4799">
            <v>46059</v>
          </cell>
          <cell r="J4799">
            <v>200</v>
          </cell>
        </row>
        <row r="4800">
          <cell r="C4800" t="str">
            <v>推广账户自动充值</v>
          </cell>
        </row>
        <row r="4800">
          <cell r="H4800" t="str">
            <v>诚毅店</v>
          </cell>
          <cell r="I4800">
            <v>46059</v>
          </cell>
          <cell r="J4800">
            <v>200</v>
          </cell>
        </row>
        <row r="4801">
          <cell r="C4801" t="str">
            <v>推广账户自动充值</v>
          </cell>
        </row>
        <row r="4801">
          <cell r="H4801" t="str">
            <v>东新店</v>
          </cell>
          <cell r="I4801">
            <v>46059</v>
          </cell>
          <cell r="J4801">
            <v>200</v>
          </cell>
        </row>
        <row r="4802">
          <cell r="C4802" t="str">
            <v>推广账户自动充值</v>
          </cell>
        </row>
        <row r="4802">
          <cell r="H4802" t="str">
            <v>五路口店</v>
          </cell>
          <cell r="I4802">
            <v>46059</v>
          </cell>
          <cell r="J4802">
            <v>200</v>
          </cell>
        </row>
        <row r="4803">
          <cell r="C4803" t="str">
            <v>推广账户自动充值</v>
          </cell>
        </row>
        <row r="4803">
          <cell r="H4803" t="str">
            <v>槐荫店</v>
          </cell>
          <cell r="I4803">
            <v>46059</v>
          </cell>
          <cell r="J4803">
            <v>200</v>
          </cell>
        </row>
        <row r="4804">
          <cell r="C4804" t="str">
            <v>推广账户自动充值</v>
          </cell>
        </row>
        <row r="4804">
          <cell r="H4804" t="str">
            <v>首南店</v>
          </cell>
          <cell r="I4804">
            <v>46059</v>
          </cell>
          <cell r="J4804">
            <v>200</v>
          </cell>
        </row>
        <row r="4805">
          <cell r="C4805" t="str">
            <v>推广账户自动充值</v>
          </cell>
        </row>
        <row r="4805">
          <cell r="H4805" t="str">
            <v>黄雁村店</v>
          </cell>
          <cell r="I4805">
            <v>46059</v>
          </cell>
          <cell r="J4805">
            <v>200</v>
          </cell>
        </row>
        <row r="4806">
          <cell r="C4806" t="str">
            <v>推广账户自动充值</v>
          </cell>
        </row>
        <row r="4806">
          <cell r="H4806" t="str">
            <v>华信店</v>
          </cell>
          <cell r="I4806">
            <v>46059</v>
          </cell>
          <cell r="J4806">
            <v>200</v>
          </cell>
        </row>
        <row r="4807">
          <cell r="C4807" t="str">
            <v>推广账户自动充值</v>
          </cell>
        </row>
        <row r="4807">
          <cell r="H4807" t="str">
            <v>凤城二路店</v>
          </cell>
          <cell r="I4807">
            <v>46059</v>
          </cell>
          <cell r="J4807">
            <v>200</v>
          </cell>
        </row>
        <row r="4808">
          <cell r="C4808" t="str">
            <v>推广账户自动充值</v>
          </cell>
        </row>
        <row r="4808">
          <cell r="H4808" t="str">
            <v>观音桥店</v>
          </cell>
          <cell r="I4808">
            <v>46059</v>
          </cell>
          <cell r="J4808">
            <v>200</v>
          </cell>
        </row>
        <row r="4809">
          <cell r="C4809" t="str">
            <v>推广账户自动充值</v>
          </cell>
        </row>
        <row r="4809">
          <cell r="H4809" t="str">
            <v>百丈店</v>
          </cell>
          <cell r="I4809">
            <v>46059</v>
          </cell>
          <cell r="J4809">
            <v>200</v>
          </cell>
        </row>
        <row r="4810">
          <cell r="C4810" t="str">
            <v>推广账户自动充值</v>
          </cell>
        </row>
        <row r="4810">
          <cell r="H4810" t="str">
            <v>鼓楼店</v>
          </cell>
          <cell r="I4810">
            <v>46059</v>
          </cell>
          <cell r="J4810">
            <v>200</v>
          </cell>
        </row>
        <row r="4811">
          <cell r="C4811" t="str">
            <v>推广账户自动充值</v>
          </cell>
        </row>
        <row r="4811">
          <cell r="H4811" t="str">
            <v>槐荫店</v>
          </cell>
          <cell r="I4811">
            <v>46059</v>
          </cell>
          <cell r="J4811">
            <v>200</v>
          </cell>
        </row>
        <row r="4812">
          <cell r="C4812" t="str">
            <v>推广账户自动充值</v>
          </cell>
        </row>
        <row r="4812">
          <cell r="H4812" t="str">
            <v>百捷店</v>
          </cell>
          <cell r="I4812">
            <v>46059</v>
          </cell>
          <cell r="J4812">
            <v>200</v>
          </cell>
        </row>
        <row r="4813">
          <cell r="C4813" t="str">
            <v>推广账户自动充值</v>
          </cell>
        </row>
        <row r="4813">
          <cell r="H4813" t="str">
            <v>观桥店</v>
          </cell>
          <cell r="I4813">
            <v>46059</v>
          </cell>
          <cell r="J4813">
            <v>200</v>
          </cell>
        </row>
        <row r="4814">
          <cell r="C4814" t="str">
            <v>推广账户自动充值</v>
          </cell>
        </row>
        <row r="4814">
          <cell r="H4814" t="str">
            <v>下沙店</v>
          </cell>
          <cell r="I4814">
            <v>46059</v>
          </cell>
          <cell r="J4814">
            <v>100</v>
          </cell>
        </row>
        <row r="4815">
          <cell r="C4815" t="str">
            <v>推广账户自动充值</v>
          </cell>
        </row>
        <row r="4815">
          <cell r="H4815" t="str">
            <v>首山店</v>
          </cell>
          <cell r="I4815">
            <v>46059</v>
          </cell>
          <cell r="J4815">
            <v>200</v>
          </cell>
        </row>
        <row r="4816">
          <cell r="C4816" t="str">
            <v>推广账户自动充值</v>
          </cell>
        </row>
        <row r="4816">
          <cell r="H4816" t="str">
            <v>华信店</v>
          </cell>
          <cell r="I4816">
            <v>46059</v>
          </cell>
          <cell r="J4816">
            <v>200</v>
          </cell>
        </row>
        <row r="4817">
          <cell r="C4817" t="str">
            <v>推广账户自动充值</v>
          </cell>
        </row>
        <row r="4817">
          <cell r="H4817" t="str">
            <v>成华店</v>
          </cell>
          <cell r="I4817">
            <v>46059</v>
          </cell>
          <cell r="J4817">
            <v>200</v>
          </cell>
        </row>
        <row r="4818">
          <cell r="C4818" t="str">
            <v>推广账户自动充值</v>
          </cell>
        </row>
        <row r="4818">
          <cell r="H4818" t="str">
            <v>黄雁村店</v>
          </cell>
          <cell r="I4818">
            <v>46059</v>
          </cell>
          <cell r="J4818">
            <v>200</v>
          </cell>
        </row>
        <row r="4819">
          <cell r="C4819" t="str">
            <v>推广账户自动充值</v>
          </cell>
        </row>
        <row r="4819">
          <cell r="H4819" t="str">
            <v>五华店</v>
          </cell>
          <cell r="I4819">
            <v>46059</v>
          </cell>
          <cell r="J4819">
            <v>200</v>
          </cell>
        </row>
        <row r="4820">
          <cell r="C4820" t="str">
            <v>推广账户自动充值</v>
          </cell>
        </row>
        <row r="4820">
          <cell r="H4820" t="str">
            <v>西湖店</v>
          </cell>
          <cell r="I4820">
            <v>46059</v>
          </cell>
          <cell r="J4820">
            <v>200</v>
          </cell>
        </row>
        <row r="4821">
          <cell r="C4821" t="str">
            <v>推广账户自动充值</v>
          </cell>
        </row>
        <row r="4821">
          <cell r="H4821" t="str">
            <v>济南店</v>
          </cell>
          <cell r="I4821">
            <v>46059</v>
          </cell>
          <cell r="J4821">
            <v>200</v>
          </cell>
        </row>
        <row r="4822">
          <cell r="C4822" t="str">
            <v>推广订单扣款</v>
          </cell>
        </row>
        <row r="4822">
          <cell r="H4822" t="str">
            <v>济南店</v>
          </cell>
          <cell r="I4822">
            <v>46060</v>
          </cell>
          <cell r="J4822">
            <v>-116.61</v>
          </cell>
        </row>
        <row r="4823">
          <cell r="C4823" t="str">
            <v>推广订单扣款</v>
          </cell>
        </row>
        <row r="4823">
          <cell r="H4823" t="str">
            <v>大坪店</v>
          </cell>
          <cell r="I4823">
            <v>46060</v>
          </cell>
          <cell r="J4823">
            <v>-121.75</v>
          </cell>
        </row>
        <row r="4824">
          <cell r="C4824" t="str">
            <v>推广订单扣款</v>
          </cell>
        </row>
        <row r="4824">
          <cell r="H4824" t="str">
            <v>金牛店</v>
          </cell>
          <cell r="I4824">
            <v>46060</v>
          </cell>
          <cell r="J4824">
            <v>-100.03</v>
          </cell>
        </row>
        <row r="4825">
          <cell r="C4825" t="str">
            <v>推广订单扣款</v>
          </cell>
        </row>
        <row r="4825">
          <cell r="H4825" t="str">
            <v>观音桥店</v>
          </cell>
          <cell r="I4825">
            <v>46060</v>
          </cell>
          <cell r="J4825">
            <v>-429.97</v>
          </cell>
        </row>
        <row r="4826">
          <cell r="C4826" t="str">
            <v>推广订单扣款</v>
          </cell>
        </row>
        <row r="4826">
          <cell r="H4826" t="str">
            <v>高新店</v>
          </cell>
          <cell r="I4826">
            <v>46060</v>
          </cell>
          <cell r="J4826">
            <v>-104.75</v>
          </cell>
        </row>
        <row r="4827">
          <cell r="C4827" t="str">
            <v>推广订单扣款</v>
          </cell>
        </row>
        <row r="4827">
          <cell r="H4827" t="str">
            <v>南安店</v>
          </cell>
          <cell r="I4827">
            <v>46060</v>
          </cell>
          <cell r="J4827">
            <v>-27.56</v>
          </cell>
        </row>
        <row r="4828">
          <cell r="C4828" t="str">
            <v>推广订单扣款</v>
          </cell>
        </row>
        <row r="4828">
          <cell r="H4828" t="str">
            <v>余杭店</v>
          </cell>
          <cell r="I4828">
            <v>46060</v>
          </cell>
          <cell r="J4828">
            <v>-115.1</v>
          </cell>
        </row>
        <row r="4829">
          <cell r="C4829" t="str">
            <v>推广订单扣款</v>
          </cell>
        </row>
        <row r="4829">
          <cell r="H4829" t="str">
            <v>西山店</v>
          </cell>
          <cell r="I4829">
            <v>46060</v>
          </cell>
          <cell r="J4829">
            <v>-130</v>
          </cell>
        </row>
        <row r="4830">
          <cell r="C4830" t="str">
            <v>推广订单扣款</v>
          </cell>
        </row>
        <row r="4830">
          <cell r="H4830" t="str">
            <v>华信店</v>
          </cell>
          <cell r="I4830">
            <v>46060</v>
          </cell>
          <cell r="J4830">
            <v>-500</v>
          </cell>
        </row>
        <row r="4831">
          <cell r="C4831" t="str">
            <v>推广订单扣款</v>
          </cell>
        </row>
        <row r="4831">
          <cell r="H4831" t="str">
            <v>武侯店</v>
          </cell>
          <cell r="I4831">
            <v>46060</v>
          </cell>
          <cell r="J4831">
            <v>-58.3</v>
          </cell>
        </row>
        <row r="4832">
          <cell r="C4832" t="str">
            <v>推广订单扣款</v>
          </cell>
        </row>
        <row r="4832">
          <cell r="H4832" t="str">
            <v>青羊店</v>
          </cell>
          <cell r="I4832">
            <v>46060</v>
          </cell>
          <cell r="J4832">
            <v>-49.8</v>
          </cell>
        </row>
        <row r="4833">
          <cell r="C4833" t="str">
            <v>推广订单扣款</v>
          </cell>
        </row>
        <row r="4833">
          <cell r="H4833" t="str">
            <v>湖里店</v>
          </cell>
          <cell r="I4833">
            <v>46060</v>
          </cell>
          <cell r="J4833">
            <v>-115.64</v>
          </cell>
        </row>
        <row r="4834">
          <cell r="C4834" t="str">
            <v>推广订单扣款</v>
          </cell>
        </row>
        <row r="4834">
          <cell r="H4834" t="str">
            <v>首南店</v>
          </cell>
          <cell r="I4834">
            <v>46060</v>
          </cell>
          <cell r="J4834">
            <v>-163.38</v>
          </cell>
        </row>
        <row r="4835">
          <cell r="C4835" t="str">
            <v>推广订单扣款</v>
          </cell>
        </row>
        <row r="4835">
          <cell r="H4835" t="str">
            <v>滨江店</v>
          </cell>
          <cell r="I4835">
            <v>46060</v>
          </cell>
          <cell r="J4835">
            <v>-238.76</v>
          </cell>
        </row>
        <row r="4836">
          <cell r="C4836" t="str">
            <v>推广订单扣款</v>
          </cell>
        </row>
        <row r="4836">
          <cell r="H4836" t="str">
            <v>凤城二路店</v>
          </cell>
          <cell r="I4836">
            <v>46060</v>
          </cell>
          <cell r="J4836">
            <v>-366.09</v>
          </cell>
        </row>
        <row r="4837">
          <cell r="C4837" t="str">
            <v>推广订单扣款</v>
          </cell>
        </row>
        <row r="4837">
          <cell r="H4837" t="str">
            <v>下沙店</v>
          </cell>
          <cell r="I4837">
            <v>46060</v>
          </cell>
          <cell r="J4837">
            <v>-172.03</v>
          </cell>
        </row>
        <row r="4838">
          <cell r="C4838" t="str">
            <v>推广订单扣款</v>
          </cell>
        </row>
        <row r="4838">
          <cell r="H4838" t="str">
            <v>西湖店</v>
          </cell>
          <cell r="I4838">
            <v>46060</v>
          </cell>
          <cell r="J4838">
            <v>-106.64</v>
          </cell>
        </row>
        <row r="4839">
          <cell r="C4839" t="str">
            <v>推广账户自动充值</v>
          </cell>
        </row>
        <row r="4839">
          <cell r="H4839" t="str">
            <v>长沙店</v>
          </cell>
          <cell r="I4839">
            <v>46060</v>
          </cell>
          <cell r="J4839">
            <v>200</v>
          </cell>
        </row>
        <row r="4840">
          <cell r="C4840" t="str">
            <v>推广订单扣款</v>
          </cell>
        </row>
        <row r="4840">
          <cell r="H4840" t="str">
            <v>鼓楼店</v>
          </cell>
          <cell r="I4840">
            <v>46060</v>
          </cell>
          <cell r="J4840">
            <v>-249.63</v>
          </cell>
        </row>
        <row r="4841">
          <cell r="C4841" t="str">
            <v>推广订单扣款</v>
          </cell>
        </row>
        <row r="4841">
          <cell r="H4841" t="str">
            <v>首山店</v>
          </cell>
          <cell r="I4841">
            <v>46060</v>
          </cell>
          <cell r="J4841">
            <v>-103.92</v>
          </cell>
        </row>
        <row r="4842">
          <cell r="C4842" t="str">
            <v>推广订单扣款</v>
          </cell>
        </row>
        <row r="4842">
          <cell r="H4842" t="str">
            <v>洛江店</v>
          </cell>
          <cell r="I4842">
            <v>46060</v>
          </cell>
          <cell r="J4842">
            <v>-97.22</v>
          </cell>
        </row>
        <row r="4843">
          <cell r="C4843" t="str">
            <v>推广订单扣款</v>
          </cell>
        </row>
        <row r="4843">
          <cell r="H4843" t="str">
            <v>长沙店</v>
          </cell>
          <cell r="I4843">
            <v>46060</v>
          </cell>
          <cell r="J4843">
            <v>-99</v>
          </cell>
        </row>
        <row r="4844">
          <cell r="C4844" t="str">
            <v>推广订单扣款</v>
          </cell>
        </row>
        <row r="4844">
          <cell r="H4844" t="str">
            <v>百丈店</v>
          </cell>
          <cell r="I4844">
            <v>46060</v>
          </cell>
          <cell r="J4844">
            <v>-205.06</v>
          </cell>
        </row>
        <row r="4845">
          <cell r="C4845" t="str">
            <v>推广订单扣款</v>
          </cell>
        </row>
        <row r="4845">
          <cell r="H4845" t="str">
            <v>五路口店</v>
          </cell>
          <cell r="I4845">
            <v>46060</v>
          </cell>
          <cell r="J4845">
            <v>-221.73</v>
          </cell>
        </row>
        <row r="4846">
          <cell r="C4846" t="str">
            <v>推广订单扣款</v>
          </cell>
        </row>
        <row r="4846">
          <cell r="H4846" t="str">
            <v>海口店</v>
          </cell>
          <cell r="I4846">
            <v>46060</v>
          </cell>
          <cell r="J4846">
            <v>-339.33</v>
          </cell>
        </row>
        <row r="4847">
          <cell r="C4847" t="str">
            <v>推广订单扣款</v>
          </cell>
        </row>
        <row r="4847">
          <cell r="H4847" t="str">
            <v>五华店</v>
          </cell>
          <cell r="I4847">
            <v>46060</v>
          </cell>
          <cell r="J4847">
            <v>-106.35</v>
          </cell>
        </row>
        <row r="4848">
          <cell r="C4848" t="str">
            <v>推广订单扣款</v>
          </cell>
        </row>
        <row r="4848">
          <cell r="H4848" t="str">
            <v>沙坪坝店</v>
          </cell>
          <cell r="I4848">
            <v>46060</v>
          </cell>
          <cell r="J4848">
            <v>-100</v>
          </cell>
        </row>
        <row r="4849">
          <cell r="C4849" t="str">
            <v>推广订单扣款</v>
          </cell>
        </row>
        <row r="4849">
          <cell r="H4849" t="str">
            <v>槐荫店</v>
          </cell>
          <cell r="I4849">
            <v>46060</v>
          </cell>
          <cell r="J4849">
            <v>-445.37</v>
          </cell>
        </row>
        <row r="4850">
          <cell r="C4850" t="str">
            <v>推广订单扣款</v>
          </cell>
        </row>
        <row r="4850">
          <cell r="H4850" t="str">
            <v>东新店</v>
          </cell>
          <cell r="I4850">
            <v>46060</v>
          </cell>
          <cell r="J4850">
            <v>-195.51</v>
          </cell>
        </row>
        <row r="4851">
          <cell r="C4851" t="str">
            <v>推广账户自动充值</v>
          </cell>
        </row>
        <row r="4851">
          <cell r="H4851" t="str">
            <v>凤城二路店</v>
          </cell>
          <cell r="I4851">
            <v>46060</v>
          </cell>
          <cell r="J4851">
            <v>200</v>
          </cell>
        </row>
        <row r="4852">
          <cell r="C4852" t="str">
            <v>推广订单扣款</v>
          </cell>
        </row>
        <row r="4852">
          <cell r="H4852" t="str">
            <v>泉秀店</v>
          </cell>
          <cell r="I4852">
            <v>46060</v>
          </cell>
          <cell r="J4852">
            <v>-5.97</v>
          </cell>
        </row>
        <row r="4853">
          <cell r="C4853" t="str">
            <v>推广订单扣款</v>
          </cell>
        </row>
        <row r="4853">
          <cell r="H4853" t="str">
            <v>东海店</v>
          </cell>
          <cell r="I4853">
            <v>46060</v>
          </cell>
          <cell r="J4853">
            <v>-110.34</v>
          </cell>
        </row>
        <row r="4854">
          <cell r="C4854" t="str">
            <v>推广订单扣款</v>
          </cell>
        </row>
        <row r="4854">
          <cell r="H4854" t="str">
            <v>官渡店</v>
          </cell>
          <cell r="I4854">
            <v>46060</v>
          </cell>
          <cell r="J4854">
            <v>-113.7</v>
          </cell>
        </row>
        <row r="4855">
          <cell r="C4855" t="str">
            <v>推广订单扣款</v>
          </cell>
        </row>
        <row r="4855">
          <cell r="H4855" t="str">
            <v>百捷店</v>
          </cell>
          <cell r="I4855">
            <v>46060</v>
          </cell>
          <cell r="J4855">
            <v>-120.36</v>
          </cell>
        </row>
        <row r="4856">
          <cell r="C4856" t="str">
            <v>推广订单扣款</v>
          </cell>
        </row>
        <row r="4856">
          <cell r="H4856" t="str">
            <v>文灶店</v>
          </cell>
          <cell r="I4856">
            <v>46060</v>
          </cell>
          <cell r="J4856">
            <v>-157.35</v>
          </cell>
        </row>
        <row r="4857">
          <cell r="C4857" t="str">
            <v>推广订单扣款</v>
          </cell>
        </row>
        <row r="4857">
          <cell r="H4857" t="str">
            <v>成华店</v>
          </cell>
          <cell r="I4857">
            <v>46060</v>
          </cell>
          <cell r="J4857">
            <v>-179.45</v>
          </cell>
        </row>
        <row r="4858">
          <cell r="C4858" t="str">
            <v>推广订单扣款</v>
          </cell>
        </row>
        <row r="4858">
          <cell r="H4858" t="str">
            <v>启点店</v>
          </cell>
          <cell r="I4858">
            <v>46060</v>
          </cell>
          <cell r="J4858">
            <v>-186.34</v>
          </cell>
        </row>
        <row r="4859">
          <cell r="C4859" t="str">
            <v>推广订单扣款</v>
          </cell>
        </row>
        <row r="4859">
          <cell r="H4859" t="str">
            <v>诚毅店</v>
          </cell>
          <cell r="I4859">
            <v>46060</v>
          </cell>
          <cell r="J4859">
            <v>-201.95</v>
          </cell>
        </row>
        <row r="4860">
          <cell r="C4860" t="str">
            <v>推广订单扣款</v>
          </cell>
        </row>
        <row r="4860">
          <cell r="H4860" t="str">
            <v>黄雁村店</v>
          </cell>
          <cell r="I4860">
            <v>46060</v>
          </cell>
          <cell r="J4860">
            <v>-306.89</v>
          </cell>
        </row>
        <row r="4861">
          <cell r="C4861" t="str">
            <v>推广订单扣款</v>
          </cell>
        </row>
        <row r="4861">
          <cell r="H4861" t="str">
            <v>观桥店</v>
          </cell>
          <cell r="I4861">
            <v>46060</v>
          </cell>
          <cell r="J4861">
            <v>-93.83</v>
          </cell>
        </row>
        <row r="4862">
          <cell r="C4862" t="str">
            <v>推广订单扣款</v>
          </cell>
        </row>
        <row r="4862">
          <cell r="H4862" t="str">
            <v>文昌店</v>
          </cell>
          <cell r="I4862">
            <v>46060</v>
          </cell>
          <cell r="J4862">
            <v>-98.54</v>
          </cell>
        </row>
        <row r="4863">
          <cell r="C4863" t="str">
            <v>推广账户自动充值</v>
          </cell>
        </row>
        <row r="4863">
          <cell r="H4863" t="str">
            <v>湖里店</v>
          </cell>
          <cell r="I4863">
            <v>46060</v>
          </cell>
          <cell r="J4863">
            <v>200</v>
          </cell>
        </row>
        <row r="4864">
          <cell r="C4864" t="str">
            <v>推广账户自动充值</v>
          </cell>
        </row>
        <row r="4864">
          <cell r="H4864" t="str">
            <v>启点店</v>
          </cell>
          <cell r="I4864">
            <v>46060</v>
          </cell>
          <cell r="J4864">
            <v>200</v>
          </cell>
        </row>
        <row r="4865">
          <cell r="C4865" t="str">
            <v>推广账户自动充值</v>
          </cell>
        </row>
        <row r="4865">
          <cell r="H4865" t="str">
            <v>滨江店</v>
          </cell>
          <cell r="I4865">
            <v>46060</v>
          </cell>
          <cell r="J4865">
            <v>200</v>
          </cell>
        </row>
        <row r="4866">
          <cell r="C4866" t="str">
            <v>推广账户自动充值</v>
          </cell>
        </row>
        <row r="4866">
          <cell r="H4866" t="str">
            <v>东新店</v>
          </cell>
          <cell r="I4866">
            <v>46060</v>
          </cell>
          <cell r="J4866">
            <v>200</v>
          </cell>
        </row>
        <row r="4867">
          <cell r="C4867" t="str">
            <v>推广账户自动充值</v>
          </cell>
        </row>
        <row r="4867">
          <cell r="H4867" t="str">
            <v>官渡店</v>
          </cell>
          <cell r="I4867">
            <v>46060</v>
          </cell>
          <cell r="J4867">
            <v>200</v>
          </cell>
        </row>
        <row r="4868">
          <cell r="C4868" t="str">
            <v>推广账户自动充值</v>
          </cell>
        </row>
        <row r="4868">
          <cell r="H4868" t="str">
            <v>观音桥店</v>
          </cell>
          <cell r="I4868">
            <v>46060</v>
          </cell>
          <cell r="J4868">
            <v>200</v>
          </cell>
        </row>
        <row r="4869">
          <cell r="C4869" t="str">
            <v>推广账户自动充值</v>
          </cell>
        </row>
        <row r="4869">
          <cell r="H4869" t="str">
            <v>洛江店</v>
          </cell>
          <cell r="I4869">
            <v>46060</v>
          </cell>
          <cell r="J4869">
            <v>200</v>
          </cell>
        </row>
        <row r="4870">
          <cell r="C4870" t="str">
            <v>推广账户自动充值</v>
          </cell>
        </row>
        <row r="4870">
          <cell r="H4870" t="str">
            <v>槐荫店</v>
          </cell>
          <cell r="I4870">
            <v>46060</v>
          </cell>
          <cell r="J4870">
            <v>200</v>
          </cell>
        </row>
        <row r="4871">
          <cell r="C4871" t="str">
            <v>推广账户自动充值</v>
          </cell>
        </row>
        <row r="4871">
          <cell r="H4871" t="str">
            <v>五路口店</v>
          </cell>
          <cell r="I4871">
            <v>46060</v>
          </cell>
          <cell r="J4871">
            <v>200</v>
          </cell>
        </row>
        <row r="4872">
          <cell r="C4872" t="str">
            <v>推广账户自动充值</v>
          </cell>
        </row>
        <row r="4872">
          <cell r="H4872" t="str">
            <v>华信店</v>
          </cell>
          <cell r="I4872">
            <v>46060</v>
          </cell>
          <cell r="J4872">
            <v>200</v>
          </cell>
        </row>
        <row r="4873">
          <cell r="C4873" t="str">
            <v>推广账户自动充值</v>
          </cell>
        </row>
        <row r="4873">
          <cell r="H4873" t="str">
            <v>凤城二路店</v>
          </cell>
          <cell r="I4873">
            <v>46060</v>
          </cell>
          <cell r="J4873">
            <v>200</v>
          </cell>
        </row>
        <row r="4874">
          <cell r="C4874" t="str">
            <v>推广账户自动充值</v>
          </cell>
        </row>
        <row r="4874">
          <cell r="H4874" t="str">
            <v>诚毅店</v>
          </cell>
          <cell r="I4874">
            <v>46060</v>
          </cell>
          <cell r="J4874">
            <v>200</v>
          </cell>
        </row>
        <row r="4875">
          <cell r="C4875" t="str">
            <v>推广账户自动充值</v>
          </cell>
        </row>
        <row r="4875">
          <cell r="H4875" t="str">
            <v>下沙店</v>
          </cell>
          <cell r="I4875">
            <v>46060</v>
          </cell>
          <cell r="J4875">
            <v>100</v>
          </cell>
        </row>
        <row r="4876">
          <cell r="C4876" t="str">
            <v>推广账户自动充值</v>
          </cell>
        </row>
        <row r="4876">
          <cell r="H4876" t="str">
            <v>高新店</v>
          </cell>
          <cell r="I4876">
            <v>46060</v>
          </cell>
          <cell r="J4876">
            <v>200</v>
          </cell>
        </row>
        <row r="4877">
          <cell r="C4877" t="str">
            <v>推广账户自动充值</v>
          </cell>
        </row>
        <row r="4877">
          <cell r="H4877" t="str">
            <v>首南店</v>
          </cell>
          <cell r="I4877">
            <v>46060</v>
          </cell>
          <cell r="J4877">
            <v>200</v>
          </cell>
        </row>
        <row r="4878">
          <cell r="C4878" t="str">
            <v>推广账户自动充值</v>
          </cell>
        </row>
        <row r="4878">
          <cell r="H4878" t="str">
            <v>大坪店</v>
          </cell>
          <cell r="I4878">
            <v>46060</v>
          </cell>
          <cell r="J4878">
            <v>200</v>
          </cell>
        </row>
        <row r="4879">
          <cell r="C4879" t="str">
            <v>推广账户自动充值</v>
          </cell>
        </row>
        <row r="4879">
          <cell r="H4879" t="str">
            <v>余杭店</v>
          </cell>
          <cell r="I4879">
            <v>46060</v>
          </cell>
          <cell r="J4879">
            <v>200</v>
          </cell>
        </row>
        <row r="4880">
          <cell r="C4880" t="str">
            <v>推广账户自动充值</v>
          </cell>
        </row>
        <row r="4880">
          <cell r="H4880" t="str">
            <v>西山店</v>
          </cell>
          <cell r="I4880">
            <v>46060</v>
          </cell>
          <cell r="J4880">
            <v>200</v>
          </cell>
        </row>
        <row r="4881">
          <cell r="C4881" t="str">
            <v>推广账户自动充值</v>
          </cell>
        </row>
        <row r="4881">
          <cell r="H4881" t="str">
            <v>黄雁村店</v>
          </cell>
          <cell r="I4881">
            <v>46060</v>
          </cell>
          <cell r="J4881">
            <v>200</v>
          </cell>
        </row>
        <row r="4882">
          <cell r="C4882" t="str">
            <v>推广账户自动充值</v>
          </cell>
        </row>
        <row r="4882">
          <cell r="H4882" t="str">
            <v>观桥店</v>
          </cell>
          <cell r="I4882">
            <v>46060</v>
          </cell>
          <cell r="J4882">
            <v>200</v>
          </cell>
        </row>
        <row r="4883">
          <cell r="C4883" t="str">
            <v>推广账户自动充值</v>
          </cell>
        </row>
        <row r="4883">
          <cell r="H4883" t="str">
            <v>观音桥店</v>
          </cell>
          <cell r="I4883">
            <v>46060</v>
          </cell>
          <cell r="J4883">
            <v>200</v>
          </cell>
        </row>
        <row r="4884">
          <cell r="C4884" t="str">
            <v>推广账户自动充值</v>
          </cell>
        </row>
        <row r="4884">
          <cell r="H4884" t="str">
            <v>鼓楼店</v>
          </cell>
          <cell r="I4884">
            <v>46060</v>
          </cell>
          <cell r="J4884">
            <v>200</v>
          </cell>
        </row>
        <row r="4885">
          <cell r="C4885" t="str">
            <v>推广账户自动充值</v>
          </cell>
        </row>
        <row r="4885">
          <cell r="H4885" t="str">
            <v>武侯店</v>
          </cell>
          <cell r="I4885">
            <v>46061</v>
          </cell>
          <cell r="J4885">
            <v>200</v>
          </cell>
        </row>
        <row r="4886">
          <cell r="C4886" t="str">
            <v>推广订单扣款</v>
          </cell>
        </row>
        <row r="4886">
          <cell r="H4886" t="str">
            <v>济南店</v>
          </cell>
          <cell r="I4886">
            <v>46061</v>
          </cell>
          <cell r="J4886">
            <v>-104.99</v>
          </cell>
        </row>
        <row r="4887">
          <cell r="C4887" t="str">
            <v>推广订单扣款</v>
          </cell>
        </row>
        <row r="4887">
          <cell r="H4887" t="str">
            <v>大坪店</v>
          </cell>
          <cell r="I4887">
            <v>46061</v>
          </cell>
          <cell r="J4887">
            <v>-186.4</v>
          </cell>
        </row>
        <row r="4888">
          <cell r="C4888" t="str">
            <v>推广订单扣款</v>
          </cell>
        </row>
        <row r="4888">
          <cell r="H4888" t="str">
            <v>金牛店</v>
          </cell>
          <cell r="I4888">
            <v>46061</v>
          </cell>
          <cell r="J4888">
            <v>-95.41</v>
          </cell>
        </row>
        <row r="4889">
          <cell r="C4889" t="str">
            <v>推广订单扣款</v>
          </cell>
        </row>
        <row r="4889">
          <cell r="H4889" t="str">
            <v>高新店</v>
          </cell>
          <cell r="I4889">
            <v>46061</v>
          </cell>
          <cell r="J4889">
            <v>-149.14</v>
          </cell>
        </row>
        <row r="4890">
          <cell r="C4890" t="str">
            <v>推广订单扣款</v>
          </cell>
        </row>
        <row r="4890">
          <cell r="H4890" t="str">
            <v>观音桥店</v>
          </cell>
          <cell r="I4890">
            <v>46061</v>
          </cell>
          <cell r="J4890">
            <v>-333.05</v>
          </cell>
        </row>
        <row r="4891">
          <cell r="C4891" t="str">
            <v>推广订单扣款</v>
          </cell>
        </row>
        <row r="4891">
          <cell r="H4891" t="str">
            <v>南安店</v>
          </cell>
          <cell r="I4891">
            <v>46061</v>
          </cell>
          <cell r="J4891">
            <v>-30.17</v>
          </cell>
        </row>
        <row r="4892">
          <cell r="C4892" t="str">
            <v>推广订单扣款</v>
          </cell>
        </row>
        <row r="4892">
          <cell r="H4892" t="str">
            <v>余杭店</v>
          </cell>
          <cell r="I4892">
            <v>46061</v>
          </cell>
          <cell r="J4892">
            <v>-150.02</v>
          </cell>
        </row>
        <row r="4893">
          <cell r="C4893" t="str">
            <v>推广订单扣款</v>
          </cell>
        </row>
        <row r="4893">
          <cell r="H4893" t="str">
            <v>华信店</v>
          </cell>
          <cell r="I4893">
            <v>46061</v>
          </cell>
          <cell r="J4893">
            <v>-200</v>
          </cell>
        </row>
        <row r="4894">
          <cell r="C4894" t="str">
            <v>推广订单扣款</v>
          </cell>
        </row>
        <row r="4894">
          <cell r="H4894" t="str">
            <v>西山店</v>
          </cell>
          <cell r="I4894">
            <v>46061</v>
          </cell>
          <cell r="J4894">
            <v>-134.72</v>
          </cell>
        </row>
        <row r="4895">
          <cell r="C4895" t="str">
            <v>推广订单扣款</v>
          </cell>
        </row>
        <row r="4895">
          <cell r="H4895" t="str">
            <v>武侯店</v>
          </cell>
          <cell r="I4895">
            <v>46061</v>
          </cell>
          <cell r="J4895">
            <v>-66.73</v>
          </cell>
        </row>
        <row r="4896">
          <cell r="C4896" t="str">
            <v>推广订单扣款</v>
          </cell>
        </row>
        <row r="4896">
          <cell r="H4896" t="str">
            <v>青羊店</v>
          </cell>
          <cell r="I4896">
            <v>46061</v>
          </cell>
          <cell r="J4896">
            <v>-45.92</v>
          </cell>
        </row>
        <row r="4897">
          <cell r="C4897" t="str">
            <v>推广订单扣款</v>
          </cell>
        </row>
        <row r="4897">
          <cell r="H4897" t="str">
            <v>湖里店</v>
          </cell>
          <cell r="I4897">
            <v>46061</v>
          </cell>
          <cell r="J4897">
            <v>-88.62</v>
          </cell>
        </row>
        <row r="4898">
          <cell r="C4898" t="str">
            <v>推广订单扣款</v>
          </cell>
        </row>
        <row r="4898">
          <cell r="H4898" t="str">
            <v>首南店</v>
          </cell>
          <cell r="I4898">
            <v>46061</v>
          </cell>
          <cell r="J4898">
            <v>-183.62</v>
          </cell>
        </row>
        <row r="4899">
          <cell r="C4899" t="str">
            <v>推广订单扣款</v>
          </cell>
        </row>
        <row r="4899">
          <cell r="H4899" t="str">
            <v>滨江店</v>
          </cell>
          <cell r="I4899">
            <v>46061</v>
          </cell>
          <cell r="J4899">
            <v>-187.43</v>
          </cell>
        </row>
        <row r="4900">
          <cell r="C4900" t="str">
            <v>推广订单扣款</v>
          </cell>
        </row>
        <row r="4900">
          <cell r="H4900" t="str">
            <v>凤城二路店</v>
          </cell>
          <cell r="I4900">
            <v>46061</v>
          </cell>
          <cell r="J4900">
            <v>-256.44</v>
          </cell>
        </row>
        <row r="4901">
          <cell r="C4901" t="str">
            <v>推广账户自动充值</v>
          </cell>
        </row>
        <row r="4901">
          <cell r="H4901" t="str">
            <v>启点店</v>
          </cell>
          <cell r="I4901">
            <v>46061</v>
          </cell>
          <cell r="J4901">
            <v>200</v>
          </cell>
        </row>
        <row r="4902">
          <cell r="C4902" t="str">
            <v>推广订单扣款</v>
          </cell>
        </row>
        <row r="4902">
          <cell r="H4902" t="str">
            <v>下沙店</v>
          </cell>
          <cell r="I4902">
            <v>46061</v>
          </cell>
          <cell r="J4902">
            <v>-112.6</v>
          </cell>
        </row>
        <row r="4903">
          <cell r="C4903" t="str">
            <v>推广订单扣款</v>
          </cell>
        </row>
        <row r="4903">
          <cell r="H4903" t="str">
            <v>西湖店</v>
          </cell>
          <cell r="I4903">
            <v>46061</v>
          </cell>
          <cell r="J4903">
            <v>-78.58</v>
          </cell>
        </row>
        <row r="4904">
          <cell r="C4904" t="str">
            <v>推广订单扣款</v>
          </cell>
        </row>
        <row r="4904">
          <cell r="H4904" t="str">
            <v>首山店</v>
          </cell>
          <cell r="I4904">
            <v>46061</v>
          </cell>
          <cell r="J4904">
            <v>-156.56</v>
          </cell>
        </row>
        <row r="4905">
          <cell r="C4905" t="str">
            <v>推广订单扣款</v>
          </cell>
        </row>
        <row r="4905">
          <cell r="H4905" t="str">
            <v>鼓楼店</v>
          </cell>
          <cell r="I4905">
            <v>46061</v>
          </cell>
          <cell r="J4905">
            <v>-172.89</v>
          </cell>
        </row>
        <row r="4906">
          <cell r="C4906" t="str">
            <v>推广订单扣款</v>
          </cell>
        </row>
        <row r="4906">
          <cell r="H4906" t="str">
            <v>洛江店</v>
          </cell>
          <cell r="I4906">
            <v>46061</v>
          </cell>
          <cell r="J4906">
            <v>-56.43</v>
          </cell>
        </row>
        <row r="4907">
          <cell r="C4907" t="str">
            <v>推广订单扣款</v>
          </cell>
        </row>
        <row r="4907">
          <cell r="H4907" t="str">
            <v>长沙店</v>
          </cell>
          <cell r="I4907">
            <v>46061</v>
          </cell>
          <cell r="J4907">
            <v>-154.94</v>
          </cell>
        </row>
        <row r="4908">
          <cell r="C4908" t="str">
            <v>推广订单扣款</v>
          </cell>
        </row>
        <row r="4908">
          <cell r="H4908" t="str">
            <v>五路口店</v>
          </cell>
          <cell r="I4908">
            <v>46061</v>
          </cell>
          <cell r="J4908">
            <v>-220.9</v>
          </cell>
        </row>
        <row r="4909">
          <cell r="C4909" t="str">
            <v>推广订单扣款</v>
          </cell>
        </row>
        <row r="4909">
          <cell r="H4909" t="str">
            <v>百丈店</v>
          </cell>
          <cell r="I4909">
            <v>46061</v>
          </cell>
          <cell r="J4909">
            <v>-130.88</v>
          </cell>
        </row>
        <row r="4910">
          <cell r="C4910" t="str">
            <v>推广订单扣款</v>
          </cell>
        </row>
        <row r="4910">
          <cell r="H4910" t="str">
            <v>海口店</v>
          </cell>
          <cell r="I4910">
            <v>46061</v>
          </cell>
          <cell r="J4910">
            <v>-300</v>
          </cell>
        </row>
        <row r="4911">
          <cell r="C4911" t="str">
            <v>推广订单扣款</v>
          </cell>
        </row>
        <row r="4911">
          <cell r="H4911" t="str">
            <v>五华店</v>
          </cell>
          <cell r="I4911">
            <v>46061</v>
          </cell>
          <cell r="J4911">
            <v>-100.57</v>
          </cell>
        </row>
        <row r="4912">
          <cell r="C4912" t="str">
            <v>推广订单扣款</v>
          </cell>
        </row>
        <row r="4912">
          <cell r="H4912" t="str">
            <v>槐荫店</v>
          </cell>
          <cell r="I4912">
            <v>46061</v>
          </cell>
          <cell r="J4912">
            <v>-200</v>
          </cell>
        </row>
        <row r="4913">
          <cell r="C4913" t="str">
            <v>推广订单扣款</v>
          </cell>
        </row>
        <row r="4913">
          <cell r="H4913" t="str">
            <v>沙坪坝店</v>
          </cell>
          <cell r="I4913">
            <v>46061</v>
          </cell>
          <cell r="J4913">
            <v>-100</v>
          </cell>
        </row>
        <row r="4914">
          <cell r="C4914" t="str">
            <v>推广订单扣款</v>
          </cell>
        </row>
        <row r="4914">
          <cell r="H4914" t="str">
            <v>东新店</v>
          </cell>
          <cell r="I4914">
            <v>46061</v>
          </cell>
          <cell r="J4914">
            <v>-185.3</v>
          </cell>
        </row>
        <row r="4915">
          <cell r="C4915" t="str">
            <v>推广订单扣款</v>
          </cell>
        </row>
        <row r="4915">
          <cell r="H4915" t="str">
            <v>官渡店</v>
          </cell>
          <cell r="I4915">
            <v>46061</v>
          </cell>
          <cell r="J4915">
            <v>-131.47</v>
          </cell>
        </row>
        <row r="4916">
          <cell r="C4916" t="str">
            <v>推广订单扣款</v>
          </cell>
        </row>
        <row r="4916">
          <cell r="H4916" t="str">
            <v>东海店</v>
          </cell>
          <cell r="I4916">
            <v>46061</v>
          </cell>
          <cell r="J4916">
            <v>-84.51</v>
          </cell>
        </row>
        <row r="4917">
          <cell r="C4917" t="str">
            <v>推广订单扣款</v>
          </cell>
        </row>
        <row r="4917">
          <cell r="H4917" t="str">
            <v>泉秀店</v>
          </cell>
          <cell r="I4917">
            <v>46061</v>
          </cell>
          <cell r="J4917">
            <v>-9.45</v>
          </cell>
        </row>
        <row r="4918">
          <cell r="C4918" t="str">
            <v>推广订单扣款</v>
          </cell>
        </row>
        <row r="4918">
          <cell r="H4918" t="str">
            <v>文灶店</v>
          </cell>
          <cell r="I4918">
            <v>46061</v>
          </cell>
          <cell r="J4918">
            <v>-113.26</v>
          </cell>
        </row>
        <row r="4919">
          <cell r="C4919" t="str">
            <v>推广订单扣款</v>
          </cell>
        </row>
        <row r="4919">
          <cell r="H4919" t="str">
            <v>成华店</v>
          </cell>
          <cell r="I4919">
            <v>46061</v>
          </cell>
          <cell r="J4919">
            <v>-137.64</v>
          </cell>
        </row>
        <row r="4920">
          <cell r="C4920" t="str">
            <v>推广订单扣款</v>
          </cell>
        </row>
        <row r="4920">
          <cell r="H4920" t="str">
            <v>百捷店</v>
          </cell>
          <cell r="I4920">
            <v>46061</v>
          </cell>
          <cell r="J4920">
            <v>-122.77</v>
          </cell>
        </row>
        <row r="4921">
          <cell r="C4921" t="str">
            <v>推广订单扣款</v>
          </cell>
        </row>
        <row r="4921">
          <cell r="H4921" t="str">
            <v>启点店</v>
          </cell>
          <cell r="I4921">
            <v>46061</v>
          </cell>
          <cell r="J4921">
            <v>-210.54</v>
          </cell>
        </row>
        <row r="4922">
          <cell r="C4922" t="str">
            <v>推广订单扣款</v>
          </cell>
        </row>
        <row r="4922">
          <cell r="H4922" t="str">
            <v>诚毅店</v>
          </cell>
          <cell r="I4922">
            <v>46061</v>
          </cell>
          <cell r="J4922">
            <v>-124.69</v>
          </cell>
        </row>
        <row r="4923">
          <cell r="C4923" t="str">
            <v>推广账户自动充值</v>
          </cell>
        </row>
        <row r="4923">
          <cell r="H4923" t="str">
            <v>文昌店</v>
          </cell>
          <cell r="I4923">
            <v>46061</v>
          </cell>
          <cell r="J4923">
            <v>200</v>
          </cell>
        </row>
        <row r="4924">
          <cell r="C4924" t="str">
            <v>推广订单扣款</v>
          </cell>
        </row>
        <row r="4924">
          <cell r="H4924" t="str">
            <v>黄雁村店</v>
          </cell>
          <cell r="I4924">
            <v>46061</v>
          </cell>
          <cell r="J4924">
            <v>-283.78</v>
          </cell>
        </row>
        <row r="4925">
          <cell r="C4925" t="str">
            <v>推广订单扣款</v>
          </cell>
        </row>
        <row r="4925">
          <cell r="H4925" t="str">
            <v>观桥店</v>
          </cell>
          <cell r="I4925">
            <v>46061</v>
          </cell>
          <cell r="J4925">
            <v>-198.03</v>
          </cell>
        </row>
        <row r="4926">
          <cell r="C4926" t="str">
            <v>推广订单扣款</v>
          </cell>
        </row>
        <row r="4926">
          <cell r="H4926" t="str">
            <v>文昌店</v>
          </cell>
          <cell r="I4926">
            <v>46061</v>
          </cell>
          <cell r="J4926">
            <v>-91.66</v>
          </cell>
        </row>
        <row r="4927">
          <cell r="C4927" t="str">
            <v>推广账户自动充值</v>
          </cell>
        </row>
        <row r="4927">
          <cell r="H4927" t="str">
            <v>百丈店</v>
          </cell>
          <cell r="I4927">
            <v>46061</v>
          </cell>
          <cell r="J4927">
            <v>200</v>
          </cell>
        </row>
        <row r="4928">
          <cell r="C4928" t="str">
            <v>推广账户自动充值</v>
          </cell>
        </row>
        <row r="4928">
          <cell r="H4928" t="str">
            <v>滨江店</v>
          </cell>
          <cell r="I4928">
            <v>46061</v>
          </cell>
          <cell r="J4928">
            <v>200</v>
          </cell>
        </row>
        <row r="4929">
          <cell r="C4929" t="str">
            <v>推广账户自动充值</v>
          </cell>
        </row>
        <row r="4929">
          <cell r="H4929" t="str">
            <v>成华店</v>
          </cell>
          <cell r="I4929">
            <v>46061</v>
          </cell>
          <cell r="J4929">
            <v>200</v>
          </cell>
        </row>
        <row r="4930">
          <cell r="C4930" t="str">
            <v>推广账户自动充值</v>
          </cell>
        </row>
        <row r="4930">
          <cell r="H4930" t="str">
            <v>五路口店</v>
          </cell>
          <cell r="I4930">
            <v>46061</v>
          </cell>
          <cell r="J4930">
            <v>200</v>
          </cell>
        </row>
        <row r="4931">
          <cell r="C4931" t="str">
            <v>推广账户自动充值</v>
          </cell>
        </row>
        <row r="4931">
          <cell r="H4931" t="str">
            <v>下沙店</v>
          </cell>
          <cell r="I4931">
            <v>46061</v>
          </cell>
          <cell r="J4931">
            <v>100</v>
          </cell>
        </row>
        <row r="4932">
          <cell r="C4932" t="str">
            <v>推广订单扣款</v>
          </cell>
        </row>
        <row r="4932">
          <cell r="H4932" t="str">
            <v>华信店</v>
          </cell>
          <cell r="I4932">
            <v>46062</v>
          </cell>
          <cell r="J4932">
            <v>-200</v>
          </cell>
        </row>
        <row r="4933">
          <cell r="C4933" t="str">
            <v>推广账户自动充值</v>
          </cell>
        </row>
        <row r="4933">
          <cell r="H4933" t="str">
            <v>槐荫店</v>
          </cell>
          <cell r="I4933">
            <v>46062</v>
          </cell>
          <cell r="J4933">
            <v>200</v>
          </cell>
        </row>
        <row r="4934">
          <cell r="C4934" t="str">
            <v>推广订单扣款</v>
          </cell>
        </row>
        <row r="4934">
          <cell r="H4934" t="str">
            <v>槐荫店</v>
          </cell>
          <cell r="I4934">
            <v>46062</v>
          </cell>
          <cell r="J4934">
            <v>-200</v>
          </cell>
        </row>
        <row r="4935">
          <cell r="C4935" t="str">
            <v>推广订单扣款</v>
          </cell>
        </row>
        <row r="4935">
          <cell r="H4935" t="str">
            <v>湖里店</v>
          </cell>
          <cell r="I4935">
            <v>46062</v>
          </cell>
          <cell r="J4935">
            <v>-107.86</v>
          </cell>
        </row>
        <row r="4936">
          <cell r="C4936" t="str">
            <v>推广订单扣款</v>
          </cell>
        </row>
        <row r="4936">
          <cell r="H4936" t="str">
            <v>东新店</v>
          </cell>
          <cell r="I4936">
            <v>46062</v>
          </cell>
          <cell r="J4936">
            <v>-157.47</v>
          </cell>
        </row>
        <row r="4937">
          <cell r="C4937" t="str">
            <v>推广订单扣款</v>
          </cell>
        </row>
        <row r="4937">
          <cell r="H4937" t="str">
            <v>泉秀店</v>
          </cell>
          <cell r="I4937">
            <v>46062</v>
          </cell>
          <cell r="J4937">
            <v>-50.37</v>
          </cell>
        </row>
        <row r="4938">
          <cell r="C4938" t="str">
            <v>推广订单扣款</v>
          </cell>
        </row>
        <row r="4938">
          <cell r="H4938" t="str">
            <v>启点店</v>
          </cell>
          <cell r="I4938">
            <v>46062</v>
          </cell>
          <cell r="J4938">
            <v>-192.82</v>
          </cell>
        </row>
        <row r="4939">
          <cell r="C4939" t="str">
            <v>推广订单扣款</v>
          </cell>
        </row>
        <row r="4939">
          <cell r="H4939" t="str">
            <v>高新店</v>
          </cell>
          <cell r="I4939">
            <v>46062</v>
          </cell>
          <cell r="J4939">
            <v>-119.01</v>
          </cell>
        </row>
        <row r="4940">
          <cell r="C4940" t="str">
            <v>推广订单扣款</v>
          </cell>
        </row>
        <row r="4940">
          <cell r="H4940" t="str">
            <v>成华店</v>
          </cell>
          <cell r="I4940">
            <v>46062</v>
          </cell>
          <cell r="J4940">
            <v>-185.55</v>
          </cell>
        </row>
        <row r="4941">
          <cell r="C4941" t="str">
            <v>推广订单扣款</v>
          </cell>
        </row>
        <row r="4941">
          <cell r="H4941" t="str">
            <v>金牛店</v>
          </cell>
          <cell r="I4941">
            <v>46062</v>
          </cell>
          <cell r="J4941">
            <v>-85</v>
          </cell>
        </row>
        <row r="4942">
          <cell r="C4942" t="str">
            <v>推广订单扣款</v>
          </cell>
        </row>
        <row r="4942">
          <cell r="H4942" t="str">
            <v>西山店</v>
          </cell>
          <cell r="I4942">
            <v>46062</v>
          </cell>
          <cell r="J4942">
            <v>-201.41</v>
          </cell>
        </row>
        <row r="4943">
          <cell r="C4943" t="str">
            <v>推广订单扣款</v>
          </cell>
        </row>
        <row r="4943">
          <cell r="H4943" t="str">
            <v>沙坪坝店</v>
          </cell>
          <cell r="I4943">
            <v>46062</v>
          </cell>
          <cell r="J4943">
            <v>-120.41</v>
          </cell>
        </row>
        <row r="4944">
          <cell r="C4944" t="str">
            <v>推广订单扣款</v>
          </cell>
        </row>
        <row r="4944">
          <cell r="H4944" t="str">
            <v>凤城二路店</v>
          </cell>
          <cell r="I4944">
            <v>46062</v>
          </cell>
          <cell r="J4944">
            <v>-200</v>
          </cell>
        </row>
        <row r="4945">
          <cell r="C4945" t="str">
            <v>推广订单扣款</v>
          </cell>
        </row>
        <row r="4945">
          <cell r="H4945" t="str">
            <v>大坪店</v>
          </cell>
          <cell r="I4945">
            <v>46062</v>
          </cell>
          <cell r="J4945">
            <v>-173.06</v>
          </cell>
        </row>
        <row r="4946">
          <cell r="C4946" t="str">
            <v>推广订单扣款</v>
          </cell>
        </row>
        <row r="4946">
          <cell r="H4946" t="str">
            <v>五华店</v>
          </cell>
          <cell r="I4946">
            <v>46062</v>
          </cell>
          <cell r="J4946">
            <v>-116.15</v>
          </cell>
        </row>
        <row r="4947">
          <cell r="C4947" t="str">
            <v>推广订单扣款</v>
          </cell>
        </row>
        <row r="4947">
          <cell r="H4947" t="str">
            <v>官渡店</v>
          </cell>
          <cell r="I4947">
            <v>46062</v>
          </cell>
          <cell r="J4947">
            <v>-134.3</v>
          </cell>
        </row>
        <row r="4948">
          <cell r="C4948" t="str">
            <v>推广订单扣款</v>
          </cell>
        </row>
        <row r="4948">
          <cell r="H4948" t="str">
            <v>百捷店</v>
          </cell>
          <cell r="I4948">
            <v>46062</v>
          </cell>
          <cell r="J4948">
            <v>-78.97</v>
          </cell>
        </row>
        <row r="4949">
          <cell r="C4949" t="str">
            <v>推广订单扣款</v>
          </cell>
        </row>
        <row r="4949">
          <cell r="H4949" t="str">
            <v>济南店</v>
          </cell>
          <cell r="I4949">
            <v>46062</v>
          </cell>
          <cell r="J4949">
            <v>-179.79</v>
          </cell>
        </row>
        <row r="4950">
          <cell r="C4950" t="str">
            <v>推广订单扣款</v>
          </cell>
        </row>
        <row r="4950">
          <cell r="H4950" t="str">
            <v>观音桥店</v>
          </cell>
          <cell r="I4950">
            <v>46062</v>
          </cell>
          <cell r="J4950">
            <v>-200</v>
          </cell>
        </row>
        <row r="4951">
          <cell r="C4951" t="str">
            <v>推广订单扣款</v>
          </cell>
        </row>
        <row r="4951">
          <cell r="H4951" t="str">
            <v>长沙店</v>
          </cell>
          <cell r="I4951">
            <v>46062</v>
          </cell>
          <cell r="J4951">
            <v>-95.49</v>
          </cell>
        </row>
        <row r="4952">
          <cell r="C4952" t="str">
            <v>推广订单扣款</v>
          </cell>
        </row>
        <row r="4952">
          <cell r="H4952" t="str">
            <v>洛江店</v>
          </cell>
          <cell r="I4952">
            <v>46062</v>
          </cell>
          <cell r="J4952">
            <v>-61.15</v>
          </cell>
        </row>
        <row r="4953">
          <cell r="C4953" t="str">
            <v>推广订单扣款</v>
          </cell>
        </row>
        <row r="4953">
          <cell r="H4953" t="str">
            <v>五路口店</v>
          </cell>
          <cell r="I4953">
            <v>46062</v>
          </cell>
          <cell r="J4953">
            <v>-200</v>
          </cell>
        </row>
        <row r="4954">
          <cell r="C4954" t="str">
            <v>推广订单扣款</v>
          </cell>
        </row>
        <row r="4954">
          <cell r="H4954" t="str">
            <v>青羊店</v>
          </cell>
          <cell r="I4954">
            <v>46062</v>
          </cell>
          <cell r="J4954">
            <v>-31.06</v>
          </cell>
        </row>
        <row r="4955">
          <cell r="C4955" t="str">
            <v>推广订单扣款</v>
          </cell>
        </row>
        <row r="4955">
          <cell r="H4955" t="str">
            <v>武侯店</v>
          </cell>
          <cell r="I4955">
            <v>46062</v>
          </cell>
          <cell r="J4955">
            <v>-76.19</v>
          </cell>
        </row>
        <row r="4956">
          <cell r="C4956" t="str">
            <v>推广订单扣款</v>
          </cell>
        </row>
        <row r="4956">
          <cell r="H4956" t="str">
            <v>鼓楼店</v>
          </cell>
          <cell r="I4956">
            <v>46062</v>
          </cell>
          <cell r="J4956">
            <v>-182.74</v>
          </cell>
        </row>
        <row r="4957">
          <cell r="C4957" t="str">
            <v>推广订单扣款</v>
          </cell>
        </row>
        <row r="4957">
          <cell r="H4957" t="str">
            <v>黄雁村店</v>
          </cell>
          <cell r="I4957">
            <v>46062</v>
          </cell>
          <cell r="J4957">
            <v>-200</v>
          </cell>
        </row>
        <row r="4958">
          <cell r="C4958" t="str">
            <v>推广订单扣款</v>
          </cell>
        </row>
        <row r="4958">
          <cell r="H4958" t="str">
            <v>西湖店</v>
          </cell>
          <cell r="I4958">
            <v>46062</v>
          </cell>
          <cell r="J4958">
            <v>-115.36</v>
          </cell>
        </row>
        <row r="4959">
          <cell r="C4959" t="str">
            <v>推广订单扣款</v>
          </cell>
        </row>
        <row r="4959">
          <cell r="H4959" t="str">
            <v>百丈店</v>
          </cell>
          <cell r="I4959">
            <v>46062</v>
          </cell>
          <cell r="J4959">
            <v>-154.45</v>
          </cell>
        </row>
        <row r="4960">
          <cell r="C4960" t="str">
            <v>推广订单扣款</v>
          </cell>
        </row>
        <row r="4960">
          <cell r="H4960" t="str">
            <v>文昌店</v>
          </cell>
          <cell r="I4960">
            <v>46062</v>
          </cell>
          <cell r="J4960">
            <v>-66.46</v>
          </cell>
        </row>
        <row r="4961">
          <cell r="C4961" t="str">
            <v>推广订单扣款</v>
          </cell>
        </row>
        <row r="4961">
          <cell r="H4961" t="str">
            <v>观桥店</v>
          </cell>
          <cell r="I4961">
            <v>46062</v>
          </cell>
          <cell r="J4961">
            <v>-179.84</v>
          </cell>
        </row>
        <row r="4962">
          <cell r="C4962" t="str">
            <v>推广订单扣款</v>
          </cell>
        </row>
        <row r="4962">
          <cell r="H4962" t="str">
            <v>海口店</v>
          </cell>
          <cell r="I4962">
            <v>46062</v>
          </cell>
          <cell r="J4962">
            <v>-300</v>
          </cell>
        </row>
        <row r="4963">
          <cell r="C4963" t="str">
            <v>推广订单扣款</v>
          </cell>
        </row>
        <row r="4963">
          <cell r="H4963" t="str">
            <v>南安店</v>
          </cell>
          <cell r="I4963">
            <v>46062</v>
          </cell>
          <cell r="J4963">
            <v>-23.95</v>
          </cell>
        </row>
        <row r="4964">
          <cell r="C4964" t="str">
            <v>推广订单扣款</v>
          </cell>
        </row>
        <row r="4964">
          <cell r="H4964" t="str">
            <v>诚毅店</v>
          </cell>
          <cell r="I4964">
            <v>46062</v>
          </cell>
          <cell r="J4964">
            <v>-157.14</v>
          </cell>
        </row>
        <row r="4965">
          <cell r="C4965" t="str">
            <v>推广订单扣款</v>
          </cell>
        </row>
        <row r="4965">
          <cell r="H4965" t="str">
            <v>首山店</v>
          </cell>
          <cell r="I4965">
            <v>46062</v>
          </cell>
          <cell r="J4965">
            <v>-143.76</v>
          </cell>
        </row>
        <row r="4966">
          <cell r="C4966" t="str">
            <v>推广订单扣款</v>
          </cell>
        </row>
        <row r="4966">
          <cell r="H4966" t="str">
            <v>首南店</v>
          </cell>
          <cell r="I4966">
            <v>46062</v>
          </cell>
          <cell r="J4966">
            <v>-212.46</v>
          </cell>
        </row>
        <row r="4967">
          <cell r="C4967" t="str">
            <v>推广订单扣款</v>
          </cell>
        </row>
        <row r="4967">
          <cell r="H4967" t="str">
            <v>余杭店</v>
          </cell>
          <cell r="I4967">
            <v>46062</v>
          </cell>
          <cell r="J4967">
            <v>-147.51</v>
          </cell>
        </row>
        <row r="4968">
          <cell r="C4968" t="str">
            <v>推广订单扣款</v>
          </cell>
        </row>
        <row r="4968">
          <cell r="H4968" t="str">
            <v>东海店</v>
          </cell>
          <cell r="I4968">
            <v>46062</v>
          </cell>
          <cell r="J4968">
            <v>-47.21</v>
          </cell>
        </row>
        <row r="4969">
          <cell r="C4969" t="str">
            <v>推广订单扣款</v>
          </cell>
        </row>
        <row r="4969">
          <cell r="H4969" t="str">
            <v>文灶店</v>
          </cell>
          <cell r="I4969">
            <v>46062</v>
          </cell>
          <cell r="J4969">
            <v>-95.23</v>
          </cell>
        </row>
        <row r="4970">
          <cell r="C4970" t="str">
            <v>推广订单扣款</v>
          </cell>
        </row>
        <row r="4970">
          <cell r="H4970" t="str">
            <v>滨江店</v>
          </cell>
          <cell r="I4970">
            <v>46062</v>
          </cell>
          <cell r="J4970">
            <v>-191.1</v>
          </cell>
        </row>
        <row r="4971">
          <cell r="C4971" t="str">
            <v>推广订单扣款</v>
          </cell>
        </row>
        <row r="4971">
          <cell r="H4971" t="str">
            <v>下沙店</v>
          </cell>
          <cell r="I4971">
            <v>46062</v>
          </cell>
          <cell r="J4971">
            <v>-137.66</v>
          </cell>
        </row>
        <row r="4972">
          <cell r="C4972" t="str">
            <v>推广订单扣款</v>
          </cell>
        </row>
        <row r="4972">
          <cell r="H4972" t="str">
            <v>湖里店</v>
          </cell>
          <cell r="I4972">
            <v>46063</v>
          </cell>
          <cell r="J4972">
            <v>-90.96</v>
          </cell>
        </row>
        <row r="4973">
          <cell r="C4973" t="str">
            <v>推广订单扣款</v>
          </cell>
        </row>
        <row r="4973">
          <cell r="H4973" t="str">
            <v>东新店</v>
          </cell>
          <cell r="I4973">
            <v>46063</v>
          </cell>
          <cell r="J4973">
            <v>-179.55</v>
          </cell>
        </row>
        <row r="4974">
          <cell r="C4974" t="str">
            <v>推广订单扣款</v>
          </cell>
        </row>
        <row r="4974">
          <cell r="H4974" t="str">
            <v>泉秀店</v>
          </cell>
          <cell r="I4974">
            <v>46063</v>
          </cell>
          <cell r="J4974">
            <v>-111.85</v>
          </cell>
        </row>
        <row r="4975">
          <cell r="C4975" t="str">
            <v>推广订单扣款</v>
          </cell>
        </row>
        <row r="4975">
          <cell r="H4975" t="str">
            <v>启点店</v>
          </cell>
          <cell r="I4975">
            <v>46063</v>
          </cell>
          <cell r="J4975">
            <v>-156.58</v>
          </cell>
        </row>
        <row r="4976">
          <cell r="C4976" t="str">
            <v>推广订单扣款</v>
          </cell>
        </row>
        <row r="4976">
          <cell r="H4976" t="str">
            <v>高新店</v>
          </cell>
          <cell r="I4976">
            <v>46063</v>
          </cell>
          <cell r="J4976">
            <v>-73.1</v>
          </cell>
        </row>
        <row r="4977">
          <cell r="C4977" t="str">
            <v>推广订单扣款</v>
          </cell>
        </row>
        <row r="4977">
          <cell r="H4977" t="str">
            <v>成华店</v>
          </cell>
          <cell r="I4977">
            <v>46063</v>
          </cell>
          <cell r="J4977">
            <v>-180</v>
          </cell>
        </row>
        <row r="4978">
          <cell r="C4978" t="str">
            <v>推广订单扣款</v>
          </cell>
        </row>
        <row r="4978">
          <cell r="H4978" t="str">
            <v>金牛店</v>
          </cell>
          <cell r="I4978">
            <v>46063</v>
          </cell>
          <cell r="J4978">
            <v>-96.45</v>
          </cell>
        </row>
        <row r="4979">
          <cell r="C4979" t="str">
            <v>推广订单扣款</v>
          </cell>
        </row>
        <row r="4979">
          <cell r="H4979" t="str">
            <v>西山店</v>
          </cell>
          <cell r="I4979">
            <v>46063</v>
          </cell>
          <cell r="J4979">
            <v>-196.69</v>
          </cell>
        </row>
        <row r="4980">
          <cell r="C4980" t="str">
            <v>推广订单扣款</v>
          </cell>
        </row>
        <row r="4980">
          <cell r="H4980" t="str">
            <v>沙坪坝店</v>
          </cell>
          <cell r="I4980">
            <v>46063</v>
          </cell>
          <cell r="J4980">
            <v>-120.74</v>
          </cell>
        </row>
        <row r="4981">
          <cell r="C4981" t="str">
            <v>推广订单扣款</v>
          </cell>
        </row>
        <row r="4981">
          <cell r="H4981" t="str">
            <v>凤城二路店</v>
          </cell>
          <cell r="I4981">
            <v>46063</v>
          </cell>
          <cell r="J4981">
            <v>-200</v>
          </cell>
        </row>
        <row r="4982">
          <cell r="C4982" t="str">
            <v>推广订单扣款</v>
          </cell>
        </row>
        <row r="4982">
          <cell r="H4982" t="str">
            <v>大坪店</v>
          </cell>
          <cell r="I4982">
            <v>46063</v>
          </cell>
          <cell r="J4982">
            <v>-200</v>
          </cell>
        </row>
        <row r="4983">
          <cell r="C4983" t="str">
            <v>推广订单扣款</v>
          </cell>
        </row>
        <row r="4983">
          <cell r="H4983" t="str">
            <v>五华店</v>
          </cell>
          <cell r="I4983">
            <v>46063</v>
          </cell>
          <cell r="J4983">
            <v>-173.82</v>
          </cell>
        </row>
        <row r="4984">
          <cell r="C4984" t="str">
            <v>推广订单扣款</v>
          </cell>
        </row>
        <row r="4984">
          <cell r="H4984" t="str">
            <v>官渡店</v>
          </cell>
          <cell r="I4984">
            <v>46063</v>
          </cell>
          <cell r="J4984">
            <v>-181.7</v>
          </cell>
        </row>
        <row r="4985">
          <cell r="C4985" t="str">
            <v>推广订单扣款</v>
          </cell>
        </row>
        <row r="4985">
          <cell r="H4985" t="str">
            <v>百捷店</v>
          </cell>
          <cell r="I4985">
            <v>46063</v>
          </cell>
          <cell r="J4985">
            <v>-76.62</v>
          </cell>
        </row>
        <row r="4986">
          <cell r="C4986" t="str">
            <v>推广订单扣款</v>
          </cell>
        </row>
        <row r="4986">
          <cell r="H4986" t="str">
            <v>济南店</v>
          </cell>
          <cell r="I4986">
            <v>46063</v>
          </cell>
          <cell r="J4986">
            <v>-156.4</v>
          </cell>
        </row>
        <row r="4987">
          <cell r="C4987" t="str">
            <v>推广订单扣款</v>
          </cell>
        </row>
        <row r="4987">
          <cell r="H4987" t="str">
            <v>观音桥店</v>
          </cell>
          <cell r="I4987">
            <v>46063</v>
          </cell>
          <cell r="J4987">
            <v>-200</v>
          </cell>
        </row>
        <row r="4988">
          <cell r="C4988" t="str">
            <v>推广订单扣款</v>
          </cell>
        </row>
        <row r="4988">
          <cell r="H4988" t="str">
            <v>长沙店</v>
          </cell>
          <cell r="I4988">
            <v>46063</v>
          </cell>
          <cell r="J4988">
            <v>-65.85</v>
          </cell>
        </row>
        <row r="4989">
          <cell r="C4989" t="str">
            <v>推广订单扣款</v>
          </cell>
        </row>
        <row r="4989">
          <cell r="H4989" t="str">
            <v>洛江店</v>
          </cell>
          <cell r="I4989">
            <v>46063</v>
          </cell>
          <cell r="J4989">
            <v>-89.46</v>
          </cell>
        </row>
        <row r="4990">
          <cell r="C4990" t="str">
            <v>推广订单扣款</v>
          </cell>
        </row>
        <row r="4990">
          <cell r="H4990" t="str">
            <v>五路口店</v>
          </cell>
          <cell r="I4990">
            <v>46063</v>
          </cell>
          <cell r="J4990">
            <v>-200</v>
          </cell>
        </row>
        <row r="4991">
          <cell r="C4991" t="str">
            <v>推广订单扣款</v>
          </cell>
        </row>
        <row r="4991">
          <cell r="H4991" t="str">
            <v>青羊店</v>
          </cell>
          <cell r="I4991">
            <v>46063</v>
          </cell>
          <cell r="J4991">
            <v>-16.14</v>
          </cell>
        </row>
        <row r="4992">
          <cell r="C4992" t="str">
            <v>推广订单扣款</v>
          </cell>
        </row>
        <row r="4992">
          <cell r="H4992" t="str">
            <v>武侯店</v>
          </cell>
          <cell r="I4992">
            <v>46063</v>
          </cell>
          <cell r="J4992">
            <v>-82.4</v>
          </cell>
        </row>
        <row r="4993">
          <cell r="C4993" t="str">
            <v>推广订单扣款</v>
          </cell>
        </row>
        <row r="4993">
          <cell r="H4993" t="str">
            <v>鼓楼店</v>
          </cell>
          <cell r="I4993">
            <v>46063</v>
          </cell>
          <cell r="J4993">
            <v>-140.49</v>
          </cell>
        </row>
        <row r="4994">
          <cell r="C4994" t="str">
            <v>推广订单扣款</v>
          </cell>
        </row>
        <row r="4994">
          <cell r="H4994" t="str">
            <v>黄雁村店</v>
          </cell>
          <cell r="I4994">
            <v>46063</v>
          </cell>
          <cell r="J4994">
            <v>-200</v>
          </cell>
        </row>
        <row r="4995">
          <cell r="C4995" t="str">
            <v>推广订单扣款</v>
          </cell>
        </row>
        <row r="4995">
          <cell r="H4995" t="str">
            <v>西湖店</v>
          </cell>
          <cell r="I4995">
            <v>46063</v>
          </cell>
          <cell r="J4995">
            <v>-89.58</v>
          </cell>
        </row>
        <row r="4996">
          <cell r="C4996" t="str">
            <v>推广订单扣款</v>
          </cell>
        </row>
        <row r="4996">
          <cell r="H4996" t="str">
            <v>百丈店</v>
          </cell>
          <cell r="I4996">
            <v>46063</v>
          </cell>
          <cell r="J4996">
            <v>-176.39</v>
          </cell>
        </row>
        <row r="4997">
          <cell r="C4997" t="str">
            <v>推广订单扣款</v>
          </cell>
        </row>
        <row r="4997">
          <cell r="H4997" t="str">
            <v>文昌店</v>
          </cell>
          <cell r="I4997">
            <v>46063</v>
          </cell>
          <cell r="J4997">
            <v>-25.45</v>
          </cell>
        </row>
        <row r="4998">
          <cell r="C4998" t="str">
            <v>推广订单扣款</v>
          </cell>
        </row>
        <row r="4998">
          <cell r="H4998" t="str">
            <v>观桥店</v>
          </cell>
          <cell r="I4998">
            <v>46063</v>
          </cell>
          <cell r="J4998">
            <v>-162.55</v>
          </cell>
        </row>
        <row r="4999">
          <cell r="C4999" t="str">
            <v>推广账户自动充值</v>
          </cell>
        </row>
        <row r="4999">
          <cell r="H4999" t="str">
            <v>观桥店</v>
          </cell>
          <cell r="I4999">
            <v>46063</v>
          </cell>
          <cell r="J4999">
            <v>200</v>
          </cell>
        </row>
        <row r="5000">
          <cell r="C5000" t="str">
            <v>推广订单扣款</v>
          </cell>
        </row>
        <row r="5000">
          <cell r="H5000" t="str">
            <v>海口店</v>
          </cell>
          <cell r="I5000">
            <v>46063</v>
          </cell>
          <cell r="J5000">
            <v>-298.1</v>
          </cell>
        </row>
        <row r="5001">
          <cell r="C5001" t="str">
            <v>推广订单扣款</v>
          </cell>
        </row>
        <row r="5001">
          <cell r="H5001" t="str">
            <v>南安店</v>
          </cell>
          <cell r="I5001">
            <v>46063</v>
          </cell>
          <cell r="J5001">
            <v>-17.23</v>
          </cell>
        </row>
        <row r="5002">
          <cell r="C5002" t="str">
            <v>推广账户自动充值</v>
          </cell>
        </row>
        <row r="5002">
          <cell r="H5002" t="str">
            <v>诚毅店</v>
          </cell>
          <cell r="I5002">
            <v>46063</v>
          </cell>
          <cell r="J5002">
            <v>200</v>
          </cell>
        </row>
        <row r="5003">
          <cell r="C5003" t="str">
            <v>推广订单扣款</v>
          </cell>
        </row>
        <row r="5003">
          <cell r="H5003" t="str">
            <v>诚毅店</v>
          </cell>
          <cell r="I5003">
            <v>46063</v>
          </cell>
          <cell r="J5003">
            <v>-172.71</v>
          </cell>
        </row>
        <row r="5004">
          <cell r="C5004" t="str">
            <v>推广订单扣款</v>
          </cell>
        </row>
        <row r="5004">
          <cell r="H5004" t="str">
            <v>首山店</v>
          </cell>
          <cell r="I5004">
            <v>46063</v>
          </cell>
          <cell r="J5004">
            <v>-173.05</v>
          </cell>
        </row>
        <row r="5005">
          <cell r="C5005" t="str">
            <v>推广订单扣款</v>
          </cell>
        </row>
        <row r="5005">
          <cell r="H5005" t="str">
            <v>首南店</v>
          </cell>
          <cell r="I5005">
            <v>46063</v>
          </cell>
          <cell r="J5005">
            <v>-200</v>
          </cell>
        </row>
        <row r="5006">
          <cell r="C5006" t="str">
            <v>推广订单扣款</v>
          </cell>
        </row>
        <row r="5006">
          <cell r="H5006" t="str">
            <v>余杭店</v>
          </cell>
          <cell r="I5006">
            <v>46063</v>
          </cell>
          <cell r="J5006">
            <v>-175.68</v>
          </cell>
        </row>
        <row r="5007">
          <cell r="C5007" t="str">
            <v>推广订单扣款</v>
          </cell>
        </row>
        <row r="5007">
          <cell r="H5007" t="str">
            <v>东海店</v>
          </cell>
          <cell r="I5007">
            <v>46063</v>
          </cell>
          <cell r="J5007">
            <v>-36.31</v>
          </cell>
        </row>
        <row r="5008">
          <cell r="C5008" t="str">
            <v>推广订单扣款</v>
          </cell>
        </row>
        <row r="5008">
          <cell r="H5008" t="str">
            <v>文灶店</v>
          </cell>
          <cell r="I5008">
            <v>46063</v>
          </cell>
          <cell r="J5008">
            <v>-65.3</v>
          </cell>
        </row>
        <row r="5009">
          <cell r="C5009" t="str">
            <v>推广订单扣款</v>
          </cell>
        </row>
        <row r="5009">
          <cell r="H5009" t="str">
            <v>滨江店</v>
          </cell>
          <cell r="I5009">
            <v>46063</v>
          </cell>
          <cell r="J5009">
            <v>-176.52</v>
          </cell>
        </row>
        <row r="5010">
          <cell r="C5010" t="str">
            <v>推广订单扣款</v>
          </cell>
        </row>
        <row r="5010">
          <cell r="H5010" t="str">
            <v>下沙店</v>
          </cell>
          <cell r="I5010">
            <v>46063</v>
          </cell>
          <cell r="J5010">
            <v>-176.29</v>
          </cell>
        </row>
        <row r="5011">
          <cell r="C5011" t="str">
            <v>推广订单扣款</v>
          </cell>
        </row>
        <row r="5011">
          <cell r="H5011" t="str">
            <v>华信店</v>
          </cell>
          <cell r="I5011">
            <v>46063</v>
          </cell>
          <cell r="J5011">
            <v>-200</v>
          </cell>
        </row>
        <row r="5012">
          <cell r="C5012" t="str">
            <v>推广订单扣款</v>
          </cell>
        </row>
        <row r="5012">
          <cell r="H5012" t="str">
            <v>槐荫店</v>
          </cell>
          <cell r="I5012">
            <v>46063</v>
          </cell>
          <cell r="J5012">
            <v>-200</v>
          </cell>
        </row>
        <row r="5013">
          <cell r="C5013" t="str">
            <v>推广订单扣款</v>
          </cell>
        </row>
        <row r="5013">
          <cell r="H5013" t="str">
            <v>华信店</v>
          </cell>
          <cell r="I5013">
            <v>46064</v>
          </cell>
          <cell r="J5013">
            <v>-200</v>
          </cell>
        </row>
        <row r="5014">
          <cell r="C5014" t="str">
            <v>推广订单扣款</v>
          </cell>
        </row>
        <row r="5014">
          <cell r="H5014" t="str">
            <v>槐荫店</v>
          </cell>
          <cell r="I5014">
            <v>46064</v>
          </cell>
          <cell r="J5014">
            <v>-200</v>
          </cell>
        </row>
        <row r="5015">
          <cell r="C5015" t="str">
            <v>推广订单扣款</v>
          </cell>
        </row>
        <row r="5015">
          <cell r="H5015" t="str">
            <v>湖里店</v>
          </cell>
          <cell r="I5015">
            <v>46064</v>
          </cell>
          <cell r="J5015">
            <v>-96.36</v>
          </cell>
        </row>
        <row r="5016">
          <cell r="C5016" t="str">
            <v>推广订单扣款</v>
          </cell>
        </row>
        <row r="5016">
          <cell r="H5016" t="str">
            <v>东新店</v>
          </cell>
          <cell r="I5016">
            <v>46064</v>
          </cell>
          <cell r="J5016">
            <v>-196.77</v>
          </cell>
        </row>
        <row r="5017">
          <cell r="C5017" t="str">
            <v>推广订单扣款</v>
          </cell>
        </row>
        <row r="5017">
          <cell r="H5017" t="str">
            <v>泉秀店</v>
          </cell>
          <cell r="I5017">
            <v>46064</v>
          </cell>
          <cell r="J5017">
            <v>-200</v>
          </cell>
        </row>
        <row r="5018">
          <cell r="C5018" t="str">
            <v>推广订单扣款</v>
          </cell>
        </row>
        <row r="5018">
          <cell r="H5018" t="str">
            <v>启点店</v>
          </cell>
          <cell r="I5018">
            <v>46064</v>
          </cell>
          <cell r="J5018">
            <v>-145.98</v>
          </cell>
        </row>
        <row r="5019">
          <cell r="C5019" t="str">
            <v>推广账户自动充值</v>
          </cell>
        </row>
        <row r="5019">
          <cell r="H5019" t="str">
            <v>高新店</v>
          </cell>
          <cell r="I5019">
            <v>46064</v>
          </cell>
          <cell r="J5019">
            <v>200</v>
          </cell>
        </row>
        <row r="5020">
          <cell r="C5020" t="str">
            <v>推广订单扣款</v>
          </cell>
        </row>
        <row r="5020">
          <cell r="H5020" t="str">
            <v>高新店</v>
          </cell>
          <cell r="I5020">
            <v>46064</v>
          </cell>
          <cell r="J5020">
            <v>-95.75</v>
          </cell>
        </row>
        <row r="5021">
          <cell r="C5021" t="str">
            <v>推广订单扣款</v>
          </cell>
        </row>
        <row r="5021">
          <cell r="H5021" t="str">
            <v>成华店</v>
          </cell>
          <cell r="I5021">
            <v>46064</v>
          </cell>
          <cell r="J5021">
            <v>-180</v>
          </cell>
        </row>
        <row r="5022">
          <cell r="C5022" t="str">
            <v>推广订单扣款</v>
          </cell>
        </row>
        <row r="5022">
          <cell r="H5022" t="str">
            <v>金牛店</v>
          </cell>
          <cell r="I5022">
            <v>46064</v>
          </cell>
          <cell r="J5022">
            <v>-83.53</v>
          </cell>
        </row>
        <row r="5023">
          <cell r="C5023" t="str">
            <v>推广订单扣款</v>
          </cell>
        </row>
        <row r="5023">
          <cell r="H5023" t="str">
            <v>西山店</v>
          </cell>
          <cell r="I5023">
            <v>46064</v>
          </cell>
          <cell r="J5023">
            <v>-220</v>
          </cell>
        </row>
        <row r="5024">
          <cell r="C5024" t="str">
            <v>推广订单扣款</v>
          </cell>
        </row>
        <row r="5024">
          <cell r="H5024" t="str">
            <v>沙坪坝店</v>
          </cell>
          <cell r="I5024">
            <v>46064</v>
          </cell>
          <cell r="J5024">
            <v>-133.64</v>
          </cell>
        </row>
        <row r="5025">
          <cell r="C5025" t="str">
            <v>推广订单扣款</v>
          </cell>
        </row>
        <row r="5025">
          <cell r="H5025" t="str">
            <v>凤城二路店</v>
          </cell>
          <cell r="I5025">
            <v>46064</v>
          </cell>
          <cell r="J5025">
            <v>-200</v>
          </cell>
        </row>
        <row r="5026">
          <cell r="C5026" t="str">
            <v>推广订单扣款</v>
          </cell>
        </row>
        <row r="5026">
          <cell r="H5026" t="str">
            <v>大坪店</v>
          </cell>
          <cell r="I5026">
            <v>46064</v>
          </cell>
          <cell r="J5026">
            <v>-200</v>
          </cell>
        </row>
        <row r="5027">
          <cell r="C5027" t="str">
            <v>推广订单扣款</v>
          </cell>
        </row>
        <row r="5027">
          <cell r="H5027" t="str">
            <v>五华店</v>
          </cell>
          <cell r="I5027">
            <v>46064</v>
          </cell>
          <cell r="J5027">
            <v>-123.12</v>
          </cell>
        </row>
        <row r="5028">
          <cell r="C5028" t="str">
            <v>推广账户自动充值</v>
          </cell>
        </row>
        <row r="5028">
          <cell r="H5028" t="str">
            <v>官渡店</v>
          </cell>
          <cell r="I5028">
            <v>46064</v>
          </cell>
          <cell r="J5028">
            <v>200</v>
          </cell>
        </row>
        <row r="5029">
          <cell r="C5029" t="str">
            <v>推广订单扣款</v>
          </cell>
        </row>
        <row r="5029">
          <cell r="H5029" t="str">
            <v>官渡店</v>
          </cell>
          <cell r="I5029">
            <v>46064</v>
          </cell>
          <cell r="J5029">
            <v>-181.47</v>
          </cell>
        </row>
        <row r="5030">
          <cell r="C5030" t="str">
            <v>推广订单扣款</v>
          </cell>
        </row>
        <row r="5030">
          <cell r="H5030" t="str">
            <v>百捷店</v>
          </cell>
          <cell r="I5030">
            <v>46064</v>
          </cell>
          <cell r="J5030">
            <v>-127.9</v>
          </cell>
        </row>
        <row r="5031">
          <cell r="C5031" t="str">
            <v>推广订单扣款</v>
          </cell>
        </row>
        <row r="5031">
          <cell r="H5031" t="str">
            <v>济南店</v>
          </cell>
          <cell r="I5031">
            <v>46064</v>
          </cell>
          <cell r="J5031">
            <v>-180</v>
          </cell>
        </row>
        <row r="5032">
          <cell r="C5032" t="str">
            <v>推广订单扣款</v>
          </cell>
        </row>
        <row r="5032">
          <cell r="H5032" t="str">
            <v>观音桥店</v>
          </cell>
          <cell r="I5032">
            <v>46064</v>
          </cell>
          <cell r="J5032">
            <v>-200</v>
          </cell>
        </row>
        <row r="5033">
          <cell r="C5033" t="str">
            <v>推广订单扣款</v>
          </cell>
        </row>
        <row r="5033">
          <cell r="H5033" t="str">
            <v>长沙店</v>
          </cell>
          <cell r="I5033">
            <v>46064</v>
          </cell>
          <cell r="J5033">
            <v>-71.13</v>
          </cell>
        </row>
        <row r="5034">
          <cell r="C5034" t="str">
            <v>推广订单扣款</v>
          </cell>
        </row>
        <row r="5034">
          <cell r="H5034" t="str">
            <v>洛江店</v>
          </cell>
          <cell r="I5034">
            <v>46064</v>
          </cell>
          <cell r="J5034">
            <v>-104.28</v>
          </cell>
        </row>
        <row r="5035">
          <cell r="C5035" t="str">
            <v>推广订单扣款</v>
          </cell>
        </row>
        <row r="5035">
          <cell r="H5035" t="str">
            <v>五路口店</v>
          </cell>
          <cell r="I5035">
            <v>46064</v>
          </cell>
          <cell r="J5035">
            <v>-200</v>
          </cell>
        </row>
        <row r="5036">
          <cell r="C5036" t="str">
            <v>推广账户自动充值</v>
          </cell>
        </row>
        <row r="5036">
          <cell r="H5036" t="str">
            <v>青羊店</v>
          </cell>
          <cell r="I5036">
            <v>46064</v>
          </cell>
          <cell r="J5036">
            <v>200</v>
          </cell>
        </row>
        <row r="5037">
          <cell r="C5037" t="str">
            <v>推广订单扣款</v>
          </cell>
        </row>
        <row r="5037">
          <cell r="H5037" t="str">
            <v>青羊店</v>
          </cell>
          <cell r="I5037">
            <v>46064</v>
          </cell>
          <cell r="J5037">
            <v>-38.78</v>
          </cell>
        </row>
        <row r="5038">
          <cell r="C5038" t="str">
            <v>推广订单扣款</v>
          </cell>
        </row>
        <row r="5038">
          <cell r="H5038" t="str">
            <v>武侯店</v>
          </cell>
          <cell r="I5038">
            <v>46064</v>
          </cell>
          <cell r="J5038">
            <v>-103.27</v>
          </cell>
        </row>
        <row r="5039">
          <cell r="C5039" t="str">
            <v>推广订单扣款</v>
          </cell>
        </row>
        <row r="5039">
          <cell r="H5039" t="str">
            <v>鼓楼店</v>
          </cell>
          <cell r="I5039">
            <v>46064</v>
          </cell>
          <cell r="J5039">
            <v>-200</v>
          </cell>
        </row>
        <row r="5040">
          <cell r="C5040" t="str">
            <v>推广订单扣款</v>
          </cell>
        </row>
        <row r="5040">
          <cell r="H5040" t="str">
            <v>黄雁村店</v>
          </cell>
          <cell r="I5040">
            <v>46064</v>
          </cell>
          <cell r="J5040">
            <v>-100</v>
          </cell>
        </row>
        <row r="5041">
          <cell r="C5041" t="str">
            <v>推广订单扣款</v>
          </cell>
        </row>
        <row r="5041">
          <cell r="H5041" t="str">
            <v>西湖店</v>
          </cell>
          <cell r="I5041">
            <v>46064</v>
          </cell>
          <cell r="J5041">
            <v>-113.26</v>
          </cell>
        </row>
        <row r="5042">
          <cell r="C5042" t="str">
            <v>推广订单扣款</v>
          </cell>
        </row>
        <row r="5042">
          <cell r="H5042" t="str">
            <v>百丈店</v>
          </cell>
          <cell r="I5042">
            <v>46064</v>
          </cell>
          <cell r="J5042">
            <v>-133.39</v>
          </cell>
        </row>
        <row r="5043">
          <cell r="C5043" t="str">
            <v>推广订单扣款</v>
          </cell>
        </row>
        <row r="5043">
          <cell r="H5043" t="str">
            <v>文昌店</v>
          </cell>
          <cell r="I5043">
            <v>46064</v>
          </cell>
          <cell r="J5043">
            <v>-50.65</v>
          </cell>
        </row>
        <row r="5044">
          <cell r="C5044" t="str">
            <v>推广订单扣款</v>
          </cell>
        </row>
        <row r="5044">
          <cell r="H5044" t="str">
            <v>观桥店</v>
          </cell>
          <cell r="I5044">
            <v>46064</v>
          </cell>
          <cell r="J5044">
            <v>-149.05</v>
          </cell>
        </row>
        <row r="5045">
          <cell r="C5045" t="str">
            <v>推广订单扣款</v>
          </cell>
        </row>
        <row r="5045">
          <cell r="H5045" t="str">
            <v>海口店</v>
          </cell>
          <cell r="I5045">
            <v>46064</v>
          </cell>
          <cell r="J5045">
            <v>-300</v>
          </cell>
        </row>
        <row r="5046">
          <cell r="C5046" t="str">
            <v>推广订单扣款</v>
          </cell>
        </row>
        <row r="5046">
          <cell r="H5046" t="str">
            <v>南安店</v>
          </cell>
          <cell r="I5046">
            <v>46064</v>
          </cell>
          <cell r="J5046">
            <v>-28.92</v>
          </cell>
        </row>
        <row r="5047">
          <cell r="C5047" t="str">
            <v>推广订单扣款</v>
          </cell>
        </row>
        <row r="5047">
          <cell r="H5047" t="str">
            <v>诚毅店</v>
          </cell>
          <cell r="I5047">
            <v>46064</v>
          </cell>
          <cell r="J5047">
            <v>-161.16</v>
          </cell>
        </row>
        <row r="5048">
          <cell r="C5048" t="str">
            <v>推广订单扣款</v>
          </cell>
        </row>
        <row r="5048">
          <cell r="H5048" t="str">
            <v>首山店</v>
          </cell>
          <cell r="I5048">
            <v>46064</v>
          </cell>
          <cell r="J5048">
            <v>-200</v>
          </cell>
        </row>
        <row r="5049">
          <cell r="C5049" t="str">
            <v>推广订单扣款</v>
          </cell>
        </row>
        <row r="5049">
          <cell r="H5049" t="str">
            <v>首南店</v>
          </cell>
          <cell r="I5049">
            <v>46064</v>
          </cell>
          <cell r="J5049">
            <v>-174.11</v>
          </cell>
        </row>
        <row r="5050">
          <cell r="C5050" t="str">
            <v>推广订单扣款</v>
          </cell>
        </row>
        <row r="5050">
          <cell r="H5050" t="str">
            <v>余杭店</v>
          </cell>
          <cell r="I5050">
            <v>46064</v>
          </cell>
          <cell r="J5050">
            <v>-187.08</v>
          </cell>
        </row>
        <row r="5051">
          <cell r="C5051" t="str">
            <v>推广订单扣款</v>
          </cell>
        </row>
        <row r="5051">
          <cell r="H5051" t="str">
            <v>东海店</v>
          </cell>
          <cell r="I5051">
            <v>46064</v>
          </cell>
          <cell r="J5051">
            <v>-55.18</v>
          </cell>
        </row>
        <row r="5052">
          <cell r="C5052" t="str">
            <v>推广订单扣款</v>
          </cell>
        </row>
        <row r="5052">
          <cell r="H5052" t="str">
            <v>文灶店</v>
          </cell>
          <cell r="I5052">
            <v>46064</v>
          </cell>
          <cell r="J5052">
            <v>-71.85</v>
          </cell>
        </row>
        <row r="5053">
          <cell r="C5053" t="str">
            <v>推广订单扣款</v>
          </cell>
        </row>
        <row r="5053">
          <cell r="H5053" t="str">
            <v>滨江店</v>
          </cell>
          <cell r="I5053">
            <v>46064</v>
          </cell>
          <cell r="J5053">
            <v>-191.03</v>
          </cell>
        </row>
        <row r="5054">
          <cell r="C5054" t="str">
            <v>推广订单扣款</v>
          </cell>
        </row>
        <row r="5054">
          <cell r="H5054" t="str">
            <v>下沙店</v>
          </cell>
          <cell r="I5054">
            <v>46064</v>
          </cell>
          <cell r="J5054">
            <v>-159.85</v>
          </cell>
        </row>
        <row r="5055">
          <cell r="C5055" t="str">
            <v>推广账户自动充值</v>
          </cell>
        </row>
        <row r="5055">
          <cell r="H5055" t="str">
            <v>湖里店</v>
          </cell>
          <cell r="I5055">
            <v>46065</v>
          </cell>
          <cell r="J5055">
            <v>200</v>
          </cell>
        </row>
        <row r="5056">
          <cell r="C5056" t="str">
            <v>推广订单扣款</v>
          </cell>
        </row>
        <row r="5056">
          <cell r="H5056" t="str">
            <v>湖里店</v>
          </cell>
          <cell r="I5056">
            <v>46065</v>
          </cell>
          <cell r="J5056">
            <v>-33.24</v>
          </cell>
        </row>
        <row r="5057">
          <cell r="C5057" t="str">
            <v>推广订单扣款</v>
          </cell>
        </row>
        <row r="5057">
          <cell r="H5057" t="str">
            <v>东新店</v>
          </cell>
          <cell r="I5057">
            <v>46065</v>
          </cell>
          <cell r="J5057">
            <v>-142.14</v>
          </cell>
        </row>
        <row r="5058">
          <cell r="C5058" t="str">
            <v>推广订单扣款</v>
          </cell>
        </row>
        <row r="5058">
          <cell r="H5058" t="str">
            <v>泉秀店</v>
          </cell>
          <cell r="I5058">
            <v>46065</v>
          </cell>
          <cell r="J5058">
            <v>-213.72</v>
          </cell>
        </row>
        <row r="5059">
          <cell r="C5059" t="str">
            <v>推广订单扣款</v>
          </cell>
        </row>
        <row r="5059">
          <cell r="H5059" t="str">
            <v>启点店</v>
          </cell>
          <cell r="I5059">
            <v>46065</v>
          </cell>
          <cell r="J5059">
            <v>-143.94</v>
          </cell>
        </row>
        <row r="5060">
          <cell r="C5060" t="str">
            <v>推广订单扣款</v>
          </cell>
        </row>
        <row r="5060">
          <cell r="H5060" t="str">
            <v>高新店</v>
          </cell>
          <cell r="I5060">
            <v>46065</v>
          </cell>
          <cell r="J5060">
            <v>-118.02</v>
          </cell>
        </row>
        <row r="5061">
          <cell r="C5061" t="str">
            <v>推广订单扣款</v>
          </cell>
        </row>
        <row r="5061">
          <cell r="H5061" t="str">
            <v>成华店</v>
          </cell>
          <cell r="I5061">
            <v>46065</v>
          </cell>
          <cell r="J5061">
            <v>-180</v>
          </cell>
        </row>
        <row r="5062">
          <cell r="C5062" t="str">
            <v>推广订单扣款</v>
          </cell>
        </row>
        <row r="5062">
          <cell r="H5062" t="str">
            <v>金牛店</v>
          </cell>
          <cell r="I5062">
            <v>46065</v>
          </cell>
          <cell r="J5062">
            <v>-87.72</v>
          </cell>
        </row>
        <row r="5063">
          <cell r="C5063" t="str">
            <v>推广订单扣款</v>
          </cell>
        </row>
        <row r="5063">
          <cell r="H5063" t="str">
            <v>西山店</v>
          </cell>
          <cell r="I5063">
            <v>46065</v>
          </cell>
          <cell r="J5063">
            <v>-220</v>
          </cell>
        </row>
        <row r="5064">
          <cell r="C5064" t="str">
            <v>推广订单扣款</v>
          </cell>
        </row>
        <row r="5064">
          <cell r="H5064" t="str">
            <v>沙坪坝店</v>
          </cell>
          <cell r="I5064">
            <v>46065</v>
          </cell>
          <cell r="J5064">
            <v>-122.12</v>
          </cell>
        </row>
        <row r="5065">
          <cell r="C5065" t="str">
            <v>推广订单扣款</v>
          </cell>
        </row>
        <row r="5065">
          <cell r="H5065" t="str">
            <v>凤城二路店</v>
          </cell>
          <cell r="I5065">
            <v>46065</v>
          </cell>
          <cell r="J5065">
            <v>-200</v>
          </cell>
        </row>
        <row r="5066">
          <cell r="C5066" t="str">
            <v>推广订单扣款</v>
          </cell>
        </row>
        <row r="5066">
          <cell r="H5066" t="str">
            <v>大坪店</v>
          </cell>
          <cell r="I5066">
            <v>46065</v>
          </cell>
          <cell r="J5066">
            <v>-200</v>
          </cell>
        </row>
        <row r="5067">
          <cell r="C5067" t="str">
            <v>推广订单扣款</v>
          </cell>
        </row>
        <row r="5067">
          <cell r="H5067" t="str">
            <v>五华店</v>
          </cell>
          <cell r="I5067">
            <v>46065</v>
          </cell>
          <cell r="J5067">
            <v>-172.39</v>
          </cell>
        </row>
        <row r="5068">
          <cell r="C5068" t="str">
            <v>推广订单扣款</v>
          </cell>
        </row>
        <row r="5068">
          <cell r="H5068" t="str">
            <v>官渡店</v>
          </cell>
          <cell r="I5068">
            <v>46065</v>
          </cell>
          <cell r="J5068">
            <v>-200</v>
          </cell>
        </row>
        <row r="5069">
          <cell r="C5069" t="str">
            <v>推广账户自动充值</v>
          </cell>
        </row>
        <row r="5069">
          <cell r="H5069" t="str">
            <v>官渡店</v>
          </cell>
          <cell r="I5069">
            <v>46065</v>
          </cell>
          <cell r="J5069">
            <v>200</v>
          </cell>
        </row>
        <row r="5070">
          <cell r="C5070" t="str">
            <v>推广订单扣款</v>
          </cell>
        </row>
        <row r="5070">
          <cell r="H5070" t="str">
            <v>百捷店</v>
          </cell>
          <cell r="I5070">
            <v>46065</v>
          </cell>
          <cell r="J5070">
            <v>-122.89</v>
          </cell>
        </row>
        <row r="5071">
          <cell r="C5071" t="str">
            <v>推广订单扣款</v>
          </cell>
        </row>
        <row r="5071">
          <cell r="H5071" t="str">
            <v>济南店</v>
          </cell>
          <cell r="I5071">
            <v>46065</v>
          </cell>
          <cell r="J5071">
            <v>-180</v>
          </cell>
        </row>
        <row r="5072">
          <cell r="C5072" t="str">
            <v>推广订单扣款</v>
          </cell>
        </row>
        <row r="5072">
          <cell r="H5072" t="str">
            <v>观音桥店</v>
          </cell>
          <cell r="I5072">
            <v>46065</v>
          </cell>
          <cell r="J5072">
            <v>-200</v>
          </cell>
        </row>
        <row r="5073">
          <cell r="C5073" t="str">
            <v>推广订单扣款</v>
          </cell>
        </row>
        <row r="5073">
          <cell r="H5073" t="str">
            <v>长沙店</v>
          </cell>
          <cell r="I5073">
            <v>46065</v>
          </cell>
          <cell r="J5073">
            <v>-59.14</v>
          </cell>
        </row>
        <row r="5074">
          <cell r="C5074" t="str">
            <v>推广订单扣款</v>
          </cell>
        </row>
        <row r="5074">
          <cell r="H5074" t="str">
            <v>洛江店</v>
          </cell>
          <cell r="I5074">
            <v>46065</v>
          </cell>
          <cell r="J5074">
            <v>-110.52</v>
          </cell>
        </row>
        <row r="5075">
          <cell r="C5075" t="str">
            <v>推广订单扣款</v>
          </cell>
        </row>
        <row r="5075">
          <cell r="H5075" t="str">
            <v>五路口店</v>
          </cell>
          <cell r="I5075">
            <v>46065</v>
          </cell>
          <cell r="J5075">
            <v>-198.09</v>
          </cell>
        </row>
        <row r="5076">
          <cell r="C5076" t="str">
            <v>推广订单扣款</v>
          </cell>
        </row>
        <row r="5076">
          <cell r="H5076" t="str">
            <v>青羊店</v>
          </cell>
          <cell r="I5076">
            <v>46065</v>
          </cell>
          <cell r="J5076">
            <v>-42.57</v>
          </cell>
        </row>
        <row r="5077">
          <cell r="C5077" t="str">
            <v>推广订单扣款</v>
          </cell>
        </row>
        <row r="5077">
          <cell r="H5077" t="str">
            <v>武侯店</v>
          </cell>
          <cell r="I5077">
            <v>46065</v>
          </cell>
          <cell r="J5077">
            <v>-118.45</v>
          </cell>
        </row>
        <row r="5078">
          <cell r="C5078" t="str">
            <v>推广订单扣款</v>
          </cell>
        </row>
        <row r="5078">
          <cell r="H5078" t="str">
            <v>鼓楼店</v>
          </cell>
          <cell r="I5078">
            <v>46065</v>
          </cell>
          <cell r="J5078">
            <v>-176.76</v>
          </cell>
        </row>
        <row r="5079">
          <cell r="C5079" t="str">
            <v>推广订单扣款</v>
          </cell>
        </row>
        <row r="5079">
          <cell r="H5079" t="str">
            <v>黄雁村店</v>
          </cell>
          <cell r="I5079">
            <v>46065</v>
          </cell>
          <cell r="J5079">
            <v>-100</v>
          </cell>
        </row>
        <row r="5080">
          <cell r="C5080" t="str">
            <v>推广订单扣款</v>
          </cell>
        </row>
        <row r="5080">
          <cell r="H5080" t="str">
            <v>西湖店</v>
          </cell>
          <cell r="I5080">
            <v>46065</v>
          </cell>
          <cell r="J5080">
            <v>-86.28</v>
          </cell>
        </row>
        <row r="5081">
          <cell r="C5081" t="str">
            <v>推广订单扣款</v>
          </cell>
        </row>
        <row r="5081">
          <cell r="H5081" t="str">
            <v>百丈店</v>
          </cell>
          <cell r="I5081">
            <v>46065</v>
          </cell>
          <cell r="J5081">
            <v>-176.15</v>
          </cell>
        </row>
        <row r="5082">
          <cell r="C5082" t="str">
            <v>推广订单扣款</v>
          </cell>
        </row>
        <row r="5082">
          <cell r="H5082" t="str">
            <v>文昌店</v>
          </cell>
          <cell r="I5082">
            <v>46065</v>
          </cell>
          <cell r="J5082">
            <v>-81.3</v>
          </cell>
        </row>
        <row r="5083">
          <cell r="C5083" t="str">
            <v>推广账户自动充值</v>
          </cell>
        </row>
        <row r="5083">
          <cell r="H5083" t="str">
            <v>观桥店</v>
          </cell>
          <cell r="I5083">
            <v>46065</v>
          </cell>
          <cell r="J5083">
            <v>200</v>
          </cell>
        </row>
        <row r="5084">
          <cell r="C5084" t="str">
            <v>推广订单扣款</v>
          </cell>
        </row>
        <row r="5084">
          <cell r="H5084" t="str">
            <v>观桥店</v>
          </cell>
          <cell r="I5084">
            <v>46065</v>
          </cell>
          <cell r="J5084">
            <v>-200</v>
          </cell>
        </row>
        <row r="5085">
          <cell r="C5085" t="str">
            <v>推广订单扣款</v>
          </cell>
        </row>
        <row r="5085">
          <cell r="H5085" t="str">
            <v>海口店</v>
          </cell>
          <cell r="I5085">
            <v>46065</v>
          </cell>
          <cell r="J5085">
            <v>-300</v>
          </cell>
        </row>
        <row r="5086">
          <cell r="C5086" t="str">
            <v>推广订单扣款</v>
          </cell>
        </row>
        <row r="5086">
          <cell r="H5086" t="str">
            <v>南安店</v>
          </cell>
          <cell r="I5086">
            <v>46065</v>
          </cell>
          <cell r="J5086">
            <v>-24.23</v>
          </cell>
        </row>
        <row r="5087">
          <cell r="C5087" t="str">
            <v>推广订单扣款</v>
          </cell>
        </row>
        <row r="5087">
          <cell r="H5087" t="str">
            <v>诚毅店</v>
          </cell>
          <cell r="I5087">
            <v>46065</v>
          </cell>
          <cell r="J5087">
            <v>-173.52</v>
          </cell>
        </row>
        <row r="5088">
          <cell r="C5088" t="str">
            <v>推广订单扣款</v>
          </cell>
        </row>
        <row r="5088">
          <cell r="H5088" t="str">
            <v>首山店</v>
          </cell>
          <cell r="I5088">
            <v>46065</v>
          </cell>
          <cell r="J5088">
            <v>-177.07</v>
          </cell>
        </row>
        <row r="5089">
          <cell r="C5089" t="str">
            <v>推广订单扣款</v>
          </cell>
        </row>
        <row r="5089">
          <cell r="H5089" t="str">
            <v>首南店</v>
          </cell>
          <cell r="I5089">
            <v>46065</v>
          </cell>
          <cell r="J5089">
            <v>-200</v>
          </cell>
        </row>
        <row r="5090">
          <cell r="C5090" t="str">
            <v>推广订单扣款</v>
          </cell>
        </row>
        <row r="5090">
          <cell r="H5090" t="str">
            <v>余杭店</v>
          </cell>
          <cell r="I5090">
            <v>46065</v>
          </cell>
          <cell r="J5090">
            <v>-155.71</v>
          </cell>
        </row>
        <row r="5091">
          <cell r="C5091" t="str">
            <v>推广订单扣款</v>
          </cell>
        </row>
        <row r="5091">
          <cell r="H5091" t="str">
            <v>东海店</v>
          </cell>
          <cell r="I5091">
            <v>46065</v>
          </cell>
          <cell r="J5091">
            <v>-70.18</v>
          </cell>
        </row>
        <row r="5092">
          <cell r="C5092" t="str">
            <v>推广订单扣款</v>
          </cell>
        </row>
        <row r="5092">
          <cell r="H5092" t="str">
            <v>文灶店</v>
          </cell>
          <cell r="I5092">
            <v>46065</v>
          </cell>
          <cell r="J5092">
            <v>-84.53</v>
          </cell>
        </row>
        <row r="5093">
          <cell r="C5093" t="str">
            <v>推广订单扣款</v>
          </cell>
        </row>
        <row r="5093">
          <cell r="H5093" t="str">
            <v>滨江店</v>
          </cell>
          <cell r="I5093">
            <v>46065</v>
          </cell>
          <cell r="J5093">
            <v>-186.14</v>
          </cell>
        </row>
        <row r="5094">
          <cell r="C5094" t="str">
            <v>推广订单扣款</v>
          </cell>
        </row>
        <row r="5094">
          <cell r="H5094" t="str">
            <v>下沙店</v>
          </cell>
          <cell r="I5094">
            <v>46065</v>
          </cell>
          <cell r="J5094">
            <v>-154.63</v>
          </cell>
        </row>
        <row r="5095">
          <cell r="C5095" t="str">
            <v>推广订单扣款</v>
          </cell>
        </row>
        <row r="5095">
          <cell r="H5095" t="str">
            <v>华信店</v>
          </cell>
          <cell r="I5095">
            <v>46065</v>
          </cell>
          <cell r="J5095">
            <v>-200</v>
          </cell>
        </row>
        <row r="5096">
          <cell r="C5096" t="str">
            <v>推广订单扣款</v>
          </cell>
        </row>
        <row r="5096">
          <cell r="H5096" t="str">
            <v>槐荫店</v>
          </cell>
          <cell r="I5096">
            <v>46065</v>
          </cell>
          <cell r="J5096">
            <v>-200</v>
          </cell>
        </row>
        <row r="5097">
          <cell r="C5097" t="str">
            <v>推广订单扣款</v>
          </cell>
        </row>
        <row r="5097">
          <cell r="H5097" t="str">
            <v>湖里店</v>
          </cell>
          <cell r="I5097">
            <v>46066</v>
          </cell>
          <cell r="J5097">
            <v>-101.92</v>
          </cell>
        </row>
        <row r="5098">
          <cell r="C5098" t="str">
            <v>推广订单扣款</v>
          </cell>
        </row>
        <row r="5098">
          <cell r="H5098" t="str">
            <v>东新店</v>
          </cell>
          <cell r="I5098">
            <v>46066</v>
          </cell>
          <cell r="J5098">
            <v>-109.83</v>
          </cell>
        </row>
        <row r="5099">
          <cell r="C5099" t="str">
            <v>推广账户自动充值</v>
          </cell>
        </row>
        <row r="5099">
          <cell r="H5099" t="str">
            <v>泉秀店</v>
          </cell>
          <cell r="I5099">
            <v>46066</v>
          </cell>
          <cell r="J5099">
            <v>200</v>
          </cell>
        </row>
        <row r="5100">
          <cell r="C5100" t="str">
            <v>推广订单扣款</v>
          </cell>
        </row>
        <row r="5100">
          <cell r="H5100" t="str">
            <v>泉秀店</v>
          </cell>
          <cell r="I5100">
            <v>46066</v>
          </cell>
          <cell r="J5100">
            <v>-101.84</v>
          </cell>
        </row>
        <row r="5101">
          <cell r="C5101" t="str">
            <v>推广订单扣款</v>
          </cell>
        </row>
        <row r="5101">
          <cell r="H5101" t="str">
            <v>启点店</v>
          </cell>
          <cell r="I5101">
            <v>46066</v>
          </cell>
          <cell r="J5101">
            <v>-145.47</v>
          </cell>
        </row>
        <row r="5102">
          <cell r="C5102" t="str">
            <v>推广订单扣款</v>
          </cell>
        </row>
        <row r="5102">
          <cell r="H5102" t="str">
            <v>高新店</v>
          </cell>
          <cell r="I5102">
            <v>46066</v>
          </cell>
          <cell r="J5102">
            <v>-131.29</v>
          </cell>
        </row>
        <row r="5103">
          <cell r="C5103" t="str">
            <v>推广订单扣款</v>
          </cell>
        </row>
        <row r="5103">
          <cell r="H5103" t="str">
            <v>成华店</v>
          </cell>
          <cell r="I5103">
            <v>46066</v>
          </cell>
          <cell r="J5103">
            <v>-180</v>
          </cell>
        </row>
        <row r="5104">
          <cell r="C5104" t="str">
            <v>推广订单扣款</v>
          </cell>
        </row>
        <row r="5104">
          <cell r="H5104" t="str">
            <v>金牛店</v>
          </cell>
          <cell r="I5104">
            <v>46066</v>
          </cell>
          <cell r="J5104">
            <v>-148.38</v>
          </cell>
        </row>
        <row r="5105">
          <cell r="C5105" t="str">
            <v>推广订单扣款</v>
          </cell>
        </row>
        <row r="5105">
          <cell r="H5105" t="str">
            <v>西山店</v>
          </cell>
          <cell r="I5105">
            <v>46066</v>
          </cell>
          <cell r="J5105">
            <v>-220</v>
          </cell>
        </row>
        <row r="5106">
          <cell r="C5106" t="str">
            <v>推广订单扣款</v>
          </cell>
        </row>
        <row r="5106">
          <cell r="H5106" t="str">
            <v>沙坪坝店</v>
          </cell>
          <cell r="I5106">
            <v>46066</v>
          </cell>
          <cell r="J5106">
            <v>-197.63</v>
          </cell>
        </row>
        <row r="5107">
          <cell r="C5107" t="str">
            <v>推广订单扣款</v>
          </cell>
        </row>
        <row r="5107">
          <cell r="H5107" t="str">
            <v>凤城二路店</v>
          </cell>
          <cell r="I5107">
            <v>46066</v>
          </cell>
          <cell r="J5107">
            <v>-200</v>
          </cell>
        </row>
        <row r="5108">
          <cell r="C5108" t="str">
            <v>推广订单扣款</v>
          </cell>
        </row>
        <row r="5108">
          <cell r="H5108" t="str">
            <v>大坪店</v>
          </cell>
          <cell r="I5108">
            <v>46066</v>
          </cell>
          <cell r="J5108">
            <v>-193.15</v>
          </cell>
        </row>
        <row r="5109">
          <cell r="C5109" t="str">
            <v>推广订单扣款</v>
          </cell>
        </row>
        <row r="5109">
          <cell r="H5109" t="str">
            <v>五华店</v>
          </cell>
          <cell r="I5109">
            <v>46066</v>
          </cell>
          <cell r="J5109">
            <v>-191.57</v>
          </cell>
        </row>
        <row r="5110">
          <cell r="C5110" t="str">
            <v>推广账户自动充值</v>
          </cell>
        </row>
        <row r="5110">
          <cell r="H5110" t="str">
            <v>官渡店</v>
          </cell>
          <cell r="I5110">
            <v>46066</v>
          </cell>
          <cell r="J5110">
            <v>200</v>
          </cell>
        </row>
        <row r="5111">
          <cell r="C5111" t="str">
            <v>推广订单扣款</v>
          </cell>
        </row>
        <row r="5111">
          <cell r="H5111" t="str">
            <v>官渡店</v>
          </cell>
          <cell r="I5111">
            <v>46066</v>
          </cell>
          <cell r="J5111">
            <v>-200</v>
          </cell>
        </row>
        <row r="5112">
          <cell r="C5112" t="str">
            <v>推广订单扣款</v>
          </cell>
        </row>
        <row r="5112">
          <cell r="H5112" t="str">
            <v>百捷店</v>
          </cell>
          <cell r="I5112">
            <v>46066</v>
          </cell>
          <cell r="J5112">
            <v>-111.77</v>
          </cell>
        </row>
        <row r="5113">
          <cell r="C5113" t="str">
            <v>推广账户自动充值</v>
          </cell>
        </row>
        <row r="5113">
          <cell r="H5113" t="str">
            <v>济南店</v>
          </cell>
          <cell r="I5113">
            <v>46066</v>
          </cell>
          <cell r="J5113">
            <v>200</v>
          </cell>
        </row>
        <row r="5114">
          <cell r="C5114" t="str">
            <v>推广订单扣款</v>
          </cell>
        </row>
        <row r="5114">
          <cell r="H5114" t="str">
            <v>济南店</v>
          </cell>
          <cell r="I5114">
            <v>46066</v>
          </cell>
          <cell r="J5114">
            <v>-180</v>
          </cell>
        </row>
        <row r="5115">
          <cell r="C5115" t="str">
            <v>推广订单扣款</v>
          </cell>
        </row>
        <row r="5115">
          <cell r="H5115" t="str">
            <v>观音桥店</v>
          </cell>
          <cell r="I5115">
            <v>46066</v>
          </cell>
          <cell r="J5115">
            <v>-200</v>
          </cell>
        </row>
        <row r="5116">
          <cell r="C5116" t="str">
            <v>推广订单扣款</v>
          </cell>
        </row>
        <row r="5116">
          <cell r="H5116" t="str">
            <v>长沙店</v>
          </cell>
          <cell r="I5116">
            <v>46066</v>
          </cell>
          <cell r="J5116">
            <v>-83.03</v>
          </cell>
        </row>
        <row r="5117">
          <cell r="C5117" t="str">
            <v>推广订单扣款</v>
          </cell>
        </row>
        <row r="5117">
          <cell r="H5117" t="str">
            <v>洛江店</v>
          </cell>
          <cell r="I5117">
            <v>46066</v>
          </cell>
          <cell r="J5117">
            <v>-101.79</v>
          </cell>
        </row>
        <row r="5118">
          <cell r="C5118" t="str">
            <v>推广订单扣款</v>
          </cell>
        </row>
        <row r="5118">
          <cell r="H5118" t="str">
            <v>五路口店</v>
          </cell>
          <cell r="I5118">
            <v>46066</v>
          </cell>
          <cell r="J5118">
            <v>-200</v>
          </cell>
        </row>
        <row r="5119">
          <cell r="C5119" t="str">
            <v>推广订单扣款</v>
          </cell>
        </row>
        <row r="5119">
          <cell r="H5119" t="str">
            <v>青羊店</v>
          </cell>
          <cell r="I5119">
            <v>46066</v>
          </cell>
          <cell r="J5119">
            <v>-68.86</v>
          </cell>
        </row>
        <row r="5120">
          <cell r="C5120" t="str">
            <v>推广订单扣款</v>
          </cell>
        </row>
        <row r="5120">
          <cell r="H5120" t="str">
            <v>武侯店</v>
          </cell>
          <cell r="I5120">
            <v>46066</v>
          </cell>
          <cell r="J5120">
            <v>-158.43</v>
          </cell>
        </row>
        <row r="5121">
          <cell r="C5121" t="str">
            <v>推广订单扣款</v>
          </cell>
        </row>
        <row r="5121">
          <cell r="H5121" t="str">
            <v>鼓楼店</v>
          </cell>
          <cell r="I5121">
            <v>46066</v>
          </cell>
          <cell r="J5121">
            <v>-171.8</v>
          </cell>
        </row>
        <row r="5122">
          <cell r="C5122" t="str">
            <v>推广订单扣款</v>
          </cell>
        </row>
        <row r="5122">
          <cell r="H5122" t="str">
            <v>黄雁村店</v>
          </cell>
          <cell r="I5122">
            <v>46066</v>
          </cell>
          <cell r="J5122">
            <v>-100</v>
          </cell>
        </row>
        <row r="5123">
          <cell r="C5123" t="str">
            <v>推广订单扣款</v>
          </cell>
        </row>
        <row r="5123">
          <cell r="H5123" t="str">
            <v>西湖店</v>
          </cell>
          <cell r="I5123">
            <v>46066</v>
          </cell>
          <cell r="J5123">
            <v>-147.93</v>
          </cell>
        </row>
        <row r="5124">
          <cell r="C5124" t="str">
            <v>推广订单扣款</v>
          </cell>
        </row>
        <row r="5124">
          <cell r="H5124" t="str">
            <v>百丈店</v>
          </cell>
          <cell r="I5124">
            <v>46066</v>
          </cell>
          <cell r="J5124">
            <v>-179.44</v>
          </cell>
        </row>
        <row r="5125">
          <cell r="C5125" t="str">
            <v>推广订单扣款</v>
          </cell>
        </row>
        <row r="5125">
          <cell r="H5125" t="str">
            <v>文昌店</v>
          </cell>
          <cell r="I5125">
            <v>46066</v>
          </cell>
          <cell r="J5125">
            <v>-93.13</v>
          </cell>
        </row>
        <row r="5126">
          <cell r="C5126" t="str">
            <v>推广账户自动充值</v>
          </cell>
        </row>
        <row r="5126">
          <cell r="H5126" t="str">
            <v>观桥店</v>
          </cell>
          <cell r="I5126">
            <v>46066</v>
          </cell>
          <cell r="J5126">
            <v>200</v>
          </cell>
        </row>
        <row r="5127">
          <cell r="C5127" t="str">
            <v>推广订单扣款</v>
          </cell>
        </row>
        <row r="5127">
          <cell r="H5127" t="str">
            <v>观桥店</v>
          </cell>
          <cell r="I5127">
            <v>46066</v>
          </cell>
          <cell r="J5127">
            <v>-200</v>
          </cell>
        </row>
        <row r="5128">
          <cell r="C5128" t="str">
            <v>推广订单扣款</v>
          </cell>
        </row>
        <row r="5128">
          <cell r="H5128" t="str">
            <v>海口店</v>
          </cell>
          <cell r="I5128">
            <v>46066</v>
          </cell>
          <cell r="J5128">
            <v>-300</v>
          </cell>
        </row>
        <row r="5129">
          <cell r="C5129" t="str">
            <v>推广订单扣款</v>
          </cell>
        </row>
        <row r="5129">
          <cell r="H5129" t="str">
            <v>南安店</v>
          </cell>
          <cell r="I5129">
            <v>46066</v>
          </cell>
          <cell r="J5129">
            <v>-36.86</v>
          </cell>
        </row>
        <row r="5130">
          <cell r="C5130" t="str">
            <v>推广订单扣款</v>
          </cell>
        </row>
        <row r="5130">
          <cell r="H5130" t="str">
            <v>诚毅店</v>
          </cell>
          <cell r="I5130">
            <v>46066</v>
          </cell>
          <cell r="J5130">
            <v>-179.11</v>
          </cell>
        </row>
        <row r="5131">
          <cell r="C5131" t="str">
            <v>推广订单扣款</v>
          </cell>
        </row>
        <row r="5131">
          <cell r="H5131" t="str">
            <v>首山店</v>
          </cell>
          <cell r="I5131">
            <v>46066</v>
          </cell>
          <cell r="J5131">
            <v>-200</v>
          </cell>
        </row>
        <row r="5132">
          <cell r="C5132" t="str">
            <v>推广订单扣款</v>
          </cell>
        </row>
        <row r="5132">
          <cell r="H5132" t="str">
            <v>首南店</v>
          </cell>
          <cell r="I5132">
            <v>46066</v>
          </cell>
          <cell r="J5132">
            <v>-200</v>
          </cell>
        </row>
        <row r="5133">
          <cell r="C5133" t="str">
            <v>推广订单扣款</v>
          </cell>
        </row>
        <row r="5133">
          <cell r="H5133" t="str">
            <v>余杭店</v>
          </cell>
          <cell r="I5133">
            <v>46066</v>
          </cell>
          <cell r="J5133">
            <v>-153.72</v>
          </cell>
        </row>
        <row r="5134">
          <cell r="C5134" t="str">
            <v>推广订单扣款</v>
          </cell>
        </row>
        <row r="5134">
          <cell r="H5134" t="str">
            <v>东海店</v>
          </cell>
          <cell r="I5134">
            <v>46066</v>
          </cell>
          <cell r="J5134">
            <v>-75.32</v>
          </cell>
        </row>
        <row r="5135">
          <cell r="C5135" t="str">
            <v>推广订单扣款</v>
          </cell>
        </row>
        <row r="5135">
          <cell r="H5135" t="str">
            <v>文灶店</v>
          </cell>
          <cell r="I5135">
            <v>46066</v>
          </cell>
          <cell r="J5135">
            <v>-77.85</v>
          </cell>
        </row>
        <row r="5136">
          <cell r="C5136" t="str">
            <v>推广订单扣款</v>
          </cell>
        </row>
        <row r="5136">
          <cell r="H5136" t="str">
            <v>滨江店</v>
          </cell>
          <cell r="I5136">
            <v>46066</v>
          </cell>
          <cell r="J5136">
            <v>-199.53</v>
          </cell>
        </row>
        <row r="5137">
          <cell r="C5137" t="str">
            <v>推广订单扣款</v>
          </cell>
        </row>
        <row r="5137">
          <cell r="H5137" t="str">
            <v>下沙店</v>
          </cell>
          <cell r="I5137">
            <v>46066</v>
          </cell>
          <cell r="J5137">
            <v>-172.76</v>
          </cell>
        </row>
        <row r="5138">
          <cell r="C5138" t="str">
            <v>推广订单扣款</v>
          </cell>
        </row>
        <row r="5138">
          <cell r="H5138" t="str">
            <v>华信店</v>
          </cell>
          <cell r="I5138">
            <v>46066</v>
          </cell>
          <cell r="J5138">
            <v>-200</v>
          </cell>
        </row>
        <row r="5139">
          <cell r="C5139" t="str">
            <v>推广订单扣款</v>
          </cell>
        </row>
        <row r="5139">
          <cell r="H5139" t="str">
            <v>槐荫店</v>
          </cell>
          <cell r="I5139">
            <v>46066</v>
          </cell>
          <cell r="J5139">
            <v>-200</v>
          </cell>
        </row>
        <row r="5140">
          <cell r="C5140" t="str">
            <v>推广订单扣款</v>
          </cell>
        </row>
        <row r="5140">
          <cell r="H5140" t="str">
            <v>济南店</v>
          </cell>
          <cell r="I5140">
            <v>46066</v>
          </cell>
          <cell r="J5140">
            <v>-180</v>
          </cell>
        </row>
        <row r="5141">
          <cell r="C5141" t="str">
            <v>推广订单扣款</v>
          </cell>
        </row>
        <row r="5141">
          <cell r="H5141" t="str">
            <v>首山店</v>
          </cell>
          <cell r="I5141">
            <v>46066</v>
          </cell>
          <cell r="J5141">
            <v>-200</v>
          </cell>
        </row>
        <row r="5142">
          <cell r="C5142" t="str">
            <v>推广订单扣款</v>
          </cell>
        </row>
        <row r="5142">
          <cell r="H5142" t="str">
            <v>鼓楼店</v>
          </cell>
          <cell r="I5142">
            <v>46066</v>
          </cell>
          <cell r="J5142">
            <v>-171.8</v>
          </cell>
        </row>
        <row r="5143">
          <cell r="C5143" t="str">
            <v>推广订单扣款</v>
          </cell>
        </row>
        <row r="5143">
          <cell r="H5143" t="str">
            <v>西湖店</v>
          </cell>
          <cell r="I5143">
            <v>46066</v>
          </cell>
          <cell r="J5143">
            <v>-147.93</v>
          </cell>
        </row>
        <row r="5144">
          <cell r="C5144" t="str">
            <v>推广订单扣款</v>
          </cell>
        </row>
        <row r="5144">
          <cell r="H5144" t="str">
            <v>洛江店</v>
          </cell>
          <cell r="I5144">
            <v>46066</v>
          </cell>
          <cell r="J5144">
            <v>-101.79</v>
          </cell>
        </row>
        <row r="5145">
          <cell r="C5145" t="str">
            <v>推广订单扣款</v>
          </cell>
        </row>
        <row r="5145">
          <cell r="H5145" t="str">
            <v>大坪店</v>
          </cell>
          <cell r="I5145">
            <v>46066</v>
          </cell>
          <cell r="J5145">
            <v>-193.15</v>
          </cell>
        </row>
        <row r="5146">
          <cell r="C5146" t="str">
            <v>推广订单扣款</v>
          </cell>
        </row>
        <row r="5146">
          <cell r="H5146" t="str">
            <v>长沙店</v>
          </cell>
          <cell r="I5146">
            <v>46066</v>
          </cell>
          <cell r="J5146">
            <v>-83.03</v>
          </cell>
        </row>
        <row r="5147">
          <cell r="C5147" t="str">
            <v>推广订单扣款</v>
          </cell>
        </row>
        <row r="5147">
          <cell r="H5147" t="str">
            <v>金牛店</v>
          </cell>
          <cell r="I5147">
            <v>46066</v>
          </cell>
          <cell r="J5147">
            <v>-148.38</v>
          </cell>
        </row>
        <row r="5148">
          <cell r="C5148" t="str">
            <v>推广订单扣款</v>
          </cell>
        </row>
        <row r="5148">
          <cell r="H5148" t="str">
            <v>五路口店</v>
          </cell>
          <cell r="I5148">
            <v>46066</v>
          </cell>
          <cell r="J5148">
            <v>-200</v>
          </cell>
        </row>
        <row r="5149">
          <cell r="C5149" t="str">
            <v>推广订单扣款</v>
          </cell>
        </row>
        <row r="5149">
          <cell r="H5149" t="str">
            <v>百丈店</v>
          </cell>
          <cell r="I5149">
            <v>46066</v>
          </cell>
          <cell r="J5149">
            <v>-179.44</v>
          </cell>
        </row>
        <row r="5150">
          <cell r="C5150" t="str">
            <v>推广订单扣款</v>
          </cell>
        </row>
        <row r="5150">
          <cell r="H5150" t="str">
            <v>观音桥店</v>
          </cell>
          <cell r="I5150">
            <v>46066</v>
          </cell>
          <cell r="J5150">
            <v>-200</v>
          </cell>
        </row>
        <row r="5151">
          <cell r="C5151" t="str">
            <v>推广订单扣款</v>
          </cell>
        </row>
        <row r="5151">
          <cell r="H5151" t="str">
            <v>海口店</v>
          </cell>
          <cell r="I5151">
            <v>46066</v>
          </cell>
          <cell r="J5151">
            <v>-300</v>
          </cell>
        </row>
        <row r="5152">
          <cell r="C5152" t="str">
            <v>推广订单扣款</v>
          </cell>
        </row>
        <row r="5152">
          <cell r="H5152" t="str">
            <v>南安店</v>
          </cell>
          <cell r="I5152">
            <v>46066</v>
          </cell>
          <cell r="J5152">
            <v>-36.86</v>
          </cell>
        </row>
        <row r="5153">
          <cell r="C5153" t="str">
            <v>推广订单扣款</v>
          </cell>
        </row>
        <row r="5153">
          <cell r="H5153" t="str">
            <v>五华店</v>
          </cell>
          <cell r="I5153">
            <v>46066</v>
          </cell>
          <cell r="J5153">
            <v>-191.57</v>
          </cell>
        </row>
        <row r="5154">
          <cell r="C5154" t="str">
            <v>推广订单扣款</v>
          </cell>
        </row>
        <row r="5154">
          <cell r="H5154" t="str">
            <v>余杭店</v>
          </cell>
          <cell r="I5154">
            <v>46066</v>
          </cell>
          <cell r="J5154">
            <v>-153.72</v>
          </cell>
        </row>
        <row r="5155">
          <cell r="C5155" t="str">
            <v>推广订单扣款</v>
          </cell>
        </row>
        <row r="5155">
          <cell r="H5155" t="str">
            <v>高新店</v>
          </cell>
          <cell r="I5155">
            <v>46066</v>
          </cell>
          <cell r="J5155">
            <v>-131.29</v>
          </cell>
        </row>
        <row r="5156">
          <cell r="C5156" t="str">
            <v>推广订单扣款</v>
          </cell>
        </row>
        <row r="5156">
          <cell r="H5156" t="str">
            <v>沙坪坝店</v>
          </cell>
          <cell r="I5156">
            <v>46066</v>
          </cell>
          <cell r="J5156">
            <v>-197.63</v>
          </cell>
        </row>
        <row r="5157">
          <cell r="C5157" t="str">
            <v>推广订单扣款</v>
          </cell>
        </row>
        <row r="5157">
          <cell r="H5157" t="str">
            <v>西山店</v>
          </cell>
          <cell r="I5157">
            <v>46066</v>
          </cell>
          <cell r="J5157">
            <v>-220</v>
          </cell>
        </row>
        <row r="5158">
          <cell r="C5158" t="str">
            <v>推广订单扣款</v>
          </cell>
        </row>
        <row r="5158">
          <cell r="H5158" t="str">
            <v>武侯店</v>
          </cell>
          <cell r="I5158">
            <v>46066</v>
          </cell>
          <cell r="J5158">
            <v>-158.43</v>
          </cell>
        </row>
        <row r="5159">
          <cell r="C5159" t="str">
            <v>推广订单扣款</v>
          </cell>
        </row>
        <row r="5159">
          <cell r="H5159" t="str">
            <v>东新店</v>
          </cell>
          <cell r="I5159">
            <v>46066</v>
          </cell>
          <cell r="J5159">
            <v>-109.83</v>
          </cell>
        </row>
        <row r="5160">
          <cell r="C5160" t="str">
            <v>推广订单扣款</v>
          </cell>
        </row>
        <row r="5160">
          <cell r="H5160" t="str">
            <v>青羊店</v>
          </cell>
          <cell r="I5160">
            <v>46066</v>
          </cell>
          <cell r="J5160">
            <v>-68.86</v>
          </cell>
        </row>
        <row r="5161">
          <cell r="C5161" t="str">
            <v>推广订单扣款</v>
          </cell>
        </row>
        <row r="5161">
          <cell r="H5161" t="str">
            <v>湖里店</v>
          </cell>
          <cell r="I5161">
            <v>46066</v>
          </cell>
          <cell r="J5161">
            <v>-101.92</v>
          </cell>
        </row>
        <row r="5162">
          <cell r="C5162" t="str">
            <v>推广订单扣款</v>
          </cell>
        </row>
        <row r="5162">
          <cell r="H5162" t="str">
            <v>泉秀店</v>
          </cell>
          <cell r="I5162">
            <v>46066</v>
          </cell>
          <cell r="J5162">
            <v>-101.84</v>
          </cell>
        </row>
        <row r="5163">
          <cell r="C5163" t="str">
            <v>推广订单扣款</v>
          </cell>
        </row>
        <row r="5163">
          <cell r="H5163" t="str">
            <v>官渡店</v>
          </cell>
          <cell r="I5163">
            <v>46066</v>
          </cell>
          <cell r="J5163">
            <v>-200</v>
          </cell>
        </row>
        <row r="5164">
          <cell r="C5164" t="str">
            <v>推广订单扣款</v>
          </cell>
        </row>
        <row r="5164">
          <cell r="H5164" t="str">
            <v>东海店</v>
          </cell>
          <cell r="I5164">
            <v>46066</v>
          </cell>
          <cell r="J5164">
            <v>-75.32</v>
          </cell>
        </row>
        <row r="5165">
          <cell r="C5165" t="str">
            <v>推广订单扣款</v>
          </cell>
        </row>
        <row r="5165">
          <cell r="H5165" t="str">
            <v>滨江店</v>
          </cell>
          <cell r="I5165">
            <v>46066</v>
          </cell>
          <cell r="J5165">
            <v>-199.53</v>
          </cell>
        </row>
        <row r="5166">
          <cell r="C5166" t="str">
            <v>推广订单扣款</v>
          </cell>
        </row>
        <row r="5166">
          <cell r="H5166" t="str">
            <v>首南店</v>
          </cell>
          <cell r="I5166">
            <v>46066</v>
          </cell>
          <cell r="J5166">
            <v>-200</v>
          </cell>
        </row>
        <row r="5167">
          <cell r="C5167" t="str">
            <v>推广订单扣款</v>
          </cell>
        </row>
        <row r="5167">
          <cell r="H5167" t="str">
            <v>文灶店</v>
          </cell>
          <cell r="I5167">
            <v>46066</v>
          </cell>
          <cell r="J5167">
            <v>-77.85</v>
          </cell>
        </row>
        <row r="5168">
          <cell r="C5168" t="str">
            <v>推广订单扣款</v>
          </cell>
        </row>
        <row r="5168">
          <cell r="H5168" t="str">
            <v>百捷店</v>
          </cell>
          <cell r="I5168">
            <v>46066</v>
          </cell>
          <cell r="J5168">
            <v>-111.77</v>
          </cell>
        </row>
        <row r="5169">
          <cell r="C5169" t="str">
            <v>推广订单扣款</v>
          </cell>
        </row>
        <row r="5169">
          <cell r="H5169" t="str">
            <v>凤城二路店</v>
          </cell>
          <cell r="I5169">
            <v>46066</v>
          </cell>
          <cell r="J5169">
            <v>-200</v>
          </cell>
        </row>
        <row r="5170">
          <cell r="C5170" t="str">
            <v>推广订单扣款</v>
          </cell>
        </row>
        <row r="5170">
          <cell r="H5170" t="str">
            <v>下沙店</v>
          </cell>
          <cell r="I5170">
            <v>46066</v>
          </cell>
          <cell r="J5170">
            <v>-172.76</v>
          </cell>
        </row>
        <row r="5171">
          <cell r="C5171" t="str">
            <v>推广订单扣款</v>
          </cell>
        </row>
        <row r="5171">
          <cell r="H5171" t="str">
            <v>启点店</v>
          </cell>
          <cell r="I5171">
            <v>46066</v>
          </cell>
          <cell r="J5171">
            <v>-145.47</v>
          </cell>
        </row>
        <row r="5172">
          <cell r="C5172" t="str">
            <v>推广订单扣款</v>
          </cell>
        </row>
        <row r="5172">
          <cell r="H5172" t="str">
            <v>成华店</v>
          </cell>
          <cell r="I5172">
            <v>46066</v>
          </cell>
          <cell r="J5172">
            <v>-180</v>
          </cell>
        </row>
        <row r="5173">
          <cell r="C5173" t="str">
            <v>推广订单扣款</v>
          </cell>
        </row>
        <row r="5173">
          <cell r="H5173" t="str">
            <v>诚毅店</v>
          </cell>
          <cell r="I5173">
            <v>46066</v>
          </cell>
          <cell r="J5173">
            <v>-179.11</v>
          </cell>
        </row>
        <row r="5174">
          <cell r="C5174" t="str">
            <v>推广订单扣款</v>
          </cell>
        </row>
        <row r="5174">
          <cell r="H5174" t="str">
            <v>黄雁村店</v>
          </cell>
          <cell r="I5174">
            <v>46066</v>
          </cell>
          <cell r="J5174">
            <v>-100</v>
          </cell>
        </row>
        <row r="5175">
          <cell r="C5175" t="str">
            <v>推广订单扣款</v>
          </cell>
        </row>
        <row r="5175">
          <cell r="H5175" t="str">
            <v>观桥店</v>
          </cell>
          <cell r="I5175">
            <v>46066</v>
          </cell>
          <cell r="J5175">
            <v>-200</v>
          </cell>
        </row>
        <row r="5176">
          <cell r="C5176" t="str">
            <v>推广订单扣款</v>
          </cell>
        </row>
        <row r="5176">
          <cell r="H5176" t="str">
            <v>文昌店</v>
          </cell>
          <cell r="I5176">
            <v>46066</v>
          </cell>
          <cell r="J5176">
            <v>-93.13</v>
          </cell>
        </row>
        <row r="5177">
          <cell r="C5177" t="str">
            <v>推广账户自动充值</v>
          </cell>
        </row>
        <row r="5177">
          <cell r="H5177" t="str">
            <v>泉秀店</v>
          </cell>
          <cell r="I5177">
            <v>46066</v>
          </cell>
          <cell r="J5177">
            <v>200</v>
          </cell>
        </row>
        <row r="5178">
          <cell r="C5178" t="str">
            <v>推广账户自动充值</v>
          </cell>
        </row>
        <row r="5178">
          <cell r="H5178" t="str">
            <v>官渡店</v>
          </cell>
          <cell r="I5178">
            <v>46066</v>
          </cell>
          <cell r="J5178">
            <v>200</v>
          </cell>
        </row>
        <row r="5179">
          <cell r="C5179" t="str">
            <v>推广账户自动充值</v>
          </cell>
        </row>
        <row r="5179">
          <cell r="H5179" t="str">
            <v>济南店</v>
          </cell>
          <cell r="I5179">
            <v>46066</v>
          </cell>
          <cell r="J5179">
            <v>200</v>
          </cell>
        </row>
        <row r="5180">
          <cell r="C5180" t="str">
            <v>推广账户自动充值</v>
          </cell>
        </row>
        <row r="5180">
          <cell r="H5180" t="str">
            <v>观桥店</v>
          </cell>
          <cell r="I5180">
            <v>46066</v>
          </cell>
          <cell r="J5180">
            <v>200</v>
          </cell>
        </row>
        <row r="5181">
          <cell r="C5181" t="str">
            <v>推广账户自动充值</v>
          </cell>
        </row>
        <row r="5181">
          <cell r="H5181" t="str">
            <v>下沙店</v>
          </cell>
          <cell r="I5181">
            <v>46066</v>
          </cell>
          <cell r="J5181">
            <v>100</v>
          </cell>
        </row>
        <row r="5182">
          <cell r="C5182" t="str">
            <v>推广账户自动充值</v>
          </cell>
        </row>
        <row r="5182">
          <cell r="H5182" t="str">
            <v>首山店</v>
          </cell>
          <cell r="I5182">
            <v>46066</v>
          </cell>
          <cell r="J5182">
            <v>200</v>
          </cell>
        </row>
        <row r="5183">
          <cell r="C5183" t="str">
            <v>推广账户自动充值</v>
          </cell>
        </row>
        <row r="5183">
          <cell r="H5183" t="str">
            <v>滨江店</v>
          </cell>
          <cell r="I5183">
            <v>46066</v>
          </cell>
          <cell r="J5183">
            <v>200</v>
          </cell>
        </row>
        <row r="5184">
          <cell r="C5184" t="str">
            <v>推广账户自动充值</v>
          </cell>
        </row>
        <row r="5184">
          <cell r="H5184" t="str">
            <v>首南店</v>
          </cell>
          <cell r="I5184">
            <v>46066</v>
          </cell>
          <cell r="J5184">
            <v>200</v>
          </cell>
        </row>
        <row r="5185">
          <cell r="C5185" t="str">
            <v>推广账户自动充值</v>
          </cell>
        </row>
        <row r="5185">
          <cell r="H5185" t="str">
            <v>西山店</v>
          </cell>
          <cell r="I5185">
            <v>46066</v>
          </cell>
          <cell r="J5185">
            <v>200</v>
          </cell>
        </row>
        <row r="5186">
          <cell r="C5186" t="str">
            <v>推广账户自动充值</v>
          </cell>
        </row>
        <row r="5186">
          <cell r="H5186" t="str">
            <v>观音桥店</v>
          </cell>
          <cell r="I5186">
            <v>46066</v>
          </cell>
          <cell r="J5186">
            <v>200</v>
          </cell>
        </row>
        <row r="5187">
          <cell r="C5187" t="str">
            <v>推广账户自动充值</v>
          </cell>
        </row>
        <row r="5187">
          <cell r="H5187" t="str">
            <v>鼓楼店</v>
          </cell>
          <cell r="I5187">
            <v>46066</v>
          </cell>
          <cell r="J5187">
            <v>200</v>
          </cell>
        </row>
        <row r="5188">
          <cell r="C5188" t="str">
            <v>推广账户自动充值</v>
          </cell>
        </row>
        <row r="5188">
          <cell r="H5188" t="str">
            <v>成华店</v>
          </cell>
          <cell r="I5188">
            <v>46066</v>
          </cell>
          <cell r="J5188">
            <v>200</v>
          </cell>
        </row>
        <row r="5189">
          <cell r="C5189" t="str">
            <v>推广账户自动充值</v>
          </cell>
        </row>
        <row r="5189">
          <cell r="H5189" t="str">
            <v>武侯店</v>
          </cell>
          <cell r="I5189">
            <v>46066</v>
          </cell>
          <cell r="J5189">
            <v>200</v>
          </cell>
        </row>
        <row r="5190">
          <cell r="C5190" t="str">
            <v>推广账户自动充值</v>
          </cell>
        </row>
        <row r="5190">
          <cell r="H5190" t="str">
            <v>文灶店</v>
          </cell>
          <cell r="I5190">
            <v>46066</v>
          </cell>
          <cell r="J5190">
            <v>200</v>
          </cell>
        </row>
        <row r="5191">
          <cell r="C5191" t="str">
            <v>推广账户自动充值</v>
          </cell>
        </row>
        <row r="5191">
          <cell r="H5191" t="str">
            <v>凤城二路店</v>
          </cell>
          <cell r="I5191">
            <v>46066</v>
          </cell>
          <cell r="J5191">
            <v>200</v>
          </cell>
        </row>
        <row r="5192">
          <cell r="C5192" t="str">
            <v>推广账户自动充值</v>
          </cell>
        </row>
        <row r="5192">
          <cell r="H5192" t="str">
            <v>东新店</v>
          </cell>
          <cell r="I5192">
            <v>46066</v>
          </cell>
          <cell r="J5192">
            <v>200</v>
          </cell>
        </row>
        <row r="5193">
          <cell r="C5193" t="str">
            <v>推广账户自动充值</v>
          </cell>
        </row>
        <row r="5193">
          <cell r="H5193" t="str">
            <v>启点店</v>
          </cell>
          <cell r="I5193">
            <v>46066</v>
          </cell>
          <cell r="J5193">
            <v>200</v>
          </cell>
        </row>
        <row r="5194">
          <cell r="C5194" t="str">
            <v>推广账户自动充值</v>
          </cell>
        </row>
        <row r="5194">
          <cell r="H5194" t="str">
            <v>洛江店</v>
          </cell>
          <cell r="I5194">
            <v>46066</v>
          </cell>
          <cell r="J5194">
            <v>200</v>
          </cell>
        </row>
        <row r="5195">
          <cell r="C5195" t="str">
            <v>推广账户自动充值</v>
          </cell>
        </row>
        <row r="5195">
          <cell r="H5195" t="str">
            <v>五华店</v>
          </cell>
          <cell r="I5195">
            <v>46066</v>
          </cell>
          <cell r="J5195">
            <v>200</v>
          </cell>
        </row>
        <row r="5196">
          <cell r="C5196" t="str">
            <v>推广账户自动充值</v>
          </cell>
        </row>
        <row r="5196">
          <cell r="H5196" t="str">
            <v>文昌店</v>
          </cell>
          <cell r="I5196">
            <v>46066</v>
          </cell>
          <cell r="J5196">
            <v>200</v>
          </cell>
        </row>
        <row r="5197">
          <cell r="C5197" t="str">
            <v>推广账户自动充值</v>
          </cell>
        </row>
        <row r="5197">
          <cell r="H5197" t="str">
            <v>黄雁村店</v>
          </cell>
          <cell r="I5197">
            <v>46066</v>
          </cell>
          <cell r="J5197">
            <v>200</v>
          </cell>
        </row>
        <row r="5198">
          <cell r="C5198" t="str">
            <v>推广账户自动充值</v>
          </cell>
        </row>
        <row r="5198">
          <cell r="H5198" t="str">
            <v>百丈店</v>
          </cell>
          <cell r="I5198">
            <v>46066</v>
          </cell>
          <cell r="J5198">
            <v>200</v>
          </cell>
        </row>
        <row r="5199">
          <cell r="C5199" t="str">
            <v>推广账户自动充值</v>
          </cell>
        </row>
        <row r="5199">
          <cell r="H5199" t="str">
            <v>五路口店</v>
          </cell>
          <cell r="I5199">
            <v>46066</v>
          </cell>
          <cell r="J5199">
            <v>200</v>
          </cell>
        </row>
        <row r="5200">
          <cell r="C5200" t="str">
            <v>推广账户自动充值</v>
          </cell>
        </row>
        <row r="5200">
          <cell r="H5200" t="str">
            <v>大坪店</v>
          </cell>
          <cell r="I5200">
            <v>46066</v>
          </cell>
          <cell r="J5200">
            <v>200</v>
          </cell>
        </row>
        <row r="5201">
          <cell r="C5201" t="str">
            <v>推广账户自动充值</v>
          </cell>
        </row>
        <row r="5201">
          <cell r="H5201" t="str">
            <v>下沙店</v>
          </cell>
          <cell r="I5201">
            <v>46066</v>
          </cell>
          <cell r="J5201">
            <v>100</v>
          </cell>
        </row>
        <row r="5202">
          <cell r="C5202" t="str">
            <v>推广账户自动充值</v>
          </cell>
        </row>
        <row r="5202">
          <cell r="H5202" t="str">
            <v>沙坪坝店</v>
          </cell>
          <cell r="I5202">
            <v>46066</v>
          </cell>
          <cell r="J5202">
            <v>200</v>
          </cell>
        </row>
        <row r="5203">
          <cell r="C5203" t="str">
            <v>推广账户自动充值</v>
          </cell>
        </row>
        <row r="5203">
          <cell r="H5203" t="str">
            <v>百捷店</v>
          </cell>
          <cell r="I5203">
            <v>46066</v>
          </cell>
          <cell r="J5203">
            <v>200</v>
          </cell>
        </row>
        <row r="5204">
          <cell r="C5204" t="str">
            <v>推广订单扣款</v>
          </cell>
        </row>
        <row r="5204">
          <cell r="H5204" t="str">
            <v>济南店</v>
          </cell>
          <cell r="I5204">
            <v>46067</v>
          </cell>
          <cell r="J5204">
            <v>-32.76</v>
          </cell>
        </row>
        <row r="5205">
          <cell r="C5205" t="str">
            <v>推广订单扣款</v>
          </cell>
        </row>
        <row r="5205">
          <cell r="H5205" t="str">
            <v>首山店</v>
          </cell>
          <cell r="I5205">
            <v>46067</v>
          </cell>
          <cell r="J5205">
            <v>-200</v>
          </cell>
        </row>
        <row r="5206">
          <cell r="C5206" t="str">
            <v>推广订单扣款</v>
          </cell>
        </row>
        <row r="5206">
          <cell r="H5206" t="str">
            <v>鼓楼店</v>
          </cell>
          <cell r="I5206">
            <v>46067</v>
          </cell>
          <cell r="J5206">
            <v>-145.13</v>
          </cell>
        </row>
        <row r="5207">
          <cell r="C5207" t="str">
            <v>推广订单扣款</v>
          </cell>
        </row>
        <row r="5207">
          <cell r="H5207" t="str">
            <v>西湖店</v>
          </cell>
          <cell r="I5207">
            <v>46067</v>
          </cell>
          <cell r="J5207">
            <v>-137.45</v>
          </cell>
        </row>
        <row r="5208">
          <cell r="C5208" t="str">
            <v>推广订单扣款</v>
          </cell>
        </row>
        <row r="5208">
          <cell r="H5208" t="str">
            <v>洛江店</v>
          </cell>
          <cell r="I5208">
            <v>46067</v>
          </cell>
          <cell r="J5208">
            <v>-84.67</v>
          </cell>
        </row>
        <row r="5209">
          <cell r="C5209" t="str">
            <v>推广订单扣款</v>
          </cell>
        </row>
        <row r="5209">
          <cell r="H5209" t="str">
            <v>大坪店</v>
          </cell>
          <cell r="I5209">
            <v>46067</v>
          </cell>
          <cell r="J5209">
            <v>-200</v>
          </cell>
        </row>
        <row r="5210">
          <cell r="C5210" t="str">
            <v>推广订单扣款</v>
          </cell>
        </row>
        <row r="5210">
          <cell r="H5210" t="str">
            <v>金牛店</v>
          </cell>
          <cell r="I5210">
            <v>46067</v>
          </cell>
          <cell r="J5210">
            <v>-109.06</v>
          </cell>
        </row>
        <row r="5211">
          <cell r="C5211" t="str">
            <v>推广订单扣款</v>
          </cell>
        </row>
        <row r="5211">
          <cell r="H5211" t="str">
            <v>长沙店</v>
          </cell>
          <cell r="I5211">
            <v>46067</v>
          </cell>
          <cell r="J5211">
            <v>-55.17</v>
          </cell>
        </row>
        <row r="5212">
          <cell r="C5212" t="str">
            <v>推广订单扣款</v>
          </cell>
        </row>
        <row r="5212">
          <cell r="H5212" t="str">
            <v>五路口店</v>
          </cell>
          <cell r="I5212">
            <v>46067</v>
          </cell>
          <cell r="J5212">
            <v>-145.69</v>
          </cell>
        </row>
        <row r="5213">
          <cell r="C5213" t="str">
            <v>推广订单扣款</v>
          </cell>
        </row>
        <row r="5213">
          <cell r="H5213" t="str">
            <v>百丈店</v>
          </cell>
          <cell r="I5213">
            <v>46067</v>
          </cell>
          <cell r="J5213">
            <v>-200</v>
          </cell>
        </row>
        <row r="5214">
          <cell r="C5214" t="str">
            <v>推广订单扣款</v>
          </cell>
        </row>
        <row r="5214">
          <cell r="H5214" t="str">
            <v>观音桥店</v>
          </cell>
          <cell r="I5214">
            <v>46067</v>
          </cell>
          <cell r="J5214">
            <v>-200</v>
          </cell>
        </row>
        <row r="5215">
          <cell r="C5215" t="str">
            <v>推广订单扣款</v>
          </cell>
        </row>
        <row r="5215">
          <cell r="H5215" t="str">
            <v>海口店</v>
          </cell>
          <cell r="I5215">
            <v>46067</v>
          </cell>
          <cell r="J5215">
            <v>-300</v>
          </cell>
        </row>
        <row r="5216">
          <cell r="C5216" t="str">
            <v>推广订单扣款</v>
          </cell>
        </row>
        <row r="5216">
          <cell r="H5216" t="str">
            <v>南安店</v>
          </cell>
          <cell r="I5216">
            <v>46067</v>
          </cell>
          <cell r="J5216">
            <v>-35.53</v>
          </cell>
        </row>
        <row r="5217">
          <cell r="C5217" t="str">
            <v>推广订单扣款</v>
          </cell>
        </row>
        <row r="5217">
          <cell r="H5217" t="str">
            <v>余杭店</v>
          </cell>
          <cell r="I5217">
            <v>46067</v>
          </cell>
          <cell r="J5217">
            <v>-139.35</v>
          </cell>
        </row>
        <row r="5218">
          <cell r="C5218" t="str">
            <v>推广订单扣款</v>
          </cell>
        </row>
        <row r="5218">
          <cell r="H5218" t="str">
            <v>西山店</v>
          </cell>
          <cell r="I5218">
            <v>46067</v>
          </cell>
          <cell r="J5218">
            <v>-220</v>
          </cell>
        </row>
        <row r="5219">
          <cell r="C5219" t="str">
            <v>推广订单扣款</v>
          </cell>
        </row>
        <row r="5219">
          <cell r="H5219" t="str">
            <v>五华店</v>
          </cell>
          <cell r="I5219">
            <v>46067</v>
          </cell>
          <cell r="J5219">
            <v>-149.19</v>
          </cell>
        </row>
        <row r="5220">
          <cell r="C5220" t="str">
            <v>推广订单扣款</v>
          </cell>
        </row>
        <row r="5220">
          <cell r="H5220" t="str">
            <v>高新店</v>
          </cell>
          <cell r="I5220">
            <v>46067</v>
          </cell>
          <cell r="J5220">
            <v>-114.49</v>
          </cell>
        </row>
        <row r="5221">
          <cell r="C5221" t="str">
            <v>推广订单扣款</v>
          </cell>
        </row>
        <row r="5221">
          <cell r="H5221" t="str">
            <v>沙坪坝店</v>
          </cell>
          <cell r="I5221">
            <v>46067</v>
          </cell>
          <cell r="J5221">
            <v>-142.66</v>
          </cell>
        </row>
        <row r="5222">
          <cell r="C5222" t="str">
            <v>推广订单扣款</v>
          </cell>
        </row>
        <row r="5222">
          <cell r="H5222" t="str">
            <v>华信店</v>
          </cell>
          <cell r="I5222">
            <v>46067</v>
          </cell>
          <cell r="J5222">
            <v>-98.59</v>
          </cell>
        </row>
        <row r="5223">
          <cell r="C5223" t="str">
            <v>推广订单扣款</v>
          </cell>
        </row>
        <row r="5223">
          <cell r="H5223" t="str">
            <v>武侯店</v>
          </cell>
          <cell r="I5223">
            <v>46067</v>
          </cell>
          <cell r="J5223">
            <v>-85.92</v>
          </cell>
        </row>
        <row r="5224">
          <cell r="C5224" t="str">
            <v>推广订单扣款</v>
          </cell>
        </row>
        <row r="5224">
          <cell r="H5224" t="str">
            <v>槐荫店</v>
          </cell>
          <cell r="I5224">
            <v>46067</v>
          </cell>
          <cell r="J5224">
            <v>-4.52</v>
          </cell>
        </row>
        <row r="5225">
          <cell r="C5225" t="str">
            <v>推广订单扣款</v>
          </cell>
        </row>
        <row r="5225">
          <cell r="H5225" t="str">
            <v>青羊店</v>
          </cell>
          <cell r="I5225">
            <v>46067</v>
          </cell>
          <cell r="J5225">
            <v>-48.25</v>
          </cell>
        </row>
        <row r="5226">
          <cell r="C5226" t="str">
            <v>推广订单扣款</v>
          </cell>
        </row>
        <row r="5226">
          <cell r="H5226" t="str">
            <v>东新店</v>
          </cell>
          <cell r="I5226">
            <v>46067</v>
          </cell>
          <cell r="J5226">
            <v>-125.32</v>
          </cell>
        </row>
        <row r="5227">
          <cell r="C5227" t="str">
            <v>推广订单扣款</v>
          </cell>
        </row>
        <row r="5227">
          <cell r="H5227" t="str">
            <v>湖里店</v>
          </cell>
          <cell r="I5227">
            <v>46067</v>
          </cell>
          <cell r="J5227">
            <v>-82.88</v>
          </cell>
        </row>
        <row r="5228">
          <cell r="C5228" t="str">
            <v>推广订单扣款</v>
          </cell>
        </row>
        <row r="5228">
          <cell r="H5228" t="str">
            <v>泉秀店</v>
          </cell>
          <cell r="I5228">
            <v>46067</v>
          </cell>
          <cell r="J5228">
            <v>-138.68</v>
          </cell>
        </row>
        <row r="5229">
          <cell r="C5229" t="str">
            <v>推广订单扣款</v>
          </cell>
        </row>
        <row r="5229">
          <cell r="H5229" t="str">
            <v>官渡店</v>
          </cell>
          <cell r="I5229">
            <v>46067</v>
          </cell>
          <cell r="J5229">
            <v>-200</v>
          </cell>
        </row>
        <row r="5230">
          <cell r="C5230" t="str">
            <v>推广订单扣款</v>
          </cell>
        </row>
        <row r="5230">
          <cell r="H5230" t="str">
            <v>东海店</v>
          </cell>
          <cell r="I5230">
            <v>46067</v>
          </cell>
          <cell r="J5230">
            <v>-47.64</v>
          </cell>
        </row>
        <row r="5231">
          <cell r="C5231" t="str">
            <v>推广订单扣款</v>
          </cell>
        </row>
        <row r="5231">
          <cell r="H5231" t="str">
            <v>滨江店</v>
          </cell>
          <cell r="I5231">
            <v>46067</v>
          </cell>
          <cell r="J5231">
            <v>-184.44</v>
          </cell>
        </row>
        <row r="5232">
          <cell r="C5232" t="str">
            <v>推广订单扣款</v>
          </cell>
        </row>
        <row r="5232">
          <cell r="H5232" t="str">
            <v>首南店</v>
          </cell>
          <cell r="I5232">
            <v>46067</v>
          </cell>
          <cell r="J5232">
            <v>-200</v>
          </cell>
        </row>
        <row r="5233">
          <cell r="C5233" t="str">
            <v>推广订单扣款</v>
          </cell>
        </row>
        <row r="5233">
          <cell r="H5233" t="str">
            <v>凤城二路店</v>
          </cell>
          <cell r="I5233">
            <v>46067</v>
          </cell>
          <cell r="J5233">
            <v>-200</v>
          </cell>
        </row>
        <row r="5234">
          <cell r="C5234" t="str">
            <v>推广订单扣款</v>
          </cell>
        </row>
        <row r="5234">
          <cell r="H5234" t="str">
            <v>百捷店</v>
          </cell>
          <cell r="I5234">
            <v>46067</v>
          </cell>
          <cell r="J5234">
            <v>-155.2</v>
          </cell>
        </row>
        <row r="5235">
          <cell r="C5235" t="str">
            <v>推广订单扣款</v>
          </cell>
        </row>
        <row r="5235">
          <cell r="H5235" t="str">
            <v>文灶店</v>
          </cell>
          <cell r="I5235">
            <v>46067</v>
          </cell>
          <cell r="J5235">
            <v>-95.24</v>
          </cell>
        </row>
        <row r="5236">
          <cell r="C5236" t="str">
            <v>推广订单扣款</v>
          </cell>
        </row>
        <row r="5236">
          <cell r="H5236" t="str">
            <v>诚毅店</v>
          </cell>
          <cell r="I5236">
            <v>46067</v>
          </cell>
          <cell r="J5236">
            <v>-79.29</v>
          </cell>
        </row>
        <row r="5237">
          <cell r="C5237" t="str">
            <v>推广订单扣款</v>
          </cell>
        </row>
        <row r="5237">
          <cell r="H5237" t="str">
            <v>启点店</v>
          </cell>
          <cell r="I5237">
            <v>46067</v>
          </cell>
          <cell r="J5237">
            <v>-96.6</v>
          </cell>
        </row>
        <row r="5238">
          <cell r="C5238" t="str">
            <v>推广订单扣款</v>
          </cell>
        </row>
        <row r="5238">
          <cell r="H5238" t="str">
            <v>成华店</v>
          </cell>
          <cell r="I5238">
            <v>46067</v>
          </cell>
          <cell r="J5238">
            <v>-180</v>
          </cell>
        </row>
        <row r="5239">
          <cell r="C5239" t="str">
            <v>推广订单扣款</v>
          </cell>
        </row>
        <row r="5239">
          <cell r="H5239" t="str">
            <v>下沙店</v>
          </cell>
          <cell r="I5239">
            <v>46067</v>
          </cell>
          <cell r="J5239">
            <v>-177.13</v>
          </cell>
        </row>
        <row r="5240">
          <cell r="C5240" t="str">
            <v>推广订单扣款</v>
          </cell>
        </row>
        <row r="5240">
          <cell r="H5240" t="str">
            <v>黄雁村店</v>
          </cell>
          <cell r="I5240">
            <v>46067</v>
          </cell>
          <cell r="J5240">
            <v>-200</v>
          </cell>
        </row>
        <row r="5241">
          <cell r="C5241" t="str">
            <v>推广账户自动充值</v>
          </cell>
        </row>
        <row r="5241">
          <cell r="H5241" t="str">
            <v>余杭店</v>
          </cell>
          <cell r="I5241">
            <v>46067</v>
          </cell>
          <cell r="J5241">
            <v>200</v>
          </cell>
        </row>
        <row r="5242">
          <cell r="C5242" t="str">
            <v>推广订单扣款</v>
          </cell>
        </row>
        <row r="5242">
          <cell r="H5242" t="str">
            <v>观桥店</v>
          </cell>
          <cell r="I5242">
            <v>46067</v>
          </cell>
          <cell r="J5242">
            <v>-200</v>
          </cell>
        </row>
        <row r="5243">
          <cell r="C5243" t="str">
            <v>推广订单扣款</v>
          </cell>
        </row>
        <row r="5243">
          <cell r="H5243" t="str">
            <v>文昌店</v>
          </cell>
          <cell r="I5243">
            <v>46067</v>
          </cell>
          <cell r="J5243">
            <v>-141.42</v>
          </cell>
        </row>
        <row r="5244">
          <cell r="C5244" t="str">
            <v>推广账户自动充值</v>
          </cell>
        </row>
        <row r="5244">
          <cell r="H5244" t="str">
            <v>官渡店</v>
          </cell>
          <cell r="I5244">
            <v>46067</v>
          </cell>
          <cell r="J5244">
            <v>200</v>
          </cell>
        </row>
        <row r="5245">
          <cell r="C5245" t="str">
            <v>推广账户自动充值</v>
          </cell>
        </row>
        <row r="5245">
          <cell r="H5245" t="str">
            <v>观桥店</v>
          </cell>
          <cell r="I5245">
            <v>46067</v>
          </cell>
          <cell r="J5245">
            <v>200</v>
          </cell>
        </row>
        <row r="5246">
          <cell r="C5246" t="str">
            <v>推广账户自动充值</v>
          </cell>
        </row>
        <row r="5246">
          <cell r="H5246" t="str">
            <v>西湖店</v>
          </cell>
          <cell r="I5246">
            <v>46067</v>
          </cell>
          <cell r="J5246">
            <v>200</v>
          </cell>
        </row>
        <row r="5247">
          <cell r="C5247" t="str">
            <v>推广账户自动充值</v>
          </cell>
        </row>
        <row r="5247">
          <cell r="H5247" t="str">
            <v>长沙店</v>
          </cell>
          <cell r="I5247">
            <v>46067</v>
          </cell>
          <cell r="J5247">
            <v>200</v>
          </cell>
        </row>
        <row r="5248">
          <cell r="C5248" t="str">
            <v>推广账户自动充值</v>
          </cell>
        </row>
        <row r="5248">
          <cell r="H5248" t="str">
            <v>观音桥店</v>
          </cell>
          <cell r="I5248">
            <v>46067</v>
          </cell>
          <cell r="J5248">
            <v>200</v>
          </cell>
        </row>
        <row r="5249">
          <cell r="C5249" t="str">
            <v>推广账户自动充值</v>
          </cell>
        </row>
        <row r="5249">
          <cell r="H5249" t="str">
            <v>首南店</v>
          </cell>
          <cell r="I5249">
            <v>46067</v>
          </cell>
          <cell r="J5249">
            <v>200</v>
          </cell>
        </row>
        <row r="5250">
          <cell r="C5250" t="str">
            <v>推广账户自动充值</v>
          </cell>
        </row>
        <row r="5250">
          <cell r="H5250" t="str">
            <v>下沙店</v>
          </cell>
          <cell r="I5250">
            <v>46067</v>
          </cell>
          <cell r="J5250">
            <v>100</v>
          </cell>
        </row>
        <row r="5251">
          <cell r="C5251" t="str">
            <v>推广账户自动充值</v>
          </cell>
        </row>
        <row r="5251">
          <cell r="H5251" t="str">
            <v>青羊店</v>
          </cell>
          <cell r="I5251">
            <v>46067</v>
          </cell>
          <cell r="J5251">
            <v>200</v>
          </cell>
        </row>
        <row r="5252">
          <cell r="C5252" t="str">
            <v>推广账户自动充值</v>
          </cell>
        </row>
        <row r="5252">
          <cell r="H5252" t="str">
            <v>首山店</v>
          </cell>
          <cell r="I5252">
            <v>46068</v>
          </cell>
          <cell r="J5252">
            <v>200</v>
          </cell>
        </row>
        <row r="5253">
          <cell r="C5253" t="str">
            <v>推广订单扣款</v>
          </cell>
        </row>
        <row r="5253">
          <cell r="H5253" t="str">
            <v>首山店</v>
          </cell>
          <cell r="I5253">
            <v>46068</v>
          </cell>
          <cell r="J5253">
            <v>-138.9</v>
          </cell>
        </row>
        <row r="5254">
          <cell r="C5254" t="str">
            <v>推广订单扣款</v>
          </cell>
        </row>
        <row r="5254">
          <cell r="H5254" t="str">
            <v>西湖店</v>
          </cell>
          <cell r="I5254">
            <v>46068</v>
          </cell>
          <cell r="J5254">
            <v>-85.85</v>
          </cell>
        </row>
        <row r="5255">
          <cell r="C5255" t="str">
            <v>推广订单扣款</v>
          </cell>
        </row>
        <row r="5255">
          <cell r="H5255" t="str">
            <v>大坪店</v>
          </cell>
          <cell r="I5255">
            <v>46068</v>
          </cell>
          <cell r="J5255">
            <v>-33.29</v>
          </cell>
        </row>
        <row r="5256">
          <cell r="C5256" t="str">
            <v>推广订单扣款</v>
          </cell>
        </row>
        <row r="5256">
          <cell r="H5256" t="str">
            <v>长沙店</v>
          </cell>
          <cell r="I5256">
            <v>46068</v>
          </cell>
          <cell r="J5256">
            <v>-48.97</v>
          </cell>
        </row>
        <row r="5257">
          <cell r="C5257" t="str">
            <v>推广订单扣款</v>
          </cell>
        </row>
        <row r="5257">
          <cell r="H5257" t="str">
            <v>金牛店</v>
          </cell>
          <cell r="I5257">
            <v>46068</v>
          </cell>
          <cell r="J5257">
            <v>-8.63</v>
          </cell>
        </row>
        <row r="5258">
          <cell r="C5258" t="str">
            <v>推广订单扣款</v>
          </cell>
        </row>
        <row r="5258">
          <cell r="H5258" t="str">
            <v>百丈店</v>
          </cell>
          <cell r="I5258">
            <v>46068</v>
          </cell>
          <cell r="J5258">
            <v>-67</v>
          </cell>
        </row>
        <row r="5259">
          <cell r="C5259" t="str">
            <v>推广订单扣款</v>
          </cell>
        </row>
        <row r="5259">
          <cell r="H5259" t="str">
            <v>观音桥店</v>
          </cell>
          <cell r="I5259">
            <v>46068</v>
          </cell>
          <cell r="J5259">
            <v>-200</v>
          </cell>
        </row>
        <row r="5260">
          <cell r="C5260" t="str">
            <v>推广订单扣款</v>
          </cell>
        </row>
        <row r="5260">
          <cell r="H5260" t="str">
            <v>海口店</v>
          </cell>
          <cell r="I5260">
            <v>46068</v>
          </cell>
          <cell r="J5260">
            <v>-300</v>
          </cell>
        </row>
        <row r="5261">
          <cell r="C5261" t="str">
            <v>推广订单扣款</v>
          </cell>
        </row>
        <row r="5261">
          <cell r="H5261" t="str">
            <v>南安店</v>
          </cell>
          <cell r="I5261">
            <v>46068</v>
          </cell>
          <cell r="J5261">
            <v>-22.91</v>
          </cell>
        </row>
        <row r="5262">
          <cell r="C5262" t="str">
            <v>推广订单扣款</v>
          </cell>
        </row>
        <row r="5262">
          <cell r="H5262" t="str">
            <v>余杭店</v>
          </cell>
          <cell r="I5262">
            <v>46068</v>
          </cell>
          <cell r="J5262">
            <v>-61.04</v>
          </cell>
        </row>
        <row r="5263">
          <cell r="C5263" t="str">
            <v>推广订单扣款</v>
          </cell>
        </row>
        <row r="5263">
          <cell r="H5263" t="str">
            <v>五华店</v>
          </cell>
          <cell r="I5263">
            <v>46068</v>
          </cell>
          <cell r="J5263">
            <v>-33.44</v>
          </cell>
        </row>
        <row r="5264">
          <cell r="C5264" t="str">
            <v>推广订单扣款</v>
          </cell>
        </row>
        <row r="5264">
          <cell r="H5264" t="str">
            <v>西山店</v>
          </cell>
          <cell r="I5264">
            <v>46068</v>
          </cell>
          <cell r="J5264">
            <v>-33.99</v>
          </cell>
        </row>
        <row r="5265">
          <cell r="C5265" t="str">
            <v>推广订单扣款</v>
          </cell>
        </row>
        <row r="5265">
          <cell r="H5265" t="str">
            <v>高新店</v>
          </cell>
          <cell r="I5265">
            <v>46068</v>
          </cell>
          <cell r="J5265">
            <v>-19.22</v>
          </cell>
        </row>
        <row r="5266">
          <cell r="C5266" t="str">
            <v>推广订单扣款</v>
          </cell>
        </row>
        <row r="5266">
          <cell r="H5266" t="str">
            <v>沙坪坝店</v>
          </cell>
          <cell r="I5266">
            <v>46068</v>
          </cell>
          <cell r="J5266">
            <v>-17.74</v>
          </cell>
        </row>
        <row r="5267">
          <cell r="C5267" t="str">
            <v>推广订单扣款</v>
          </cell>
        </row>
        <row r="5267">
          <cell r="H5267" t="str">
            <v>武侯店</v>
          </cell>
          <cell r="I5267">
            <v>46068</v>
          </cell>
          <cell r="J5267">
            <v>-5.66</v>
          </cell>
        </row>
        <row r="5268">
          <cell r="C5268" t="str">
            <v>推广订单扣款</v>
          </cell>
        </row>
        <row r="5268">
          <cell r="H5268" t="str">
            <v>青羊店</v>
          </cell>
          <cell r="I5268">
            <v>46068</v>
          </cell>
          <cell r="J5268">
            <v>-45.88</v>
          </cell>
        </row>
        <row r="5269">
          <cell r="C5269" t="str">
            <v>推广订单扣款</v>
          </cell>
        </row>
        <row r="5269">
          <cell r="H5269" t="str">
            <v>官渡店</v>
          </cell>
          <cell r="I5269">
            <v>46068</v>
          </cell>
          <cell r="J5269">
            <v>-69.47</v>
          </cell>
        </row>
        <row r="5270">
          <cell r="C5270" t="str">
            <v>推广订单扣款</v>
          </cell>
        </row>
        <row r="5270">
          <cell r="H5270" t="str">
            <v>东海店</v>
          </cell>
          <cell r="I5270">
            <v>46068</v>
          </cell>
          <cell r="J5270">
            <v>-19.63</v>
          </cell>
        </row>
        <row r="5271">
          <cell r="C5271" t="str">
            <v>推广订单扣款</v>
          </cell>
        </row>
        <row r="5271">
          <cell r="H5271" t="str">
            <v>首南店</v>
          </cell>
          <cell r="I5271">
            <v>46068</v>
          </cell>
          <cell r="J5271">
            <v>-161.21</v>
          </cell>
        </row>
        <row r="5272">
          <cell r="C5272" t="str">
            <v>推广订单扣款</v>
          </cell>
        </row>
        <row r="5272">
          <cell r="H5272" t="str">
            <v>文灶店</v>
          </cell>
          <cell r="I5272">
            <v>46068</v>
          </cell>
          <cell r="J5272">
            <v>-8.21</v>
          </cell>
        </row>
        <row r="5273">
          <cell r="C5273" t="str">
            <v>推广订单扣款</v>
          </cell>
        </row>
        <row r="5273">
          <cell r="H5273" t="str">
            <v>下沙店</v>
          </cell>
          <cell r="I5273">
            <v>46068</v>
          </cell>
          <cell r="J5273">
            <v>-105.01</v>
          </cell>
        </row>
        <row r="5274">
          <cell r="C5274" t="str">
            <v>推广订单扣款</v>
          </cell>
        </row>
        <row r="5274">
          <cell r="H5274" t="str">
            <v>启点店</v>
          </cell>
          <cell r="I5274">
            <v>46068</v>
          </cell>
          <cell r="J5274">
            <v>-2.73</v>
          </cell>
        </row>
        <row r="5275">
          <cell r="C5275" t="str">
            <v>推广订单扣款</v>
          </cell>
        </row>
        <row r="5275">
          <cell r="H5275" t="str">
            <v>百捷店</v>
          </cell>
          <cell r="I5275">
            <v>46068</v>
          </cell>
          <cell r="J5275">
            <v>-40.16</v>
          </cell>
        </row>
        <row r="5276">
          <cell r="C5276" t="str">
            <v>推广订单扣款</v>
          </cell>
        </row>
        <row r="5276">
          <cell r="H5276" t="str">
            <v>成华店</v>
          </cell>
          <cell r="I5276">
            <v>46068</v>
          </cell>
          <cell r="J5276">
            <v>-52.01</v>
          </cell>
        </row>
        <row r="5277">
          <cell r="C5277" t="str">
            <v>推广订单扣款</v>
          </cell>
        </row>
        <row r="5277">
          <cell r="H5277" t="str">
            <v>诚毅店</v>
          </cell>
          <cell r="I5277">
            <v>46068</v>
          </cell>
          <cell r="J5277">
            <v>-1.01</v>
          </cell>
        </row>
        <row r="5278">
          <cell r="C5278" t="str">
            <v>推广订单扣款</v>
          </cell>
        </row>
        <row r="5278">
          <cell r="H5278" t="str">
            <v>观桥店</v>
          </cell>
          <cell r="I5278">
            <v>46068</v>
          </cell>
          <cell r="J5278">
            <v>-69.06</v>
          </cell>
        </row>
        <row r="5279">
          <cell r="C5279" t="str">
            <v>推广订单扣款</v>
          </cell>
        </row>
        <row r="5279">
          <cell r="H5279" t="str">
            <v>文昌店</v>
          </cell>
          <cell r="I5279">
            <v>46068</v>
          </cell>
          <cell r="J5279">
            <v>-85.73</v>
          </cell>
        </row>
        <row r="5280">
          <cell r="C5280" t="str">
            <v>推广账户自动充值</v>
          </cell>
        </row>
        <row r="5280">
          <cell r="H5280" t="str">
            <v>下沙店</v>
          </cell>
          <cell r="I5280">
            <v>46068</v>
          </cell>
          <cell r="J5280">
            <v>100</v>
          </cell>
        </row>
        <row r="5281">
          <cell r="C5281" t="str">
            <v>推广账户自动充值</v>
          </cell>
        </row>
        <row r="5281">
          <cell r="H5281" t="str">
            <v>观音桥店</v>
          </cell>
          <cell r="I5281">
            <v>46068</v>
          </cell>
          <cell r="J5281">
            <v>200</v>
          </cell>
        </row>
        <row r="5282">
          <cell r="C5282" t="str">
            <v>推广账户自动充值</v>
          </cell>
        </row>
        <row r="5282">
          <cell r="H5282" t="str">
            <v>文昌店</v>
          </cell>
          <cell r="I5282">
            <v>46068</v>
          </cell>
          <cell r="J5282">
            <v>200</v>
          </cell>
        </row>
        <row r="5283">
          <cell r="C5283" t="str">
            <v>推广账户自动充值</v>
          </cell>
        </row>
        <row r="5283">
          <cell r="H5283" t="str">
            <v>西湖店</v>
          </cell>
          <cell r="I5283">
            <v>46068</v>
          </cell>
          <cell r="J5283">
            <v>200</v>
          </cell>
        </row>
        <row r="5284">
          <cell r="C5284" t="str">
            <v>推广订单扣款</v>
          </cell>
        </row>
        <row r="5284">
          <cell r="H5284" t="str">
            <v>首山店</v>
          </cell>
          <cell r="I5284">
            <v>46069</v>
          </cell>
          <cell r="J5284">
            <v>-179.35</v>
          </cell>
        </row>
        <row r="5285">
          <cell r="C5285" t="str">
            <v>推广订单扣款</v>
          </cell>
        </row>
        <row r="5285">
          <cell r="H5285" t="str">
            <v>西湖店</v>
          </cell>
          <cell r="I5285">
            <v>46069</v>
          </cell>
          <cell r="J5285">
            <v>-138.72</v>
          </cell>
        </row>
        <row r="5286">
          <cell r="C5286" t="str">
            <v>推广订单扣款</v>
          </cell>
        </row>
        <row r="5286">
          <cell r="H5286" t="str">
            <v>青羊店</v>
          </cell>
          <cell r="I5286">
            <v>46069</v>
          </cell>
          <cell r="J5286">
            <v>-64.19</v>
          </cell>
        </row>
        <row r="5287">
          <cell r="C5287" t="str">
            <v>推广订单扣款</v>
          </cell>
        </row>
        <row r="5287">
          <cell r="H5287" t="str">
            <v>首南店</v>
          </cell>
          <cell r="I5287">
            <v>46069</v>
          </cell>
          <cell r="J5287">
            <v>-126.79</v>
          </cell>
        </row>
        <row r="5288">
          <cell r="C5288" t="str">
            <v>推广订单扣款</v>
          </cell>
        </row>
        <row r="5288">
          <cell r="H5288" t="str">
            <v>长沙店</v>
          </cell>
          <cell r="I5288">
            <v>46069</v>
          </cell>
          <cell r="J5288">
            <v>-1.5</v>
          </cell>
        </row>
        <row r="5289">
          <cell r="C5289" t="str">
            <v>推广订单扣款</v>
          </cell>
        </row>
        <row r="5289">
          <cell r="H5289" t="str">
            <v>百丈店</v>
          </cell>
          <cell r="I5289">
            <v>46069</v>
          </cell>
          <cell r="J5289">
            <v>-2.6</v>
          </cell>
        </row>
        <row r="5290">
          <cell r="C5290" t="str">
            <v>推广订单扣款</v>
          </cell>
        </row>
        <row r="5290">
          <cell r="H5290" t="str">
            <v>下沙店</v>
          </cell>
          <cell r="I5290">
            <v>46069</v>
          </cell>
          <cell r="J5290">
            <v>-137.24</v>
          </cell>
        </row>
        <row r="5291">
          <cell r="C5291" t="str">
            <v>推广订单扣款</v>
          </cell>
        </row>
        <row r="5291">
          <cell r="H5291" t="str">
            <v>观音桥店</v>
          </cell>
          <cell r="I5291">
            <v>46069</v>
          </cell>
          <cell r="J5291">
            <v>-197.51</v>
          </cell>
        </row>
        <row r="5292">
          <cell r="C5292" t="str">
            <v>推广订单扣款</v>
          </cell>
        </row>
        <row r="5292">
          <cell r="H5292" t="str">
            <v>海口店</v>
          </cell>
          <cell r="I5292">
            <v>46069</v>
          </cell>
          <cell r="J5292">
            <v>-300</v>
          </cell>
        </row>
        <row r="5293">
          <cell r="C5293" t="str">
            <v>推广订单扣款</v>
          </cell>
        </row>
        <row r="5293">
          <cell r="H5293" t="str">
            <v>文昌店</v>
          </cell>
          <cell r="I5293">
            <v>46069</v>
          </cell>
          <cell r="J5293">
            <v>-81.26</v>
          </cell>
        </row>
        <row r="5294">
          <cell r="C5294" t="str">
            <v>推广账户自动充值</v>
          </cell>
        </row>
        <row r="5294">
          <cell r="H5294" t="str">
            <v>首山店</v>
          </cell>
          <cell r="I5294">
            <v>46069</v>
          </cell>
          <cell r="J5294">
            <v>200</v>
          </cell>
        </row>
        <row r="5295">
          <cell r="C5295" t="str">
            <v>推广账户自动充值</v>
          </cell>
        </row>
        <row r="5295">
          <cell r="H5295" t="str">
            <v>首南店</v>
          </cell>
          <cell r="I5295">
            <v>46069</v>
          </cell>
          <cell r="J5295">
            <v>200</v>
          </cell>
        </row>
        <row r="5296">
          <cell r="C5296" t="str">
            <v>推广账户自动充值</v>
          </cell>
        </row>
        <row r="5296">
          <cell r="H5296" t="str">
            <v>下沙店</v>
          </cell>
          <cell r="I5296">
            <v>46069</v>
          </cell>
          <cell r="J5296">
            <v>100</v>
          </cell>
        </row>
        <row r="5297">
          <cell r="C5297" t="str">
            <v>推广账户自动充值</v>
          </cell>
        </row>
        <row r="5297">
          <cell r="H5297" t="str">
            <v>观音桥店</v>
          </cell>
          <cell r="I5297">
            <v>46069</v>
          </cell>
          <cell r="J5297">
            <v>200</v>
          </cell>
        </row>
        <row r="5298">
          <cell r="C5298" t="str">
            <v>推广订单扣款</v>
          </cell>
        </row>
        <row r="5298">
          <cell r="H5298" t="str">
            <v>首山店</v>
          </cell>
          <cell r="I5298">
            <v>46070</v>
          </cell>
          <cell r="J5298">
            <v>-162.34</v>
          </cell>
        </row>
        <row r="5299">
          <cell r="C5299" t="str">
            <v>推广订单扣款</v>
          </cell>
        </row>
        <row r="5299">
          <cell r="H5299" t="str">
            <v>西湖店</v>
          </cell>
          <cell r="I5299">
            <v>46070</v>
          </cell>
          <cell r="J5299">
            <v>-123.6</v>
          </cell>
        </row>
        <row r="5300">
          <cell r="C5300" t="str">
            <v>推广订单扣款</v>
          </cell>
        </row>
        <row r="5300">
          <cell r="H5300" t="str">
            <v>槐荫店</v>
          </cell>
          <cell r="I5300">
            <v>46070</v>
          </cell>
          <cell r="J5300">
            <v>-5.51</v>
          </cell>
        </row>
        <row r="5301">
          <cell r="C5301" t="str">
            <v>推广订单扣款</v>
          </cell>
        </row>
        <row r="5301">
          <cell r="H5301" t="str">
            <v>青羊店</v>
          </cell>
          <cell r="I5301">
            <v>46070</v>
          </cell>
          <cell r="J5301">
            <v>-87.4</v>
          </cell>
        </row>
        <row r="5302">
          <cell r="C5302" t="str">
            <v>推广订单扣款</v>
          </cell>
        </row>
        <row r="5302">
          <cell r="H5302" t="str">
            <v>东海店</v>
          </cell>
          <cell r="I5302">
            <v>46070</v>
          </cell>
          <cell r="J5302">
            <v>-3.77</v>
          </cell>
        </row>
        <row r="5303">
          <cell r="C5303" t="str">
            <v>推广订单扣款</v>
          </cell>
        </row>
        <row r="5303">
          <cell r="H5303" t="str">
            <v>首南店</v>
          </cell>
          <cell r="I5303">
            <v>46070</v>
          </cell>
          <cell r="J5303">
            <v>-169.77</v>
          </cell>
        </row>
        <row r="5304">
          <cell r="C5304" t="str">
            <v>推广订单扣款</v>
          </cell>
        </row>
        <row r="5304">
          <cell r="H5304" t="str">
            <v>长沙店</v>
          </cell>
          <cell r="I5304">
            <v>46070</v>
          </cell>
          <cell r="J5304">
            <v>-2.6</v>
          </cell>
        </row>
        <row r="5305">
          <cell r="C5305" t="str">
            <v>推广订单扣款</v>
          </cell>
        </row>
        <row r="5305">
          <cell r="H5305" t="str">
            <v>百丈店</v>
          </cell>
          <cell r="I5305">
            <v>46070</v>
          </cell>
          <cell r="J5305">
            <v>-1.12</v>
          </cell>
        </row>
        <row r="5306">
          <cell r="C5306" t="str">
            <v>推广订单扣款</v>
          </cell>
        </row>
        <row r="5306">
          <cell r="H5306" t="str">
            <v>下沙店</v>
          </cell>
          <cell r="I5306">
            <v>46070</v>
          </cell>
          <cell r="J5306">
            <v>-100.06</v>
          </cell>
        </row>
        <row r="5307">
          <cell r="C5307" t="str">
            <v>推广订单扣款</v>
          </cell>
        </row>
        <row r="5307">
          <cell r="H5307" t="str">
            <v>观音桥店</v>
          </cell>
          <cell r="I5307">
            <v>46070</v>
          </cell>
          <cell r="J5307">
            <v>-200</v>
          </cell>
        </row>
        <row r="5308">
          <cell r="C5308" t="str">
            <v>推广订单扣款</v>
          </cell>
        </row>
        <row r="5308">
          <cell r="H5308" t="str">
            <v>海口店</v>
          </cell>
          <cell r="I5308">
            <v>46070</v>
          </cell>
          <cell r="J5308">
            <v>-300</v>
          </cell>
        </row>
        <row r="5309">
          <cell r="C5309" t="str">
            <v>推广订单扣款</v>
          </cell>
        </row>
        <row r="5309">
          <cell r="H5309" t="str">
            <v>文昌店</v>
          </cell>
          <cell r="I5309">
            <v>46070</v>
          </cell>
          <cell r="J5309">
            <v>-139.84</v>
          </cell>
        </row>
        <row r="5310">
          <cell r="C5310" t="str">
            <v>推广账户自动充值</v>
          </cell>
        </row>
        <row r="5310">
          <cell r="H5310" t="str">
            <v>文昌店</v>
          </cell>
          <cell r="I5310">
            <v>46070</v>
          </cell>
          <cell r="J5310">
            <v>200</v>
          </cell>
        </row>
        <row r="5311">
          <cell r="C5311" t="str">
            <v>推广账户自动充值</v>
          </cell>
        </row>
        <row r="5311">
          <cell r="H5311" t="str">
            <v>下沙店</v>
          </cell>
          <cell r="I5311">
            <v>46070</v>
          </cell>
          <cell r="J5311">
            <v>100</v>
          </cell>
        </row>
        <row r="5312">
          <cell r="C5312" t="str">
            <v>推广账户自动充值</v>
          </cell>
        </row>
        <row r="5312">
          <cell r="H5312" t="str">
            <v>首南店</v>
          </cell>
          <cell r="I5312">
            <v>46070</v>
          </cell>
          <cell r="J5312">
            <v>200</v>
          </cell>
        </row>
        <row r="5313">
          <cell r="C5313" t="str">
            <v>推广账户自动充值</v>
          </cell>
        </row>
        <row r="5313">
          <cell r="H5313" t="str">
            <v>青羊店</v>
          </cell>
          <cell r="I5313">
            <v>46070</v>
          </cell>
          <cell r="J5313">
            <v>200</v>
          </cell>
        </row>
        <row r="5314">
          <cell r="C5314" t="str">
            <v>推广账户自动充值</v>
          </cell>
        </row>
        <row r="5314">
          <cell r="H5314" t="str">
            <v>首山店</v>
          </cell>
          <cell r="I5314">
            <v>46070</v>
          </cell>
          <cell r="J5314">
            <v>200</v>
          </cell>
        </row>
        <row r="5315">
          <cell r="C5315" t="str">
            <v>推广账户自动充值</v>
          </cell>
        </row>
        <row r="5315">
          <cell r="H5315" t="str">
            <v>西湖店</v>
          </cell>
          <cell r="I5315">
            <v>46070</v>
          </cell>
          <cell r="J5315">
            <v>200</v>
          </cell>
        </row>
        <row r="5316">
          <cell r="C5316" t="str">
            <v>推广账户自动充值</v>
          </cell>
        </row>
        <row r="5316">
          <cell r="H5316" t="str">
            <v>观音桥店</v>
          </cell>
          <cell r="I5316">
            <v>46070</v>
          </cell>
          <cell r="J5316">
            <v>200</v>
          </cell>
        </row>
        <row r="5317">
          <cell r="C5317" t="str">
            <v>推广账户自动充值</v>
          </cell>
        </row>
        <row r="5317">
          <cell r="H5317" t="str">
            <v>下沙店</v>
          </cell>
          <cell r="I5317">
            <v>46070</v>
          </cell>
          <cell r="J5317">
            <v>100</v>
          </cell>
        </row>
        <row r="5318">
          <cell r="C5318" t="str">
            <v>推广订单扣款</v>
          </cell>
        </row>
        <row r="5318">
          <cell r="H5318" t="str">
            <v>首山店</v>
          </cell>
          <cell r="I5318">
            <v>46071</v>
          </cell>
          <cell r="J5318">
            <v>-169.82</v>
          </cell>
        </row>
        <row r="5319">
          <cell r="C5319" t="str">
            <v>推广订单扣款</v>
          </cell>
        </row>
        <row r="5319">
          <cell r="H5319" t="str">
            <v>西湖店</v>
          </cell>
          <cell r="I5319">
            <v>46071</v>
          </cell>
          <cell r="J5319">
            <v>-195</v>
          </cell>
        </row>
        <row r="5320">
          <cell r="C5320" t="str">
            <v>推广订单扣款</v>
          </cell>
        </row>
        <row r="5320">
          <cell r="H5320" t="str">
            <v>青羊店</v>
          </cell>
          <cell r="I5320">
            <v>46071</v>
          </cell>
          <cell r="J5320">
            <v>-162.97</v>
          </cell>
        </row>
        <row r="5321">
          <cell r="C5321" t="str">
            <v>推广订单扣款</v>
          </cell>
        </row>
        <row r="5321">
          <cell r="H5321" t="str">
            <v>首南店</v>
          </cell>
          <cell r="I5321">
            <v>46071</v>
          </cell>
          <cell r="J5321">
            <v>-184.59</v>
          </cell>
        </row>
        <row r="5322">
          <cell r="C5322" t="str">
            <v>推广订单扣款</v>
          </cell>
        </row>
        <row r="5322">
          <cell r="H5322" t="str">
            <v>长沙店</v>
          </cell>
          <cell r="I5322">
            <v>46071</v>
          </cell>
          <cell r="J5322">
            <v>-30.6</v>
          </cell>
        </row>
        <row r="5323">
          <cell r="C5323" t="str">
            <v>推广订单扣款</v>
          </cell>
        </row>
        <row r="5323">
          <cell r="H5323" t="str">
            <v>下沙店</v>
          </cell>
          <cell r="I5323">
            <v>46071</v>
          </cell>
          <cell r="J5323">
            <v>-198.2</v>
          </cell>
        </row>
        <row r="5324">
          <cell r="C5324" t="str">
            <v>推广订单扣款</v>
          </cell>
        </row>
        <row r="5324">
          <cell r="H5324" t="str">
            <v>观音桥店</v>
          </cell>
          <cell r="I5324">
            <v>46071</v>
          </cell>
          <cell r="J5324">
            <v>-200</v>
          </cell>
        </row>
        <row r="5325">
          <cell r="C5325" t="str">
            <v>推广订单扣款</v>
          </cell>
        </row>
        <row r="5325">
          <cell r="H5325" t="str">
            <v>海口店</v>
          </cell>
          <cell r="I5325">
            <v>46071</v>
          </cell>
          <cell r="J5325">
            <v>-300</v>
          </cell>
        </row>
        <row r="5326">
          <cell r="C5326" t="str">
            <v>推广订单扣款</v>
          </cell>
        </row>
        <row r="5326">
          <cell r="H5326" t="str">
            <v>文昌店</v>
          </cell>
          <cell r="I5326">
            <v>46071</v>
          </cell>
          <cell r="J5326">
            <v>-143.18</v>
          </cell>
        </row>
        <row r="5327">
          <cell r="C5327" t="str">
            <v>推广账户自动充值</v>
          </cell>
        </row>
        <row r="5327">
          <cell r="H5327" t="str">
            <v>首山店</v>
          </cell>
          <cell r="I5327">
            <v>46071</v>
          </cell>
          <cell r="J5327">
            <v>200</v>
          </cell>
        </row>
        <row r="5328">
          <cell r="C5328" t="str">
            <v>推广账户自动充值</v>
          </cell>
        </row>
        <row r="5328">
          <cell r="H5328" t="str">
            <v>下沙店</v>
          </cell>
          <cell r="I5328">
            <v>46071</v>
          </cell>
          <cell r="J5328">
            <v>100</v>
          </cell>
        </row>
        <row r="5329">
          <cell r="C5329" t="str">
            <v>推广账户自动充值</v>
          </cell>
        </row>
        <row r="5329">
          <cell r="H5329" t="str">
            <v>西湖店</v>
          </cell>
          <cell r="I5329">
            <v>46071</v>
          </cell>
          <cell r="J5329">
            <v>200</v>
          </cell>
        </row>
        <row r="5330">
          <cell r="C5330" t="str">
            <v>推广账户自动充值</v>
          </cell>
        </row>
        <row r="5330">
          <cell r="H5330" t="str">
            <v>首南店</v>
          </cell>
          <cell r="I5330">
            <v>46071</v>
          </cell>
          <cell r="J5330">
            <v>200</v>
          </cell>
        </row>
        <row r="5331">
          <cell r="C5331" t="str">
            <v>推广账户自动充值</v>
          </cell>
        </row>
        <row r="5331">
          <cell r="H5331" t="str">
            <v>文昌店</v>
          </cell>
          <cell r="I5331">
            <v>46071</v>
          </cell>
          <cell r="J5331">
            <v>200</v>
          </cell>
        </row>
        <row r="5332">
          <cell r="C5332" t="str">
            <v>推广账户自动充值</v>
          </cell>
        </row>
        <row r="5332">
          <cell r="H5332" t="str">
            <v>青羊店</v>
          </cell>
          <cell r="I5332">
            <v>46071</v>
          </cell>
          <cell r="J5332">
            <v>200</v>
          </cell>
        </row>
        <row r="5333">
          <cell r="C5333" t="str">
            <v>推广账户自动充值</v>
          </cell>
        </row>
        <row r="5333">
          <cell r="H5333" t="str">
            <v>观音桥店</v>
          </cell>
          <cell r="I5333">
            <v>46071</v>
          </cell>
          <cell r="J5333">
            <v>200</v>
          </cell>
        </row>
        <row r="5334">
          <cell r="C5334" t="str">
            <v>推广账户自动充值</v>
          </cell>
        </row>
        <row r="5334">
          <cell r="H5334" t="str">
            <v>文灶店</v>
          </cell>
          <cell r="I5334">
            <v>46071</v>
          </cell>
          <cell r="J5334">
            <v>200</v>
          </cell>
        </row>
        <row r="5335">
          <cell r="C5335" t="str">
            <v>推广订单扣款</v>
          </cell>
        </row>
        <row r="5335">
          <cell r="H5335" t="str">
            <v>首山店</v>
          </cell>
          <cell r="I5335">
            <v>46072</v>
          </cell>
          <cell r="J5335">
            <v>-200</v>
          </cell>
        </row>
        <row r="5336">
          <cell r="C5336" t="str">
            <v>推广订单扣款</v>
          </cell>
        </row>
        <row r="5336">
          <cell r="H5336" t="str">
            <v>西湖店</v>
          </cell>
          <cell r="I5336">
            <v>46072</v>
          </cell>
          <cell r="J5336">
            <v>-194.17</v>
          </cell>
        </row>
        <row r="5337">
          <cell r="C5337" t="str">
            <v>推广订单扣款</v>
          </cell>
        </row>
        <row r="5337">
          <cell r="H5337" t="str">
            <v>青羊店</v>
          </cell>
          <cell r="I5337">
            <v>46072</v>
          </cell>
          <cell r="J5337">
            <v>-168.55</v>
          </cell>
        </row>
        <row r="5338">
          <cell r="C5338" t="str">
            <v>推广订单扣款</v>
          </cell>
        </row>
        <row r="5338">
          <cell r="H5338" t="str">
            <v>首南店</v>
          </cell>
          <cell r="I5338">
            <v>46072</v>
          </cell>
          <cell r="J5338">
            <v>-142.35</v>
          </cell>
        </row>
        <row r="5339">
          <cell r="C5339" t="str">
            <v>推广订单扣款</v>
          </cell>
        </row>
        <row r="5339">
          <cell r="H5339" t="str">
            <v>长沙店</v>
          </cell>
          <cell r="I5339">
            <v>46072</v>
          </cell>
          <cell r="J5339">
            <v>-113.7</v>
          </cell>
        </row>
        <row r="5340">
          <cell r="C5340" t="str">
            <v>推广订单扣款</v>
          </cell>
        </row>
        <row r="5340">
          <cell r="H5340" t="str">
            <v>文灶店</v>
          </cell>
          <cell r="I5340">
            <v>46072</v>
          </cell>
          <cell r="J5340">
            <v>-142.76</v>
          </cell>
        </row>
        <row r="5341">
          <cell r="C5341" t="str">
            <v>推广订单扣款</v>
          </cell>
        </row>
        <row r="5341">
          <cell r="H5341" t="str">
            <v>下沙店</v>
          </cell>
          <cell r="I5341">
            <v>46072</v>
          </cell>
          <cell r="J5341">
            <v>-139.09</v>
          </cell>
        </row>
        <row r="5342">
          <cell r="C5342" t="str">
            <v>推广订单扣款</v>
          </cell>
        </row>
        <row r="5342">
          <cell r="H5342" t="str">
            <v>观音桥店</v>
          </cell>
          <cell r="I5342">
            <v>46072</v>
          </cell>
          <cell r="J5342">
            <v>-174.71</v>
          </cell>
        </row>
        <row r="5343">
          <cell r="C5343" t="str">
            <v>推广订单扣款</v>
          </cell>
        </row>
        <row r="5343">
          <cell r="H5343" t="str">
            <v>海口店</v>
          </cell>
          <cell r="I5343">
            <v>46072</v>
          </cell>
          <cell r="J5343">
            <v>-300</v>
          </cell>
        </row>
        <row r="5344">
          <cell r="C5344" t="str">
            <v>推广订单扣款</v>
          </cell>
        </row>
        <row r="5344">
          <cell r="H5344" t="str">
            <v>文昌店</v>
          </cell>
          <cell r="I5344">
            <v>46072</v>
          </cell>
          <cell r="J5344">
            <v>-169.84</v>
          </cell>
        </row>
        <row r="5345">
          <cell r="C5345" t="str">
            <v>推广账户自动充值</v>
          </cell>
        </row>
        <row r="5345">
          <cell r="H5345" t="str">
            <v>下沙店</v>
          </cell>
          <cell r="I5345">
            <v>46072</v>
          </cell>
          <cell r="J5345">
            <v>100</v>
          </cell>
        </row>
        <row r="5346">
          <cell r="C5346" t="str">
            <v>推广账户自动充值</v>
          </cell>
        </row>
        <row r="5346">
          <cell r="H5346" t="str">
            <v>长沙店</v>
          </cell>
          <cell r="I5346">
            <v>46072</v>
          </cell>
          <cell r="J5346">
            <v>200</v>
          </cell>
        </row>
        <row r="5347">
          <cell r="C5347" t="str">
            <v>推广账户自动充值</v>
          </cell>
        </row>
        <row r="5347">
          <cell r="H5347" t="str">
            <v>首山店</v>
          </cell>
          <cell r="I5347">
            <v>46072</v>
          </cell>
          <cell r="J5347">
            <v>200</v>
          </cell>
        </row>
        <row r="5348">
          <cell r="C5348" t="str">
            <v>推广账户自动充值</v>
          </cell>
        </row>
        <row r="5348">
          <cell r="H5348" t="str">
            <v>文昌店</v>
          </cell>
          <cell r="I5348">
            <v>46072</v>
          </cell>
          <cell r="J5348">
            <v>200</v>
          </cell>
        </row>
        <row r="5349">
          <cell r="C5349" t="str">
            <v>推广账户自动充值</v>
          </cell>
        </row>
        <row r="5349">
          <cell r="H5349" t="str">
            <v>西湖店</v>
          </cell>
          <cell r="I5349">
            <v>46072</v>
          </cell>
          <cell r="J5349">
            <v>200</v>
          </cell>
        </row>
        <row r="5350">
          <cell r="C5350" t="str">
            <v>推广订单扣款</v>
          </cell>
        </row>
        <row r="5350">
          <cell r="H5350" t="str">
            <v>首山店</v>
          </cell>
          <cell r="I5350">
            <v>46073</v>
          </cell>
          <cell r="J5350">
            <v>-150.59</v>
          </cell>
        </row>
        <row r="5351">
          <cell r="C5351" t="str">
            <v>推广订单扣款</v>
          </cell>
        </row>
        <row r="5351">
          <cell r="H5351" t="str">
            <v>西湖店</v>
          </cell>
          <cell r="I5351">
            <v>46073</v>
          </cell>
          <cell r="J5351">
            <v>-98.9</v>
          </cell>
        </row>
        <row r="5352">
          <cell r="C5352" t="str">
            <v>推广订单扣款</v>
          </cell>
        </row>
        <row r="5352">
          <cell r="H5352" t="str">
            <v>青羊店</v>
          </cell>
          <cell r="I5352">
            <v>46073</v>
          </cell>
          <cell r="J5352">
            <v>-100.57</v>
          </cell>
        </row>
        <row r="5353">
          <cell r="C5353" t="str">
            <v>推广订单扣款</v>
          </cell>
        </row>
        <row r="5353">
          <cell r="H5353" t="str">
            <v>首南店</v>
          </cell>
          <cell r="I5353">
            <v>46073</v>
          </cell>
          <cell r="J5353">
            <v>-136.48</v>
          </cell>
        </row>
        <row r="5354">
          <cell r="C5354" t="str">
            <v>推广订单扣款</v>
          </cell>
        </row>
        <row r="5354">
          <cell r="H5354" t="str">
            <v>长沙店</v>
          </cell>
          <cell r="I5354">
            <v>46073</v>
          </cell>
          <cell r="J5354">
            <v>-88.57</v>
          </cell>
        </row>
        <row r="5355">
          <cell r="C5355" t="str">
            <v>推广订单扣款</v>
          </cell>
        </row>
        <row r="5355">
          <cell r="H5355" t="str">
            <v>文灶店</v>
          </cell>
          <cell r="I5355">
            <v>46073</v>
          </cell>
          <cell r="J5355">
            <v>-160.13</v>
          </cell>
        </row>
        <row r="5356">
          <cell r="C5356" t="str">
            <v>推广订单扣款</v>
          </cell>
        </row>
        <row r="5356">
          <cell r="H5356" t="str">
            <v>下沙店</v>
          </cell>
          <cell r="I5356">
            <v>46073</v>
          </cell>
          <cell r="J5356">
            <v>-94.21</v>
          </cell>
        </row>
        <row r="5357">
          <cell r="C5357" t="str">
            <v>推广订单扣款</v>
          </cell>
        </row>
        <row r="5357">
          <cell r="H5357" t="str">
            <v>观音桥店</v>
          </cell>
          <cell r="I5357">
            <v>46073</v>
          </cell>
          <cell r="J5357">
            <v>-165.22</v>
          </cell>
        </row>
        <row r="5358">
          <cell r="C5358" t="str">
            <v>推广订单扣款</v>
          </cell>
        </row>
        <row r="5358">
          <cell r="H5358" t="str">
            <v>海口店</v>
          </cell>
          <cell r="I5358">
            <v>46073</v>
          </cell>
          <cell r="J5358">
            <v>-300</v>
          </cell>
        </row>
        <row r="5359">
          <cell r="C5359" t="str">
            <v>推广订单扣款</v>
          </cell>
        </row>
        <row r="5359">
          <cell r="H5359" t="str">
            <v>文昌店</v>
          </cell>
          <cell r="I5359">
            <v>46073</v>
          </cell>
          <cell r="J5359">
            <v>-180.37</v>
          </cell>
        </row>
        <row r="5360">
          <cell r="C5360" t="str">
            <v>推广账户自动充值</v>
          </cell>
        </row>
        <row r="5360">
          <cell r="H5360" t="str">
            <v>观音桥店</v>
          </cell>
          <cell r="I5360">
            <v>46073</v>
          </cell>
          <cell r="J5360">
            <v>200</v>
          </cell>
        </row>
        <row r="5361">
          <cell r="C5361" t="str">
            <v>推广账户自动充值</v>
          </cell>
        </row>
        <row r="5361">
          <cell r="H5361" t="str">
            <v>青羊店</v>
          </cell>
          <cell r="I5361">
            <v>46073</v>
          </cell>
          <cell r="J5361">
            <v>200</v>
          </cell>
        </row>
        <row r="5362">
          <cell r="C5362" t="str">
            <v>推广账户自动充值</v>
          </cell>
        </row>
        <row r="5362">
          <cell r="H5362" t="str">
            <v>首南店</v>
          </cell>
          <cell r="I5362">
            <v>46073</v>
          </cell>
          <cell r="J5362">
            <v>200</v>
          </cell>
        </row>
        <row r="5363">
          <cell r="C5363" t="str">
            <v>推广账户自动充值</v>
          </cell>
        </row>
        <row r="5363">
          <cell r="H5363" t="str">
            <v>文灶店</v>
          </cell>
          <cell r="I5363">
            <v>46073</v>
          </cell>
          <cell r="J5363">
            <v>200</v>
          </cell>
        </row>
        <row r="5364">
          <cell r="C5364" t="str">
            <v>推广账户自动充值</v>
          </cell>
        </row>
        <row r="5364">
          <cell r="H5364" t="str">
            <v>下沙店</v>
          </cell>
          <cell r="I5364">
            <v>46073</v>
          </cell>
          <cell r="J5364">
            <v>100</v>
          </cell>
        </row>
        <row r="5365">
          <cell r="C5365" t="str">
            <v>推广账户自动充值</v>
          </cell>
        </row>
        <row r="5365">
          <cell r="H5365" t="str">
            <v>华信店</v>
          </cell>
          <cell r="I5365">
            <v>46073</v>
          </cell>
          <cell r="J5365">
            <v>200</v>
          </cell>
        </row>
        <row r="5366">
          <cell r="C5366" t="str">
            <v>推广账户自动充值</v>
          </cell>
        </row>
        <row r="5366">
          <cell r="H5366" t="str">
            <v>槐荫店</v>
          </cell>
          <cell r="I5366">
            <v>46073</v>
          </cell>
          <cell r="J5366">
            <v>200</v>
          </cell>
        </row>
        <row r="5367">
          <cell r="C5367" t="str">
            <v>推广账户自动充值</v>
          </cell>
        </row>
        <row r="5367">
          <cell r="H5367" t="str">
            <v>首山店</v>
          </cell>
          <cell r="I5367">
            <v>46073</v>
          </cell>
          <cell r="J5367">
            <v>200</v>
          </cell>
        </row>
        <row r="5368">
          <cell r="C5368" t="str">
            <v>推广账户自动充值</v>
          </cell>
        </row>
        <row r="5368">
          <cell r="H5368" t="str">
            <v>西湖店</v>
          </cell>
          <cell r="I5368">
            <v>46073</v>
          </cell>
          <cell r="J5368">
            <v>200</v>
          </cell>
        </row>
        <row r="5369">
          <cell r="C5369" t="str">
            <v>推广订单扣款</v>
          </cell>
        </row>
        <row r="5369">
          <cell r="H5369" t="str">
            <v>济南店</v>
          </cell>
          <cell r="I5369">
            <v>46074</v>
          </cell>
          <cell r="J5369">
            <v>-126.11</v>
          </cell>
        </row>
        <row r="5370">
          <cell r="C5370" t="str">
            <v>推广订单扣款</v>
          </cell>
        </row>
        <row r="5370">
          <cell r="H5370" t="str">
            <v>首山店</v>
          </cell>
          <cell r="I5370">
            <v>46074</v>
          </cell>
          <cell r="J5370">
            <v>-198.06</v>
          </cell>
        </row>
        <row r="5371">
          <cell r="C5371" t="str">
            <v>推广订单扣款</v>
          </cell>
        </row>
        <row r="5371">
          <cell r="H5371" t="str">
            <v>西湖店</v>
          </cell>
          <cell r="I5371">
            <v>46074</v>
          </cell>
          <cell r="J5371">
            <v>-200</v>
          </cell>
        </row>
        <row r="5372">
          <cell r="C5372" t="str">
            <v>推广订单扣款</v>
          </cell>
        </row>
        <row r="5372">
          <cell r="H5372" t="str">
            <v>长沙店</v>
          </cell>
          <cell r="I5372">
            <v>46074</v>
          </cell>
          <cell r="J5372">
            <v>-63.17</v>
          </cell>
        </row>
        <row r="5373">
          <cell r="C5373" t="str">
            <v>推广订单扣款</v>
          </cell>
        </row>
        <row r="5373">
          <cell r="H5373" t="str">
            <v>观音桥店</v>
          </cell>
          <cell r="I5373">
            <v>46074</v>
          </cell>
          <cell r="J5373">
            <v>-139.87</v>
          </cell>
        </row>
        <row r="5374">
          <cell r="C5374" t="str">
            <v>推广订单扣款</v>
          </cell>
        </row>
        <row r="5374">
          <cell r="H5374" t="str">
            <v>海口店</v>
          </cell>
          <cell r="I5374">
            <v>46074</v>
          </cell>
          <cell r="J5374">
            <v>-300</v>
          </cell>
        </row>
        <row r="5375">
          <cell r="C5375" t="str">
            <v>推广订单扣款</v>
          </cell>
        </row>
        <row r="5375">
          <cell r="H5375" t="str">
            <v>华信店</v>
          </cell>
          <cell r="I5375">
            <v>46074</v>
          </cell>
          <cell r="J5375">
            <v>-200</v>
          </cell>
        </row>
        <row r="5376">
          <cell r="C5376" t="str">
            <v>推广订单扣款</v>
          </cell>
        </row>
        <row r="5376">
          <cell r="H5376" t="str">
            <v>泉秀店</v>
          </cell>
          <cell r="I5376">
            <v>46074</v>
          </cell>
          <cell r="J5376">
            <v>-61.32</v>
          </cell>
        </row>
        <row r="5377">
          <cell r="C5377" t="str">
            <v>推广订单扣款</v>
          </cell>
        </row>
        <row r="5377">
          <cell r="H5377" t="str">
            <v>槐荫店</v>
          </cell>
          <cell r="I5377">
            <v>46074</v>
          </cell>
          <cell r="J5377">
            <v>-200</v>
          </cell>
        </row>
        <row r="5378">
          <cell r="C5378" t="str">
            <v>推广订单扣款</v>
          </cell>
        </row>
        <row r="5378">
          <cell r="H5378" t="str">
            <v>青羊店</v>
          </cell>
          <cell r="I5378">
            <v>46074</v>
          </cell>
          <cell r="J5378">
            <v>-75.06</v>
          </cell>
        </row>
        <row r="5379">
          <cell r="C5379" t="str">
            <v>推广订单扣款</v>
          </cell>
        </row>
        <row r="5379">
          <cell r="H5379" t="str">
            <v>东海店</v>
          </cell>
          <cell r="I5379">
            <v>46074</v>
          </cell>
          <cell r="J5379">
            <v>-48.85</v>
          </cell>
        </row>
        <row r="5380">
          <cell r="C5380" t="str">
            <v>推广订单扣款</v>
          </cell>
        </row>
        <row r="5380">
          <cell r="H5380" t="str">
            <v>首南店</v>
          </cell>
          <cell r="I5380">
            <v>46074</v>
          </cell>
          <cell r="J5380">
            <v>-138.65</v>
          </cell>
        </row>
        <row r="5381">
          <cell r="C5381" t="str">
            <v>推广订单扣款</v>
          </cell>
        </row>
        <row r="5381">
          <cell r="H5381" t="str">
            <v>文灶店</v>
          </cell>
          <cell r="I5381">
            <v>46074</v>
          </cell>
          <cell r="J5381">
            <v>-148.34</v>
          </cell>
        </row>
        <row r="5382">
          <cell r="C5382" t="str">
            <v>推广订单扣款</v>
          </cell>
        </row>
        <row r="5382">
          <cell r="H5382" t="str">
            <v>百捷店</v>
          </cell>
          <cell r="I5382">
            <v>46074</v>
          </cell>
          <cell r="J5382">
            <v>-141.83</v>
          </cell>
        </row>
        <row r="5383">
          <cell r="C5383" t="str">
            <v>推广订单扣款</v>
          </cell>
        </row>
        <row r="5383">
          <cell r="H5383" t="str">
            <v>下沙店</v>
          </cell>
          <cell r="I5383">
            <v>46074</v>
          </cell>
          <cell r="J5383">
            <v>-103.87</v>
          </cell>
        </row>
        <row r="5384">
          <cell r="C5384" t="str">
            <v>推广订单扣款</v>
          </cell>
        </row>
        <row r="5384">
          <cell r="H5384" t="str">
            <v>文昌店</v>
          </cell>
          <cell r="I5384">
            <v>46074</v>
          </cell>
          <cell r="J5384">
            <v>-125.44</v>
          </cell>
        </row>
        <row r="5385">
          <cell r="C5385" t="str">
            <v>推广账户自动充值</v>
          </cell>
        </row>
        <row r="5385">
          <cell r="H5385" t="str">
            <v>下沙店</v>
          </cell>
          <cell r="I5385">
            <v>46074</v>
          </cell>
          <cell r="J5385">
            <v>100</v>
          </cell>
        </row>
        <row r="5386">
          <cell r="C5386" t="str">
            <v>推广账户自动充值</v>
          </cell>
        </row>
        <row r="5386">
          <cell r="H5386" t="str">
            <v>百捷店</v>
          </cell>
          <cell r="I5386">
            <v>46074</v>
          </cell>
          <cell r="J5386">
            <v>200</v>
          </cell>
        </row>
        <row r="5387">
          <cell r="C5387" t="str">
            <v>推广账户自动充值</v>
          </cell>
        </row>
        <row r="5387">
          <cell r="H5387" t="str">
            <v>华信店</v>
          </cell>
          <cell r="I5387">
            <v>46074</v>
          </cell>
          <cell r="J5387">
            <v>200</v>
          </cell>
        </row>
        <row r="5388">
          <cell r="C5388" t="str">
            <v>推广账户自动充值</v>
          </cell>
        </row>
        <row r="5388">
          <cell r="H5388" t="str">
            <v>槐荫店</v>
          </cell>
          <cell r="I5388">
            <v>46074</v>
          </cell>
          <cell r="J5388">
            <v>200</v>
          </cell>
        </row>
        <row r="5389">
          <cell r="C5389" t="str">
            <v>推广账户自动充值</v>
          </cell>
        </row>
        <row r="5389">
          <cell r="H5389" t="str">
            <v>文昌店</v>
          </cell>
          <cell r="I5389">
            <v>46074</v>
          </cell>
          <cell r="J5389">
            <v>200</v>
          </cell>
        </row>
        <row r="5390">
          <cell r="C5390" t="str">
            <v>推广账户自动充值</v>
          </cell>
        </row>
        <row r="5390">
          <cell r="H5390" t="str">
            <v>济南店</v>
          </cell>
          <cell r="I5390">
            <v>46074</v>
          </cell>
          <cell r="J5390">
            <v>200</v>
          </cell>
        </row>
        <row r="5391">
          <cell r="C5391" t="str">
            <v>推广账户自动充值</v>
          </cell>
        </row>
        <row r="5391">
          <cell r="H5391" t="str">
            <v>首山店</v>
          </cell>
          <cell r="I5391">
            <v>46074</v>
          </cell>
          <cell r="J5391">
            <v>200</v>
          </cell>
        </row>
        <row r="5392">
          <cell r="C5392" t="str">
            <v>推广账户自动充值</v>
          </cell>
        </row>
        <row r="5392">
          <cell r="H5392" t="str">
            <v>西山店</v>
          </cell>
          <cell r="I5392">
            <v>46074</v>
          </cell>
          <cell r="J5392">
            <v>200</v>
          </cell>
        </row>
        <row r="5393">
          <cell r="C5393" t="str">
            <v>推广账户自动充值</v>
          </cell>
        </row>
        <row r="5393">
          <cell r="H5393" t="str">
            <v>诚毅店</v>
          </cell>
          <cell r="I5393">
            <v>46074</v>
          </cell>
          <cell r="J5393">
            <v>200</v>
          </cell>
        </row>
        <row r="5394">
          <cell r="C5394" t="str">
            <v>推广账户自动充值</v>
          </cell>
        </row>
        <row r="5394">
          <cell r="H5394" t="str">
            <v>观音桥店</v>
          </cell>
          <cell r="I5394">
            <v>46074</v>
          </cell>
          <cell r="J5394">
            <v>200</v>
          </cell>
        </row>
        <row r="5395">
          <cell r="C5395" t="str">
            <v>推广账户自动充值</v>
          </cell>
        </row>
        <row r="5395">
          <cell r="H5395" t="str">
            <v>首南店</v>
          </cell>
          <cell r="I5395">
            <v>46074</v>
          </cell>
          <cell r="J5395">
            <v>200</v>
          </cell>
        </row>
        <row r="5396">
          <cell r="C5396" t="str">
            <v>推广账户自动充值</v>
          </cell>
        </row>
        <row r="5396">
          <cell r="H5396" t="str">
            <v>下沙店</v>
          </cell>
          <cell r="I5396">
            <v>46074</v>
          </cell>
          <cell r="J5396">
            <v>100</v>
          </cell>
        </row>
        <row r="5397">
          <cell r="C5397" t="str">
            <v>推广账户自动充值</v>
          </cell>
        </row>
        <row r="5397">
          <cell r="H5397" t="str">
            <v>文灶店</v>
          </cell>
          <cell r="I5397">
            <v>46074</v>
          </cell>
          <cell r="J5397">
            <v>200</v>
          </cell>
        </row>
        <row r="5398">
          <cell r="C5398" t="str">
            <v>推广账户自动充值</v>
          </cell>
        </row>
        <row r="5398">
          <cell r="H5398" t="str">
            <v>黄雁村店</v>
          </cell>
          <cell r="I5398">
            <v>46074</v>
          </cell>
          <cell r="J5398">
            <v>200</v>
          </cell>
        </row>
        <row r="5399">
          <cell r="C5399" t="str">
            <v>推广账户自动充值</v>
          </cell>
        </row>
        <row r="5399">
          <cell r="H5399" t="str">
            <v>五路口店</v>
          </cell>
          <cell r="I5399">
            <v>46074</v>
          </cell>
          <cell r="J5399">
            <v>200</v>
          </cell>
        </row>
        <row r="5400">
          <cell r="C5400" t="str">
            <v>推广账户自动充值</v>
          </cell>
        </row>
        <row r="5400">
          <cell r="H5400" t="str">
            <v>官渡店</v>
          </cell>
          <cell r="I5400">
            <v>46074</v>
          </cell>
          <cell r="J5400">
            <v>200</v>
          </cell>
        </row>
        <row r="5401">
          <cell r="C5401" t="str">
            <v>推广账户自动充值</v>
          </cell>
        </row>
        <row r="5401">
          <cell r="H5401" t="str">
            <v>东海店</v>
          </cell>
          <cell r="I5401">
            <v>46074</v>
          </cell>
          <cell r="J5401">
            <v>200</v>
          </cell>
        </row>
        <row r="5402">
          <cell r="C5402" t="str">
            <v>推广订单扣款</v>
          </cell>
        </row>
        <row r="5402">
          <cell r="H5402" t="str">
            <v>济南店</v>
          </cell>
          <cell r="I5402">
            <v>46075</v>
          </cell>
          <cell r="J5402">
            <v>-180</v>
          </cell>
        </row>
        <row r="5403">
          <cell r="C5403" t="str">
            <v>推广订单扣款</v>
          </cell>
        </row>
        <row r="5403">
          <cell r="H5403" t="str">
            <v>首山店</v>
          </cell>
          <cell r="I5403">
            <v>46075</v>
          </cell>
          <cell r="J5403">
            <v>-200</v>
          </cell>
        </row>
        <row r="5404">
          <cell r="C5404" t="str">
            <v>推广订单扣款</v>
          </cell>
        </row>
        <row r="5404">
          <cell r="H5404" t="str">
            <v>鼓楼店</v>
          </cell>
          <cell r="I5404">
            <v>46075</v>
          </cell>
          <cell r="J5404">
            <v>-26.96</v>
          </cell>
        </row>
        <row r="5405">
          <cell r="C5405" t="str">
            <v>推广订单扣款</v>
          </cell>
        </row>
        <row r="5405">
          <cell r="H5405" t="str">
            <v>西湖店</v>
          </cell>
          <cell r="I5405">
            <v>46075</v>
          </cell>
          <cell r="J5405">
            <v>-100</v>
          </cell>
        </row>
        <row r="5406">
          <cell r="C5406" t="str">
            <v>推广订单扣款</v>
          </cell>
        </row>
        <row r="5406">
          <cell r="H5406" t="str">
            <v>大坪店</v>
          </cell>
          <cell r="I5406">
            <v>46075</v>
          </cell>
          <cell r="J5406">
            <v>-114.36</v>
          </cell>
        </row>
        <row r="5407">
          <cell r="C5407" t="str">
            <v>推广订单扣款</v>
          </cell>
        </row>
        <row r="5407">
          <cell r="H5407" t="str">
            <v>长沙店</v>
          </cell>
          <cell r="I5407">
            <v>46075</v>
          </cell>
          <cell r="J5407">
            <v>-64.4</v>
          </cell>
        </row>
        <row r="5408">
          <cell r="C5408" t="str">
            <v>推广订单扣款</v>
          </cell>
        </row>
        <row r="5408">
          <cell r="H5408" t="str">
            <v>五路口店</v>
          </cell>
          <cell r="I5408">
            <v>46075</v>
          </cell>
          <cell r="J5408">
            <v>-196.92</v>
          </cell>
        </row>
        <row r="5409">
          <cell r="C5409" t="str">
            <v>推广订单扣款</v>
          </cell>
        </row>
        <row r="5409">
          <cell r="H5409" t="str">
            <v>百丈店</v>
          </cell>
          <cell r="I5409">
            <v>46075</v>
          </cell>
          <cell r="J5409">
            <v>-80.41</v>
          </cell>
        </row>
        <row r="5410">
          <cell r="C5410" t="str">
            <v>推广订单扣款</v>
          </cell>
        </row>
        <row r="5410">
          <cell r="H5410" t="str">
            <v>观音桥店</v>
          </cell>
          <cell r="I5410">
            <v>46075</v>
          </cell>
          <cell r="J5410">
            <v>-146.27</v>
          </cell>
        </row>
        <row r="5411">
          <cell r="C5411" t="str">
            <v>推广订单扣款</v>
          </cell>
        </row>
        <row r="5411">
          <cell r="H5411" t="str">
            <v>五华店</v>
          </cell>
          <cell r="I5411">
            <v>46075</v>
          </cell>
          <cell r="J5411">
            <v>-55.65</v>
          </cell>
        </row>
        <row r="5412">
          <cell r="C5412" t="str">
            <v>推广订单扣款</v>
          </cell>
        </row>
        <row r="5412">
          <cell r="H5412" t="str">
            <v>海口店</v>
          </cell>
          <cell r="I5412">
            <v>46075</v>
          </cell>
          <cell r="J5412">
            <v>-300</v>
          </cell>
        </row>
        <row r="5413">
          <cell r="C5413" t="str">
            <v>推广订单扣款</v>
          </cell>
        </row>
        <row r="5413">
          <cell r="H5413" t="str">
            <v>高新店</v>
          </cell>
          <cell r="I5413">
            <v>46075</v>
          </cell>
          <cell r="J5413">
            <v>-20.47</v>
          </cell>
        </row>
        <row r="5414">
          <cell r="C5414" t="str">
            <v>推广订单扣款</v>
          </cell>
        </row>
        <row r="5414">
          <cell r="H5414" t="str">
            <v>沙坪坝店</v>
          </cell>
          <cell r="I5414">
            <v>46075</v>
          </cell>
          <cell r="J5414">
            <v>-85.94</v>
          </cell>
        </row>
        <row r="5415">
          <cell r="C5415" t="str">
            <v>推广订单扣款</v>
          </cell>
        </row>
        <row r="5415">
          <cell r="H5415" t="str">
            <v>西山店</v>
          </cell>
          <cell r="I5415">
            <v>46075</v>
          </cell>
          <cell r="J5415">
            <v>-100</v>
          </cell>
        </row>
        <row r="5416">
          <cell r="C5416" t="str">
            <v>推广订单扣款</v>
          </cell>
        </row>
        <row r="5416">
          <cell r="H5416" t="str">
            <v>华信店</v>
          </cell>
          <cell r="I5416">
            <v>46075</v>
          </cell>
          <cell r="J5416">
            <v>-200</v>
          </cell>
        </row>
        <row r="5417">
          <cell r="C5417" t="str">
            <v>推广订单扣款</v>
          </cell>
        </row>
        <row r="5417">
          <cell r="H5417" t="str">
            <v>湖里店</v>
          </cell>
          <cell r="I5417">
            <v>46075</v>
          </cell>
          <cell r="J5417">
            <v>-15.2</v>
          </cell>
        </row>
        <row r="5418">
          <cell r="C5418" t="str">
            <v>推广订单扣款</v>
          </cell>
        </row>
        <row r="5418">
          <cell r="H5418" t="str">
            <v>武侯店</v>
          </cell>
          <cell r="I5418">
            <v>46075</v>
          </cell>
          <cell r="J5418">
            <v>-47.93</v>
          </cell>
        </row>
        <row r="5419">
          <cell r="C5419" t="str">
            <v>推广订单扣款</v>
          </cell>
        </row>
        <row r="5419">
          <cell r="H5419" t="str">
            <v>槐荫店</v>
          </cell>
          <cell r="I5419">
            <v>46075</v>
          </cell>
          <cell r="J5419">
            <v>-200</v>
          </cell>
        </row>
        <row r="5420">
          <cell r="C5420" t="str">
            <v>推广订单扣款</v>
          </cell>
        </row>
        <row r="5420">
          <cell r="H5420" t="str">
            <v>青羊店</v>
          </cell>
          <cell r="I5420">
            <v>46075</v>
          </cell>
          <cell r="J5420">
            <v>-98.75</v>
          </cell>
        </row>
        <row r="5421">
          <cell r="C5421" t="str">
            <v>推广订单扣款</v>
          </cell>
        </row>
        <row r="5421">
          <cell r="H5421" t="str">
            <v>官渡店</v>
          </cell>
          <cell r="I5421">
            <v>46075</v>
          </cell>
          <cell r="J5421">
            <v>-159.54</v>
          </cell>
        </row>
        <row r="5422">
          <cell r="C5422" t="str">
            <v>推广订单扣款</v>
          </cell>
        </row>
        <row r="5422">
          <cell r="H5422" t="str">
            <v>东海店</v>
          </cell>
          <cell r="I5422">
            <v>46075</v>
          </cell>
          <cell r="J5422">
            <v>-65.83</v>
          </cell>
        </row>
        <row r="5423">
          <cell r="C5423" t="str">
            <v>推广订单扣款</v>
          </cell>
        </row>
        <row r="5423">
          <cell r="H5423" t="str">
            <v>首南店</v>
          </cell>
          <cell r="I5423">
            <v>46075</v>
          </cell>
          <cell r="J5423">
            <v>-123.37</v>
          </cell>
        </row>
        <row r="5424">
          <cell r="C5424" t="str">
            <v>推广订单扣款</v>
          </cell>
        </row>
        <row r="5424">
          <cell r="H5424" t="str">
            <v>文灶店</v>
          </cell>
          <cell r="I5424">
            <v>46075</v>
          </cell>
          <cell r="J5424">
            <v>-133.12</v>
          </cell>
        </row>
        <row r="5425">
          <cell r="C5425" t="str">
            <v>推广订单扣款</v>
          </cell>
        </row>
        <row r="5425">
          <cell r="H5425" t="str">
            <v>百捷店</v>
          </cell>
          <cell r="I5425">
            <v>46075</v>
          </cell>
          <cell r="J5425">
            <v>-182.07</v>
          </cell>
        </row>
        <row r="5426">
          <cell r="C5426" t="str">
            <v>推广订单扣款</v>
          </cell>
        </row>
        <row r="5426">
          <cell r="H5426" t="str">
            <v>下沙店</v>
          </cell>
          <cell r="I5426">
            <v>46075</v>
          </cell>
          <cell r="J5426">
            <v>-135.66</v>
          </cell>
        </row>
        <row r="5427">
          <cell r="C5427" t="str">
            <v>推广订单扣款</v>
          </cell>
        </row>
        <row r="5427">
          <cell r="H5427" t="str">
            <v>凤城二路店</v>
          </cell>
          <cell r="I5427">
            <v>46075</v>
          </cell>
          <cell r="J5427">
            <v>-148.29</v>
          </cell>
        </row>
        <row r="5428">
          <cell r="C5428" t="str">
            <v>推广订单扣款</v>
          </cell>
        </row>
        <row r="5428">
          <cell r="H5428" t="str">
            <v>黄雁村店</v>
          </cell>
          <cell r="I5428">
            <v>46075</v>
          </cell>
          <cell r="J5428">
            <v>-200</v>
          </cell>
        </row>
        <row r="5429">
          <cell r="C5429" t="str">
            <v>推广订单扣款</v>
          </cell>
        </row>
        <row r="5429">
          <cell r="H5429" t="str">
            <v>诚毅店</v>
          </cell>
          <cell r="I5429">
            <v>46075</v>
          </cell>
          <cell r="J5429">
            <v>-135.04</v>
          </cell>
        </row>
        <row r="5430">
          <cell r="C5430" t="str">
            <v>推广订单扣款</v>
          </cell>
        </row>
        <row r="5430">
          <cell r="H5430" t="str">
            <v>观桥店</v>
          </cell>
          <cell r="I5430">
            <v>46075</v>
          </cell>
          <cell r="J5430">
            <v>-144.56</v>
          </cell>
        </row>
        <row r="5431">
          <cell r="C5431" t="str">
            <v>推广订单扣款</v>
          </cell>
        </row>
        <row r="5431">
          <cell r="H5431" t="str">
            <v>文昌店</v>
          </cell>
          <cell r="I5431">
            <v>46075</v>
          </cell>
          <cell r="J5431">
            <v>-61.07</v>
          </cell>
        </row>
        <row r="5432">
          <cell r="C5432" t="str">
            <v>推广账户自动充值</v>
          </cell>
        </row>
        <row r="5432">
          <cell r="H5432" t="str">
            <v>观桥店</v>
          </cell>
          <cell r="I5432">
            <v>46075</v>
          </cell>
          <cell r="J5432">
            <v>200</v>
          </cell>
        </row>
        <row r="5433">
          <cell r="C5433" t="str">
            <v>推广账户自动充值</v>
          </cell>
        </row>
        <row r="5433">
          <cell r="H5433" t="str">
            <v>湖里店</v>
          </cell>
          <cell r="I5433">
            <v>46075</v>
          </cell>
          <cell r="J5433">
            <v>200</v>
          </cell>
        </row>
        <row r="5434">
          <cell r="C5434" t="str">
            <v>推广账户自动充值</v>
          </cell>
        </row>
        <row r="5434">
          <cell r="H5434" t="str">
            <v>泉秀店</v>
          </cell>
          <cell r="I5434">
            <v>46075</v>
          </cell>
          <cell r="J5434">
            <v>200</v>
          </cell>
        </row>
        <row r="5435">
          <cell r="C5435" t="str">
            <v>推广账户自动充值</v>
          </cell>
        </row>
        <row r="5435">
          <cell r="H5435" t="str">
            <v>凤城二路店</v>
          </cell>
          <cell r="I5435">
            <v>46075</v>
          </cell>
          <cell r="J5435">
            <v>200</v>
          </cell>
        </row>
        <row r="5436">
          <cell r="C5436" t="str">
            <v>推广账户自动充值</v>
          </cell>
        </row>
        <row r="5436">
          <cell r="H5436" t="str">
            <v>高新店</v>
          </cell>
          <cell r="I5436">
            <v>46075</v>
          </cell>
          <cell r="J5436">
            <v>200</v>
          </cell>
        </row>
        <row r="5437">
          <cell r="C5437" t="str">
            <v>推广账户自动充值</v>
          </cell>
        </row>
        <row r="5437">
          <cell r="H5437" t="str">
            <v>长沙店</v>
          </cell>
          <cell r="I5437">
            <v>46075</v>
          </cell>
          <cell r="J5437">
            <v>200</v>
          </cell>
        </row>
        <row r="5438">
          <cell r="C5438" t="str">
            <v>推广账户自动充值</v>
          </cell>
        </row>
        <row r="5438">
          <cell r="H5438" t="str">
            <v>大坪店</v>
          </cell>
          <cell r="I5438">
            <v>46075</v>
          </cell>
          <cell r="J5438">
            <v>200</v>
          </cell>
        </row>
        <row r="5439">
          <cell r="C5439" t="str">
            <v>推广账户自动充值</v>
          </cell>
        </row>
        <row r="5439">
          <cell r="H5439" t="str">
            <v>华信店</v>
          </cell>
          <cell r="I5439">
            <v>46075</v>
          </cell>
          <cell r="J5439">
            <v>200</v>
          </cell>
        </row>
        <row r="5440">
          <cell r="C5440" t="str">
            <v>推广账户自动充值</v>
          </cell>
        </row>
        <row r="5440">
          <cell r="H5440" t="str">
            <v>诚毅店</v>
          </cell>
          <cell r="I5440">
            <v>46075</v>
          </cell>
          <cell r="J5440">
            <v>200</v>
          </cell>
        </row>
        <row r="5441">
          <cell r="C5441" t="str">
            <v>推广账户自动充值</v>
          </cell>
        </row>
        <row r="5441">
          <cell r="H5441" t="str">
            <v>济南店</v>
          </cell>
          <cell r="I5441">
            <v>46075</v>
          </cell>
          <cell r="J5441">
            <v>200</v>
          </cell>
        </row>
        <row r="5442">
          <cell r="C5442" t="str">
            <v>推广账户自动充值</v>
          </cell>
        </row>
        <row r="5442">
          <cell r="H5442" t="str">
            <v>五路口店</v>
          </cell>
          <cell r="I5442">
            <v>46075</v>
          </cell>
          <cell r="J5442">
            <v>200</v>
          </cell>
        </row>
        <row r="5443">
          <cell r="C5443" t="str">
            <v>推广账户自动充值</v>
          </cell>
        </row>
        <row r="5443">
          <cell r="H5443" t="str">
            <v>青羊店</v>
          </cell>
          <cell r="I5443">
            <v>46075</v>
          </cell>
          <cell r="J5443">
            <v>200</v>
          </cell>
        </row>
        <row r="5444">
          <cell r="C5444" t="str">
            <v>推广账户自动充值</v>
          </cell>
        </row>
        <row r="5444">
          <cell r="H5444" t="str">
            <v>西湖店</v>
          </cell>
          <cell r="I5444">
            <v>46075</v>
          </cell>
          <cell r="J5444">
            <v>200</v>
          </cell>
        </row>
        <row r="5445">
          <cell r="C5445" t="str">
            <v>推广账户自动充值</v>
          </cell>
        </row>
        <row r="5445">
          <cell r="H5445" t="str">
            <v>槐荫店</v>
          </cell>
          <cell r="I5445">
            <v>46075</v>
          </cell>
          <cell r="J5445">
            <v>200</v>
          </cell>
        </row>
        <row r="5446">
          <cell r="C5446" t="str">
            <v>推广账户自动充值</v>
          </cell>
        </row>
        <row r="5446">
          <cell r="H5446" t="str">
            <v>百丈店</v>
          </cell>
          <cell r="I5446">
            <v>46075</v>
          </cell>
          <cell r="J5446">
            <v>200</v>
          </cell>
        </row>
        <row r="5447">
          <cell r="C5447" t="str">
            <v>推广账户自动充值</v>
          </cell>
        </row>
        <row r="5447">
          <cell r="H5447" t="str">
            <v>下沙店</v>
          </cell>
          <cell r="I5447">
            <v>46075</v>
          </cell>
          <cell r="J5447">
            <v>100</v>
          </cell>
        </row>
        <row r="5448">
          <cell r="C5448" t="str">
            <v>推广账户自动充值</v>
          </cell>
        </row>
        <row r="5448">
          <cell r="H5448" t="str">
            <v>首山店</v>
          </cell>
          <cell r="I5448">
            <v>46075</v>
          </cell>
          <cell r="J5448">
            <v>200</v>
          </cell>
        </row>
        <row r="5449">
          <cell r="C5449" t="str">
            <v>推广账户自动充值</v>
          </cell>
        </row>
        <row r="5449">
          <cell r="H5449" t="str">
            <v>黄雁村店</v>
          </cell>
          <cell r="I5449">
            <v>46075</v>
          </cell>
          <cell r="J5449">
            <v>200</v>
          </cell>
        </row>
        <row r="5450">
          <cell r="C5450" t="str">
            <v>推广账户自动充值</v>
          </cell>
        </row>
        <row r="5450">
          <cell r="H5450" t="str">
            <v>沙坪坝店</v>
          </cell>
          <cell r="I5450">
            <v>46075</v>
          </cell>
          <cell r="J5450">
            <v>200</v>
          </cell>
        </row>
        <row r="5451">
          <cell r="C5451" t="str">
            <v>推广账户自动充值</v>
          </cell>
        </row>
        <row r="5451">
          <cell r="H5451" t="str">
            <v>百捷店</v>
          </cell>
          <cell r="I5451">
            <v>46075</v>
          </cell>
          <cell r="J5451">
            <v>200</v>
          </cell>
        </row>
        <row r="5452">
          <cell r="C5452" t="str">
            <v>推广账户自动充值</v>
          </cell>
        </row>
        <row r="5452">
          <cell r="H5452" t="str">
            <v>泉秀店</v>
          </cell>
          <cell r="I5452">
            <v>46075</v>
          </cell>
          <cell r="J5452">
            <v>200</v>
          </cell>
        </row>
        <row r="5453">
          <cell r="C5453" t="str">
            <v>推广账户自动充值</v>
          </cell>
        </row>
        <row r="5453">
          <cell r="H5453" t="str">
            <v>五华店</v>
          </cell>
          <cell r="I5453">
            <v>46075</v>
          </cell>
          <cell r="J5453">
            <v>200</v>
          </cell>
        </row>
        <row r="5454">
          <cell r="C5454" t="str">
            <v>推广账户自动充值</v>
          </cell>
        </row>
        <row r="5454">
          <cell r="H5454" t="str">
            <v>官渡店</v>
          </cell>
          <cell r="I5454">
            <v>46075</v>
          </cell>
          <cell r="J5454">
            <v>200</v>
          </cell>
        </row>
        <row r="5455">
          <cell r="C5455" t="str">
            <v>推广账户自动充值</v>
          </cell>
        </row>
        <row r="5455">
          <cell r="H5455" t="str">
            <v>观音桥店</v>
          </cell>
          <cell r="I5455">
            <v>46075</v>
          </cell>
          <cell r="J5455">
            <v>200</v>
          </cell>
        </row>
        <row r="5456">
          <cell r="C5456" t="str">
            <v>推广账户自动充值</v>
          </cell>
        </row>
        <row r="5456">
          <cell r="H5456" t="str">
            <v>首南店</v>
          </cell>
          <cell r="I5456">
            <v>46075</v>
          </cell>
          <cell r="J5456">
            <v>200</v>
          </cell>
        </row>
        <row r="5457">
          <cell r="C5457" t="str">
            <v>推广账户自动充值</v>
          </cell>
        </row>
        <row r="5457">
          <cell r="H5457" t="str">
            <v>文灶店</v>
          </cell>
          <cell r="I5457">
            <v>46075</v>
          </cell>
          <cell r="J5457">
            <v>200</v>
          </cell>
        </row>
        <row r="5458">
          <cell r="C5458" t="str">
            <v>推广账户自动充值</v>
          </cell>
        </row>
        <row r="5458">
          <cell r="H5458" t="str">
            <v>武侯店</v>
          </cell>
          <cell r="I5458">
            <v>46075</v>
          </cell>
          <cell r="J5458">
            <v>200</v>
          </cell>
        </row>
        <row r="5459">
          <cell r="C5459" t="str">
            <v>推广账户自动充值</v>
          </cell>
        </row>
        <row r="5459">
          <cell r="H5459" t="str">
            <v>大坪店</v>
          </cell>
          <cell r="I5459">
            <v>46075</v>
          </cell>
          <cell r="J5459">
            <v>200</v>
          </cell>
        </row>
        <row r="5460">
          <cell r="C5460" t="str">
            <v>推广订单扣款</v>
          </cell>
        </row>
        <row r="5460">
          <cell r="H5460" t="str">
            <v>华信店</v>
          </cell>
          <cell r="I5460">
            <v>46076</v>
          </cell>
          <cell r="J5460">
            <v>-200</v>
          </cell>
        </row>
        <row r="5461">
          <cell r="C5461" t="str">
            <v>推广订单扣款</v>
          </cell>
        </row>
        <row r="5461">
          <cell r="H5461" t="str">
            <v>槐荫店</v>
          </cell>
          <cell r="I5461">
            <v>46076</v>
          </cell>
          <cell r="J5461">
            <v>-200</v>
          </cell>
        </row>
        <row r="5462">
          <cell r="C5462" t="str">
            <v>推广账户自动充值</v>
          </cell>
        </row>
        <row r="5462">
          <cell r="H5462" t="str">
            <v>华信店</v>
          </cell>
          <cell r="I5462">
            <v>46076</v>
          </cell>
          <cell r="J5462">
            <v>200</v>
          </cell>
        </row>
        <row r="5463">
          <cell r="C5463" t="str">
            <v>推广订单扣款</v>
          </cell>
        </row>
        <row r="5463">
          <cell r="H5463" t="str">
            <v>湖里店</v>
          </cell>
          <cell r="I5463">
            <v>46076</v>
          </cell>
          <cell r="J5463">
            <v>-153.02</v>
          </cell>
        </row>
        <row r="5464">
          <cell r="C5464" t="str">
            <v>推广订单扣款</v>
          </cell>
        </row>
        <row r="5464">
          <cell r="H5464" t="str">
            <v>泉秀店</v>
          </cell>
          <cell r="I5464">
            <v>46076</v>
          </cell>
          <cell r="J5464">
            <v>-292.34</v>
          </cell>
        </row>
        <row r="5465">
          <cell r="C5465" t="str">
            <v>推广订单扣款</v>
          </cell>
        </row>
        <row r="5465">
          <cell r="H5465" t="str">
            <v>高新店</v>
          </cell>
          <cell r="I5465">
            <v>46076</v>
          </cell>
          <cell r="J5465">
            <v>-109.49</v>
          </cell>
        </row>
        <row r="5466">
          <cell r="C5466" t="str">
            <v>推广订单扣款</v>
          </cell>
        </row>
        <row r="5466">
          <cell r="H5466" t="str">
            <v>西山店</v>
          </cell>
          <cell r="I5466">
            <v>46076</v>
          </cell>
          <cell r="J5466">
            <v>-100</v>
          </cell>
        </row>
        <row r="5467">
          <cell r="C5467" t="str">
            <v>推广订单扣款</v>
          </cell>
        </row>
        <row r="5467">
          <cell r="H5467" t="str">
            <v>沙坪坝店</v>
          </cell>
          <cell r="I5467">
            <v>46076</v>
          </cell>
          <cell r="J5467">
            <v>-179.04</v>
          </cell>
        </row>
        <row r="5468">
          <cell r="C5468" t="str">
            <v>推广账户自动充值</v>
          </cell>
        </row>
        <row r="5468">
          <cell r="H5468" t="str">
            <v>凤城二路店</v>
          </cell>
          <cell r="I5468">
            <v>46076</v>
          </cell>
          <cell r="J5468">
            <v>200</v>
          </cell>
        </row>
        <row r="5469">
          <cell r="C5469" t="str">
            <v>推广订单扣款</v>
          </cell>
        </row>
        <row r="5469">
          <cell r="H5469" t="str">
            <v>凤城二路店</v>
          </cell>
          <cell r="I5469">
            <v>46076</v>
          </cell>
          <cell r="J5469">
            <v>-200</v>
          </cell>
        </row>
        <row r="5470">
          <cell r="C5470" t="str">
            <v>推广订单扣款</v>
          </cell>
        </row>
        <row r="5470">
          <cell r="H5470" t="str">
            <v>大坪店</v>
          </cell>
          <cell r="I5470">
            <v>46076</v>
          </cell>
          <cell r="J5470">
            <v>-200</v>
          </cell>
        </row>
        <row r="5471">
          <cell r="C5471" t="str">
            <v>推广订单扣款</v>
          </cell>
        </row>
        <row r="5471">
          <cell r="H5471" t="str">
            <v>五华店</v>
          </cell>
          <cell r="I5471">
            <v>46076</v>
          </cell>
          <cell r="J5471">
            <v>-150.42</v>
          </cell>
        </row>
        <row r="5472">
          <cell r="C5472" t="str">
            <v>推广订单扣款</v>
          </cell>
        </row>
        <row r="5472">
          <cell r="H5472" t="str">
            <v>官渡店</v>
          </cell>
          <cell r="I5472">
            <v>46076</v>
          </cell>
          <cell r="J5472">
            <v>-200</v>
          </cell>
        </row>
        <row r="5473">
          <cell r="C5473" t="str">
            <v>推广订单扣款</v>
          </cell>
        </row>
        <row r="5473">
          <cell r="H5473" t="str">
            <v>百捷店</v>
          </cell>
          <cell r="I5473">
            <v>46076</v>
          </cell>
          <cell r="J5473">
            <v>-124.05</v>
          </cell>
        </row>
        <row r="5474">
          <cell r="C5474" t="str">
            <v>推广订单扣款</v>
          </cell>
        </row>
        <row r="5474">
          <cell r="H5474" t="str">
            <v>济南店</v>
          </cell>
          <cell r="I5474">
            <v>46076</v>
          </cell>
          <cell r="J5474">
            <v>-180</v>
          </cell>
        </row>
        <row r="5475">
          <cell r="C5475" t="str">
            <v>推广订单扣款</v>
          </cell>
        </row>
        <row r="5475">
          <cell r="H5475" t="str">
            <v>观音桥店</v>
          </cell>
          <cell r="I5475">
            <v>46076</v>
          </cell>
          <cell r="J5475">
            <v>-198.51</v>
          </cell>
        </row>
        <row r="5476">
          <cell r="C5476" t="str">
            <v>推广订单扣款</v>
          </cell>
        </row>
        <row r="5476">
          <cell r="H5476" t="str">
            <v>长沙店</v>
          </cell>
          <cell r="I5476">
            <v>46076</v>
          </cell>
          <cell r="J5476">
            <v>-85.52</v>
          </cell>
        </row>
        <row r="5477">
          <cell r="C5477" t="str">
            <v>推广订单扣款</v>
          </cell>
        </row>
        <row r="5477">
          <cell r="H5477" t="str">
            <v>洛江店</v>
          </cell>
          <cell r="I5477">
            <v>46076</v>
          </cell>
          <cell r="J5477">
            <v>-133.61</v>
          </cell>
        </row>
        <row r="5478">
          <cell r="C5478" t="str">
            <v>推广订单扣款</v>
          </cell>
        </row>
        <row r="5478">
          <cell r="H5478" t="str">
            <v>五路口店</v>
          </cell>
          <cell r="I5478">
            <v>46076</v>
          </cell>
          <cell r="J5478">
            <v>-200</v>
          </cell>
        </row>
        <row r="5479">
          <cell r="C5479" t="str">
            <v>推广订单扣款</v>
          </cell>
        </row>
        <row r="5479">
          <cell r="H5479" t="str">
            <v>青羊店</v>
          </cell>
          <cell r="I5479">
            <v>46076</v>
          </cell>
          <cell r="J5479">
            <v>-131.29</v>
          </cell>
        </row>
        <row r="5480">
          <cell r="C5480" t="str">
            <v>推广订单扣款</v>
          </cell>
        </row>
        <row r="5480">
          <cell r="H5480" t="str">
            <v>武侯店</v>
          </cell>
          <cell r="I5480">
            <v>46076</v>
          </cell>
          <cell r="J5480">
            <v>-155.1</v>
          </cell>
        </row>
        <row r="5481">
          <cell r="C5481" t="str">
            <v>推广订单扣款</v>
          </cell>
        </row>
        <row r="5481">
          <cell r="H5481" t="str">
            <v>鼓楼店</v>
          </cell>
          <cell r="I5481">
            <v>46076</v>
          </cell>
          <cell r="J5481">
            <v>-107.73</v>
          </cell>
        </row>
        <row r="5482">
          <cell r="C5482" t="str">
            <v>推广订单扣款</v>
          </cell>
        </row>
        <row r="5482">
          <cell r="H5482" t="str">
            <v>黄雁村店</v>
          </cell>
          <cell r="I5482">
            <v>46076</v>
          </cell>
          <cell r="J5482">
            <v>-200</v>
          </cell>
        </row>
        <row r="5483">
          <cell r="C5483" t="str">
            <v>推广订单扣款</v>
          </cell>
        </row>
        <row r="5483">
          <cell r="H5483" t="str">
            <v>西湖店</v>
          </cell>
          <cell r="I5483">
            <v>46076</v>
          </cell>
          <cell r="J5483">
            <v>-100</v>
          </cell>
        </row>
        <row r="5484">
          <cell r="C5484" t="str">
            <v>推广订单扣款</v>
          </cell>
        </row>
        <row r="5484">
          <cell r="H5484" t="str">
            <v>百丈店</v>
          </cell>
          <cell r="I5484">
            <v>46076</v>
          </cell>
          <cell r="J5484">
            <v>-125.64</v>
          </cell>
        </row>
        <row r="5485">
          <cell r="C5485" t="str">
            <v>推广订单扣款</v>
          </cell>
        </row>
        <row r="5485">
          <cell r="H5485" t="str">
            <v>文昌店</v>
          </cell>
          <cell r="I5485">
            <v>46076</v>
          </cell>
          <cell r="J5485">
            <v>-137.36</v>
          </cell>
        </row>
        <row r="5486">
          <cell r="C5486" t="str">
            <v>推广账户自动充值</v>
          </cell>
        </row>
        <row r="5486">
          <cell r="H5486" t="str">
            <v>观桥店</v>
          </cell>
          <cell r="I5486">
            <v>46076</v>
          </cell>
          <cell r="J5486">
            <v>200</v>
          </cell>
        </row>
        <row r="5487">
          <cell r="C5487" t="str">
            <v>推广订单扣款</v>
          </cell>
        </row>
        <row r="5487">
          <cell r="H5487" t="str">
            <v>观桥店</v>
          </cell>
          <cell r="I5487">
            <v>46076</v>
          </cell>
          <cell r="J5487">
            <v>-200</v>
          </cell>
        </row>
        <row r="5488">
          <cell r="C5488" t="str">
            <v>推广订单扣款</v>
          </cell>
        </row>
        <row r="5488">
          <cell r="H5488" t="str">
            <v>海口店</v>
          </cell>
          <cell r="I5488">
            <v>46076</v>
          </cell>
          <cell r="J5488">
            <v>-300</v>
          </cell>
        </row>
        <row r="5489">
          <cell r="C5489" t="str">
            <v>推广订单扣款</v>
          </cell>
        </row>
        <row r="5489">
          <cell r="H5489" t="str">
            <v>诚毅店</v>
          </cell>
          <cell r="I5489">
            <v>46076</v>
          </cell>
          <cell r="J5489">
            <v>-175.52</v>
          </cell>
        </row>
        <row r="5490">
          <cell r="C5490" t="str">
            <v>推广订单扣款</v>
          </cell>
        </row>
        <row r="5490">
          <cell r="H5490" t="str">
            <v>首山店</v>
          </cell>
          <cell r="I5490">
            <v>46076</v>
          </cell>
          <cell r="J5490">
            <v>-200</v>
          </cell>
        </row>
        <row r="5491">
          <cell r="C5491" t="str">
            <v>推广订单扣款</v>
          </cell>
        </row>
        <row r="5491">
          <cell r="H5491" t="str">
            <v>首南店</v>
          </cell>
          <cell r="I5491">
            <v>46076</v>
          </cell>
          <cell r="J5491">
            <v>-200</v>
          </cell>
        </row>
        <row r="5492">
          <cell r="C5492" t="str">
            <v>推广订单扣款</v>
          </cell>
        </row>
        <row r="5492">
          <cell r="H5492" t="str">
            <v>东海店</v>
          </cell>
          <cell r="I5492">
            <v>46076</v>
          </cell>
          <cell r="J5492">
            <v>-43.97</v>
          </cell>
        </row>
        <row r="5493">
          <cell r="C5493" t="str">
            <v>推广订单扣款</v>
          </cell>
        </row>
        <row r="5493">
          <cell r="H5493" t="str">
            <v>文灶店</v>
          </cell>
          <cell r="I5493">
            <v>46076</v>
          </cell>
          <cell r="J5493">
            <v>-181.65</v>
          </cell>
        </row>
        <row r="5494">
          <cell r="C5494" t="str">
            <v>推广订单扣款</v>
          </cell>
        </row>
        <row r="5494">
          <cell r="H5494" t="str">
            <v>下沙店</v>
          </cell>
          <cell r="I5494">
            <v>46076</v>
          </cell>
          <cell r="J5494">
            <v>-140.52</v>
          </cell>
        </row>
        <row r="5495">
          <cell r="C5495" t="str">
            <v>推广订单扣款</v>
          </cell>
        </row>
        <row r="5495">
          <cell r="H5495" t="str">
            <v>湖里店</v>
          </cell>
          <cell r="I5495">
            <v>46077</v>
          </cell>
          <cell r="J5495">
            <v>-74.85</v>
          </cell>
        </row>
        <row r="5496">
          <cell r="C5496" t="str">
            <v>推广订单扣款</v>
          </cell>
        </row>
        <row r="5496">
          <cell r="H5496" t="str">
            <v>东新店</v>
          </cell>
          <cell r="I5496">
            <v>46077</v>
          </cell>
          <cell r="J5496">
            <v>-44.92</v>
          </cell>
        </row>
        <row r="5497">
          <cell r="C5497" t="str">
            <v>推广订单扣款</v>
          </cell>
        </row>
        <row r="5497">
          <cell r="H5497" t="str">
            <v>泉秀店</v>
          </cell>
          <cell r="I5497">
            <v>46077</v>
          </cell>
          <cell r="J5497">
            <v>-194.68</v>
          </cell>
        </row>
        <row r="5498">
          <cell r="C5498" t="str">
            <v>推广账户自动充值</v>
          </cell>
        </row>
        <row r="5498">
          <cell r="H5498" t="str">
            <v>高新店</v>
          </cell>
          <cell r="I5498">
            <v>46077</v>
          </cell>
          <cell r="J5498">
            <v>200</v>
          </cell>
        </row>
        <row r="5499">
          <cell r="C5499" t="str">
            <v>推广订单扣款</v>
          </cell>
        </row>
        <row r="5499">
          <cell r="H5499" t="str">
            <v>高新店</v>
          </cell>
          <cell r="I5499">
            <v>46077</v>
          </cell>
          <cell r="J5499">
            <v>-89.64</v>
          </cell>
        </row>
        <row r="5500">
          <cell r="C5500" t="str">
            <v>推广订单扣款</v>
          </cell>
        </row>
        <row r="5500">
          <cell r="H5500" t="str">
            <v>成华店</v>
          </cell>
          <cell r="I5500">
            <v>46077</v>
          </cell>
          <cell r="J5500">
            <v>-53.51</v>
          </cell>
        </row>
        <row r="5501">
          <cell r="C5501" t="str">
            <v>推广订单扣款</v>
          </cell>
        </row>
        <row r="5501">
          <cell r="H5501" t="str">
            <v>金牛店</v>
          </cell>
          <cell r="I5501">
            <v>46077</v>
          </cell>
          <cell r="J5501">
            <v>-55.98</v>
          </cell>
        </row>
        <row r="5502">
          <cell r="C5502" t="str">
            <v>推广订单扣款</v>
          </cell>
        </row>
        <row r="5502">
          <cell r="H5502" t="str">
            <v>西山店</v>
          </cell>
          <cell r="I5502">
            <v>46077</v>
          </cell>
          <cell r="J5502">
            <v>-137.65</v>
          </cell>
        </row>
        <row r="5503">
          <cell r="C5503" t="str">
            <v>推广订单扣款</v>
          </cell>
        </row>
        <row r="5503">
          <cell r="H5503" t="str">
            <v>沙坪坝店</v>
          </cell>
          <cell r="I5503">
            <v>46077</v>
          </cell>
          <cell r="J5503">
            <v>-145.62</v>
          </cell>
        </row>
        <row r="5504">
          <cell r="C5504" t="str">
            <v>推广账户自动充值</v>
          </cell>
        </row>
        <row r="5504">
          <cell r="H5504" t="str">
            <v>凤城二路店</v>
          </cell>
          <cell r="I5504">
            <v>46077</v>
          </cell>
          <cell r="J5504">
            <v>200</v>
          </cell>
        </row>
        <row r="5505">
          <cell r="C5505" t="str">
            <v>推广订单扣款</v>
          </cell>
        </row>
        <row r="5505">
          <cell r="H5505" t="str">
            <v>凤城二路店</v>
          </cell>
          <cell r="I5505">
            <v>46077</v>
          </cell>
          <cell r="J5505">
            <v>-200</v>
          </cell>
        </row>
        <row r="5506">
          <cell r="C5506" t="str">
            <v>推广订单扣款</v>
          </cell>
        </row>
        <row r="5506">
          <cell r="H5506" t="str">
            <v>大坪店</v>
          </cell>
          <cell r="I5506">
            <v>46077</v>
          </cell>
          <cell r="J5506">
            <v>-148.43</v>
          </cell>
        </row>
        <row r="5507">
          <cell r="C5507" t="str">
            <v>推广订单扣款</v>
          </cell>
        </row>
        <row r="5507">
          <cell r="H5507" t="str">
            <v>五华店</v>
          </cell>
          <cell r="I5507">
            <v>46077</v>
          </cell>
          <cell r="J5507">
            <v>-127.74</v>
          </cell>
        </row>
        <row r="5508">
          <cell r="C5508" t="str">
            <v>推广订单扣款</v>
          </cell>
        </row>
        <row r="5508">
          <cell r="H5508" t="str">
            <v>官渡店</v>
          </cell>
          <cell r="I5508">
            <v>46077</v>
          </cell>
          <cell r="J5508">
            <v>-200</v>
          </cell>
        </row>
        <row r="5509">
          <cell r="C5509" t="str">
            <v>推广订单扣款</v>
          </cell>
        </row>
        <row r="5509">
          <cell r="H5509" t="str">
            <v>百捷店</v>
          </cell>
          <cell r="I5509">
            <v>46077</v>
          </cell>
          <cell r="J5509">
            <v>-132.8</v>
          </cell>
        </row>
        <row r="5510">
          <cell r="C5510" t="str">
            <v>推广订单扣款</v>
          </cell>
        </row>
        <row r="5510">
          <cell r="H5510" t="str">
            <v>济南店</v>
          </cell>
          <cell r="I5510">
            <v>46077</v>
          </cell>
          <cell r="J5510">
            <v>-180</v>
          </cell>
        </row>
        <row r="5511">
          <cell r="C5511" t="str">
            <v>推广订单扣款</v>
          </cell>
        </row>
        <row r="5511">
          <cell r="H5511" t="str">
            <v>观音桥店</v>
          </cell>
          <cell r="I5511">
            <v>46077</v>
          </cell>
          <cell r="J5511">
            <v>-171.13</v>
          </cell>
        </row>
        <row r="5512">
          <cell r="C5512" t="str">
            <v>推广订单扣款</v>
          </cell>
        </row>
        <row r="5512">
          <cell r="H5512" t="str">
            <v>长沙店</v>
          </cell>
          <cell r="I5512">
            <v>46077</v>
          </cell>
          <cell r="J5512">
            <v>-82.83</v>
          </cell>
        </row>
        <row r="5513">
          <cell r="C5513" t="str">
            <v>推广订单扣款</v>
          </cell>
        </row>
        <row r="5513">
          <cell r="H5513" t="str">
            <v>洛江店</v>
          </cell>
          <cell r="I5513">
            <v>46077</v>
          </cell>
          <cell r="J5513">
            <v>-105.62</v>
          </cell>
        </row>
        <row r="5514">
          <cell r="C5514" t="str">
            <v>推广订单扣款</v>
          </cell>
        </row>
        <row r="5514">
          <cell r="H5514" t="str">
            <v>五路口店</v>
          </cell>
          <cell r="I5514">
            <v>46077</v>
          </cell>
          <cell r="J5514">
            <v>-200</v>
          </cell>
        </row>
        <row r="5515">
          <cell r="C5515" t="str">
            <v>推广订单扣款</v>
          </cell>
        </row>
        <row r="5515">
          <cell r="H5515" t="str">
            <v>青羊店</v>
          </cell>
          <cell r="I5515">
            <v>46077</v>
          </cell>
          <cell r="J5515">
            <v>-65.09</v>
          </cell>
        </row>
        <row r="5516">
          <cell r="C5516" t="str">
            <v>推广订单扣款</v>
          </cell>
        </row>
        <row r="5516">
          <cell r="H5516" t="str">
            <v>武侯店</v>
          </cell>
          <cell r="I5516">
            <v>46077</v>
          </cell>
          <cell r="J5516">
            <v>-129.28</v>
          </cell>
        </row>
        <row r="5517">
          <cell r="C5517" t="str">
            <v>推广订单扣款</v>
          </cell>
        </row>
        <row r="5517">
          <cell r="H5517" t="str">
            <v>鼓楼店</v>
          </cell>
          <cell r="I5517">
            <v>46077</v>
          </cell>
          <cell r="J5517">
            <v>-138.14</v>
          </cell>
        </row>
        <row r="5518">
          <cell r="C5518" t="str">
            <v>推广订单扣款</v>
          </cell>
        </row>
        <row r="5518">
          <cell r="H5518" t="str">
            <v>黄雁村店</v>
          </cell>
          <cell r="I5518">
            <v>46077</v>
          </cell>
          <cell r="J5518">
            <v>-200</v>
          </cell>
        </row>
        <row r="5519">
          <cell r="C5519" t="str">
            <v>推广订单扣款</v>
          </cell>
        </row>
        <row r="5519">
          <cell r="H5519" t="str">
            <v>西湖店</v>
          </cell>
          <cell r="I5519">
            <v>46077</v>
          </cell>
          <cell r="J5519">
            <v>-123.51</v>
          </cell>
        </row>
        <row r="5520">
          <cell r="C5520" t="str">
            <v>推广订单扣款</v>
          </cell>
        </row>
        <row r="5520">
          <cell r="H5520" t="str">
            <v>百丈店</v>
          </cell>
          <cell r="I5520">
            <v>46077</v>
          </cell>
          <cell r="J5520">
            <v>-163.91</v>
          </cell>
        </row>
        <row r="5521">
          <cell r="C5521" t="str">
            <v>推广订单扣款</v>
          </cell>
        </row>
        <row r="5521">
          <cell r="H5521" t="str">
            <v>文昌店</v>
          </cell>
          <cell r="I5521">
            <v>46077</v>
          </cell>
          <cell r="J5521">
            <v>-72.18</v>
          </cell>
        </row>
        <row r="5522">
          <cell r="C5522" t="str">
            <v>推广账户自动充值</v>
          </cell>
        </row>
        <row r="5522">
          <cell r="H5522" t="str">
            <v>观桥店</v>
          </cell>
          <cell r="I5522">
            <v>46077</v>
          </cell>
          <cell r="J5522">
            <v>200</v>
          </cell>
        </row>
        <row r="5523">
          <cell r="C5523" t="str">
            <v>推广订单扣款</v>
          </cell>
        </row>
        <row r="5523">
          <cell r="H5523" t="str">
            <v>观桥店</v>
          </cell>
          <cell r="I5523">
            <v>46077</v>
          </cell>
          <cell r="J5523">
            <v>-198.29</v>
          </cell>
        </row>
        <row r="5524">
          <cell r="C5524" t="str">
            <v>推广订单扣款</v>
          </cell>
        </row>
        <row r="5524">
          <cell r="H5524" t="str">
            <v>海口店</v>
          </cell>
          <cell r="I5524">
            <v>46077</v>
          </cell>
          <cell r="J5524">
            <v>-300</v>
          </cell>
        </row>
        <row r="5525">
          <cell r="C5525" t="str">
            <v>推广订单扣款</v>
          </cell>
        </row>
        <row r="5525">
          <cell r="H5525" t="str">
            <v>诚毅店</v>
          </cell>
          <cell r="I5525">
            <v>46077</v>
          </cell>
          <cell r="J5525">
            <v>-199.57</v>
          </cell>
        </row>
        <row r="5526">
          <cell r="C5526" t="str">
            <v>推广订单扣款</v>
          </cell>
        </row>
        <row r="5526">
          <cell r="H5526" t="str">
            <v>首山店</v>
          </cell>
          <cell r="I5526">
            <v>46077</v>
          </cell>
          <cell r="J5526">
            <v>-175.52</v>
          </cell>
        </row>
        <row r="5527">
          <cell r="C5527" t="str">
            <v>推广订单扣款</v>
          </cell>
        </row>
        <row r="5527">
          <cell r="H5527" t="str">
            <v>首南店</v>
          </cell>
          <cell r="I5527">
            <v>46077</v>
          </cell>
          <cell r="J5527">
            <v>-162.76</v>
          </cell>
        </row>
        <row r="5528">
          <cell r="C5528" t="str">
            <v>推广账户自动充值</v>
          </cell>
        </row>
        <row r="5528">
          <cell r="H5528" t="str">
            <v>首南店</v>
          </cell>
          <cell r="I5528">
            <v>46077</v>
          </cell>
          <cell r="J5528">
            <v>200</v>
          </cell>
        </row>
        <row r="5529">
          <cell r="C5529" t="str">
            <v>推广订单扣款</v>
          </cell>
        </row>
        <row r="5529">
          <cell r="H5529" t="str">
            <v>余杭店</v>
          </cell>
          <cell r="I5529">
            <v>46077</v>
          </cell>
          <cell r="J5529">
            <v>-140.9</v>
          </cell>
        </row>
        <row r="5530">
          <cell r="C5530" t="str">
            <v>推广订单扣款</v>
          </cell>
        </row>
        <row r="5530">
          <cell r="H5530" t="str">
            <v>东海店</v>
          </cell>
          <cell r="I5530">
            <v>46077</v>
          </cell>
          <cell r="J5530">
            <v>-45.14</v>
          </cell>
        </row>
        <row r="5531">
          <cell r="C5531" t="str">
            <v>推广订单扣款</v>
          </cell>
        </row>
        <row r="5531">
          <cell r="H5531" t="str">
            <v>文灶店</v>
          </cell>
          <cell r="I5531">
            <v>46077</v>
          </cell>
          <cell r="J5531">
            <v>-117.11</v>
          </cell>
        </row>
        <row r="5532">
          <cell r="C5532" t="str">
            <v>推广订单扣款</v>
          </cell>
        </row>
        <row r="5532">
          <cell r="H5532" t="str">
            <v>滨江店</v>
          </cell>
          <cell r="I5532">
            <v>46077</v>
          </cell>
          <cell r="J5532">
            <v>-117.03</v>
          </cell>
        </row>
        <row r="5533">
          <cell r="C5533" t="str">
            <v>推广账户自动充值</v>
          </cell>
        </row>
        <row r="5533">
          <cell r="H5533" t="str">
            <v>滨江店</v>
          </cell>
          <cell r="I5533">
            <v>46077</v>
          </cell>
          <cell r="J5533">
            <v>200</v>
          </cell>
        </row>
        <row r="5534">
          <cell r="C5534" t="str">
            <v>推广订单扣款</v>
          </cell>
        </row>
        <row r="5534">
          <cell r="H5534" t="str">
            <v>下沙店</v>
          </cell>
          <cell r="I5534">
            <v>46077</v>
          </cell>
          <cell r="J5534">
            <v>-165.26</v>
          </cell>
        </row>
        <row r="5535">
          <cell r="C5535" t="str">
            <v>推广账户自动充值</v>
          </cell>
        </row>
        <row r="5535">
          <cell r="H5535" t="str">
            <v>华信店</v>
          </cell>
          <cell r="I5535">
            <v>46077</v>
          </cell>
          <cell r="J5535">
            <v>200</v>
          </cell>
        </row>
        <row r="5536">
          <cell r="C5536" t="str">
            <v>推广订单扣款</v>
          </cell>
        </row>
        <row r="5536">
          <cell r="H5536" t="str">
            <v>华信店</v>
          </cell>
          <cell r="I5536">
            <v>46077</v>
          </cell>
          <cell r="J5536">
            <v>-200</v>
          </cell>
        </row>
        <row r="5537">
          <cell r="C5537" t="str">
            <v>推广订单扣款</v>
          </cell>
        </row>
        <row r="5537">
          <cell r="H5537" t="str">
            <v>槐荫店</v>
          </cell>
          <cell r="I5537">
            <v>46077</v>
          </cell>
          <cell r="J5537">
            <v>-200</v>
          </cell>
        </row>
        <row r="5538">
          <cell r="C5538" t="str">
            <v>推广订单扣款</v>
          </cell>
        </row>
        <row r="5538">
          <cell r="H5538" t="str">
            <v>湖里店</v>
          </cell>
          <cell r="I5538">
            <v>46078</v>
          </cell>
          <cell r="J5538">
            <v>-116.5</v>
          </cell>
        </row>
        <row r="5539">
          <cell r="C5539" t="str">
            <v>推广订单扣款</v>
          </cell>
        </row>
        <row r="5539">
          <cell r="H5539" t="str">
            <v>东新店</v>
          </cell>
          <cell r="I5539">
            <v>46078</v>
          </cell>
          <cell r="J5539">
            <v>-66.35</v>
          </cell>
        </row>
        <row r="5540">
          <cell r="C5540" t="str">
            <v>推广订单扣款</v>
          </cell>
        </row>
        <row r="5540">
          <cell r="H5540" t="str">
            <v>泉秀店</v>
          </cell>
          <cell r="I5540">
            <v>46078</v>
          </cell>
          <cell r="J5540">
            <v>-134.03</v>
          </cell>
        </row>
        <row r="5541">
          <cell r="C5541" t="str">
            <v>推广订单扣款</v>
          </cell>
        </row>
        <row r="5541">
          <cell r="H5541" t="str">
            <v>启点店</v>
          </cell>
          <cell r="I5541">
            <v>46078</v>
          </cell>
          <cell r="J5541">
            <v>-72.79</v>
          </cell>
        </row>
        <row r="5542">
          <cell r="C5542" t="str">
            <v>推广订单扣款</v>
          </cell>
        </row>
        <row r="5542">
          <cell r="H5542" t="str">
            <v>高新店</v>
          </cell>
          <cell r="I5542">
            <v>46078</v>
          </cell>
          <cell r="J5542">
            <v>-76.81</v>
          </cell>
        </row>
        <row r="5543">
          <cell r="C5543" t="str">
            <v>推广订单扣款</v>
          </cell>
        </row>
        <row r="5543">
          <cell r="H5543" t="str">
            <v>成华店</v>
          </cell>
          <cell r="I5543">
            <v>46078</v>
          </cell>
          <cell r="J5543">
            <v>-82.9</v>
          </cell>
        </row>
        <row r="5544">
          <cell r="C5544" t="str">
            <v>推广订单扣款</v>
          </cell>
        </row>
        <row r="5544">
          <cell r="H5544" t="str">
            <v>金牛店</v>
          </cell>
          <cell r="I5544">
            <v>46078</v>
          </cell>
          <cell r="J5544">
            <v>-48.47</v>
          </cell>
        </row>
        <row r="5545">
          <cell r="C5545" t="str">
            <v>推广订单扣款</v>
          </cell>
        </row>
        <row r="5545">
          <cell r="H5545" t="str">
            <v>西山店</v>
          </cell>
          <cell r="I5545">
            <v>46078</v>
          </cell>
          <cell r="J5545">
            <v>-51.17</v>
          </cell>
        </row>
        <row r="5546">
          <cell r="C5546" t="str">
            <v>推广订单扣款</v>
          </cell>
        </row>
        <row r="5546">
          <cell r="H5546" t="str">
            <v>沙坪坝店</v>
          </cell>
          <cell r="I5546">
            <v>46078</v>
          </cell>
          <cell r="J5546">
            <v>-169.39</v>
          </cell>
        </row>
        <row r="5547">
          <cell r="C5547" t="str">
            <v>推广账户自动充值</v>
          </cell>
        </row>
        <row r="5547">
          <cell r="H5547" t="str">
            <v>凤城二路店</v>
          </cell>
          <cell r="I5547">
            <v>46078</v>
          </cell>
          <cell r="J5547">
            <v>200</v>
          </cell>
        </row>
        <row r="5548">
          <cell r="C5548" t="str">
            <v>推广订单扣款</v>
          </cell>
        </row>
        <row r="5548">
          <cell r="H5548" t="str">
            <v>凤城二路店</v>
          </cell>
          <cell r="I5548">
            <v>46078</v>
          </cell>
          <cell r="J5548">
            <v>-200</v>
          </cell>
        </row>
        <row r="5549">
          <cell r="C5549" t="str">
            <v>推广订单扣款</v>
          </cell>
        </row>
        <row r="5549">
          <cell r="H5549" t="str">
            <v>大坪店</v>
          </cell>
          <cell r="I5549">
            <v>46078</v>
          </cell>
          <cell r="J5549">
            <v>-61.45</v>
          </cell>
        </row>
        <row r="5550">
          <cell r="C5550" t="str">
            <v>推广订单扣款</v>
          </cell>
        </row>
        <row r="5550">
          <cell r="H5550" t="str">
            <v>五华店</v>
          </cell>
          <cell r="I5550">
            <v>46078</v>
          </cell>
          <cell r="J5550">
            <v>-107.78</v>
          </cell>
        </row>
        <row r="5551">
          <cell r="C5551" t="str">
            <v>推广账户自动充值</v>
          </cell>
        </row>
        <row r="5551">
          <cell r="H5551" t="str">
            <v>官渡店</v>
          </cell>
          <cell r="I5551">
            <v>46078</v>
          </cell>
          <cell r="J5551">
            <v>200</v>
          </cell>
        </row>
        <row r="5552">
          <cell r="C5552" t="str">
            <v>推广订单扣款</v>
          </cell>
        </row>
        <row r="5552">
          <cell r="H5552" t="str">
            <v>官渡店</v>
          </cell>
          <cell r="I5552">
            <v>46078</v>
          </cell>
          <cell r="J5552">
            <v>-153.96</v>
          </cell>
        </row>
        <row r="5553">
          <cell r="C5553" t="str">
            <v>推广账户自动充值</v>
          </cell>
        </row>
        <row r="5553">
          <cell r="H5553" t="str">
            <v>百捷店</v>
          </cell>
          <cell r="I5553">
            <v>46078</v>
          </cell>
          <cell r="J5553">
            <v>200</v>
          </cell>
        </row>
        <row r="5554">
          <cell r="C5554" t="str">
            <v>推广订单扣款</v>
          </cell>
        </row>
        <row r="5554">
          <cell r="H5554" t="str">
            <v>百捷店</v>
          </cell>
          <cell r="I5554">
            <v>46078</v>
          </cell>
          <cell r="J5554">
            <v>-148.23</v>
          </cell>
        </row>
        <row r="5555">
          <cell r="C5555" t="str">
            <v>推广订单扣款</v>
          </cell>
        </row>
        <row r="5555">
          <cell r="H5555" t="str">
            <v>济南店</v>
          </cell>
          <cell r="I5555">
            <v>46078</v>
          </cell>
          <cell r="J5555">
            <v>-175.85</v>
          </cell>
        </row>
        <row r="5556">
          <cell r="C5556" t="str">
            <v>推广订单扣款</v>
          </cell>
        </row>
        <row r="5556">
          <cell r="H5556" t="str">
            <v>观音桥店</v>
          </cell>
          <cell r="I5556">
            <v>46078</v>
          </cell>
          <cell r="J5556">
            <v>-133.92</v>
          </cell>
        </row>
        <row r="5557">
          <cell r="C5557" t="str">
            <v>推广订单扣款</v>
          </cell>
        </row>
        <row r="5557">
          <cell r="H5557" t="str">
            <v>长沙店</v>
          </cell>
          <cell r="I5557">
            <v>46078</v>
          </cell>
          <cell r="J5557">
            <v>-93.45</v>
          </cell>
        </row>
        <row r="5558">
          <cell r="C5558" t="str">
            <v>推广订单扣款</v>
          </cell>
        </row>
        <row r="5558">
          <cell r="H5558" t="str">
            <v>洛江店</v>
          </cell>
          <cell r="I5558">
            <v>46078</v>
          </cell>
          <cell r="J5558">
            <v>-94.83</v>
          </cell>
        </row>
        <row r="5559">
          <cell r="C5559" t="str">
            <v>推广订单扣款</v>
          </cell>
        </row>
        <row r="5559">
          <cell r="H5559" t="str">
            <v>五路口店</v>
          </cell>
          <cell r="I5559">
            <v>46078</v>
          </cell>
          <cell r="J5559">
            <v>-200</v>
          </cell>
        </row>
        <row r="5560">
          <cell r="C5560" t="str">
            <v>推广订单扣款</v>
          </cell>
        </row>
        <row r="5560">
          <cell r="H5560" t="str">
            <v>青羊店</v>
          </cell>
          <cell r="I5560">
            <v>46078</v>
          </cell>
          <cell r="J5560">
            <v>-51.91</v>
          </cell>
        </row>
        <row r="5561">
          <cell r="C5561" t="str">
            <v>推广订单扣款</v>
          </cell>
        </row>
        <row r="5561">
          <cell r="H5561" t="str">
            <v>武侯店</v>
          </cell>
          <cell r="I5561">
            <v>46078</v>
          </cell>
          <cell r="J5561">
            <v>-133.48</v>
          </cell>
        </row>
        <row r="5562">
          <cell r="C5562" t="str">
            <v>推广订单扣款</v>
          </cell>
        </row>
        <row r="5562">
          <cell r="H5562" t="str">
            <v>鼓楼店</v>
          </cell>
          <cell r="I5562">
            <v>46078</v>
          </cell>
          <cell r="J5562">
            <v>-100.03</v>
          </cell>
        </row>
        <row r="5563">
          <cell r="C5563" t="str">
            <v>推广订单扣款</v>
          </cell>
        </row>
        <row r="5563">
          <cell r="H5563" t="str">
            <v>黄雁村店</v>
          </cell>
          <cell r="I5563">
            <v>46078</v>
          </cell>
          <cell r="J5563">
            <v>-200</v>
          </cell>
        </row>
        <row r="5564">
          <cell r="C5564" t="str">
            <v>推广订单扣款</v>
          </cell>
        </row>
        <row r="5564">
          <cell r="H5564" t="str">
            <v>西湖店</v>
          </cell>
          <cell r="I5564">
            <v>46078</v>
          </cell>
          <cell r="J5564">
            <v>-88.86</v>
          </cell>
        </row>
        <row r="5565">
          <cell r="C5565" t="str">
            <v>推广账户自动充值</v>
          </cell>
        </row>
        <row r="5565">
          <cell r="H5565" t="str">
            <v>百丈店</v>
          </cell>
          <cell r="I5565">
            <v>46078</v>
          </cell>
          <cell r="J5565">
            <v>200</v>
          </cell>
        </row>
        <row r="5566">
          <cell r="C5566" t="str">
            <v>推广订单扣款</v>
          </cell>
        </row>
        <row r="5566">
          <cell r="H5566" t="str">
            <v>百丈店</v>
          </cell>
          <cell r="I5566">
            <v>46078</v>
          </cell>
          <cell r="J5566">
            <v>-142.97</v>
          </cell>
        </row>
        <row r="5567">
          <cell r="C5567" t="str">
            <v>推广订单扣款</v>
          </cell>
        </row>
        <row r="5567">
          <cell r="H5567" t="str">
            <v>文昌店</v>
          </cell>
          <cell r="I5567">
            <v>46078</v>
          </cell>
          <cell r="J5567">
            <v>-69.88</v>
          </cell>
        </row>
        <row r="5568">
          <cell r="C5568" t="str">
            <v>推广账户自动充值</v>
          </cell>
        </row>
        <row r="5568">
          <cell r="H5568" t="str">
            <v>观桥店</v>
          </cell>
          <cell r="I5568">
            <v>46078</v>
          </cell>
          <cell r="J5568">
            <v>200</v>
          </cell>
        </row>
        <row r="5569">
          <cell r="C5569" t="str">
            <v>推广订单扣款</v>
          </cell>
        </row>
        <row r="5569">
          <cell r="H5569" t="str">
            <v>观桥店</v>
          </cell>
          <cell r="I5569">
            <v>46078</v>
          </cell>
          <cell r="J5569">
            <v>-199.67</v>
          </cell>
        </row>
        <row r="5570">
          <cell r="C5570" t="str">
            <v>推广订单扣款</v>
          </cell>
        </row>
        <row r="5570">
          <cell r="H5570" t="str">
            <v>海口店</v>
          </cell>
          <cell r="I5570">
            <v>46078</v>
          </cell>
          <cell r="J5570">
            <v>-300</v>
          </cell>
        </row>
        <row r="5571">
          <cell r="C5571" t="str">
            <v>推广订单扣款</v>
          </cell>
        </row>
        <row r="5571">
          <cell r="H5571" t="str">
            <v>诚毅店</v>
          </cell>
          <cell r="I5571">
            <v>46078</v>
          </cell>
          <cell r="J5571">
            <v>-127.08</v>
          </cell>
        </row>
        <row r="5572">
          <cell r="C5572" t="str">
            <v>推广订单扣款</v>
          </cell>
        </row>
        <row r="5572">
          <cell r="H5572" t="str">
            <v>首山店</v>
          </cell>
          <cell r="I5572">
            <v>46078</v>
          </cell>
          <cell r="J5572">
            <v>-109.87</v>
          </cell>
        </row>
        <row r="5573">
          <cell r="C5573" t="str">
            <v>推广订单扣款</v>
          </cell>
        </row>
        <row r="5573">
          <cell r="H5573" t="str">
            <v>首南店</v>
          </cell>
          <cell r="I5573">
            <v>46078</v>
          </cell>
          <cell r="J5573">
            <v>-121.38</v>
          </cell>
        </row>
        <row r="5574">
          <cell r="C5574" t="str">
            <v>推广订单扣款</v>
          </cell>
        </row>
        <row r="5574">
          <cell r="H5574" t="str">
            <v>余杭店</v>
          </cell>
          <cell r="I5574">
            <v>46078</v>
          </cell>
          <cell r="J5574">
            <v>-154.59</v>
          </cell>
        </row>
        <row r="5575">
          <cell r="C5575" t="str">
            <v>推广订单扣款</v>
          </cell>
        </row>
        <row r="5575">
          <cell r="H5575" t="str">
            <v>东海店</v>
          </cell>
          <cell r="I5575">
            <v>46078</v>
          </cell>
          <cell r="J5575">
            <v>-60.41</v>
          </cell>
        </row>
        <row r="5576">
          <cell r="C5576" t="str">
            <v>推广订单扣款</v>
          </cell>
        </row>
        <row r="5576">
          <cell r="H5576" t="str">
            <v>文灶店</v>
          </cell>
          <cell r="I5576">
            <v>46078</v>
          </cell>
          <cell r="J5576">
            <v>-85.2</v>
          </cell>
        </row>
        <row r="5577">
          <cell r="C5577" t="str">
            <v>推广订单扣款</v>
          </cell>
        </row>
        <row r="5577">
          <cell r="H5577" t="str">
            <v>滨江店</v>
          </cell>
          <cell r="I5577">
            <v>46078</v>
          </cell>
          <cell r="J5577">
            <v>-169.17</v>
          </cell>
        </row>
        <row r="5578">
          <cell r="C5578" t="str">
            <v>推广账户自动充值</v>
          </cell>
        </row>
        <row r="5578">
          <cell r="H5578" t="str">
            <v>下沙店</v>
          </cell>
          <cell r="I5578">
            <v>46078</v>
          </cell>
          <cell r="J5578">
            <v>100</v>
          </cell>
        </row>
        <row r="5579">
          <cell r="C5579" t="str">
            <v>推广订单扣款</v>
          </cell>
        </row>
        <row r="5579">
          <cell r="H5579" t="str">
            <v>下沙店</v>
          </cell>
          <cell r="I5579">
            <v>46078</v>
          </cell>
          <cell r="J5579">
            <v>-148.07</v>
          </cell>
        </row>
        <row r="5580">
          <cell r="C5580" t="str">
            <v>推广订单扣款</v>
          </cell>
        </row>
        <row r="5580">
          <cell r="H5580" t="str">
            <v>华信店</v>
          </cell>
          <cell r="I5580">
            <v>46078</v>
          </cell>
          <cell r="J5580">
            <v>-200</v>
          </cell>
        </row>
        <row r="5581">
          <cell r="C5581" t="str">
            <v>推广订单扣款</v>
          </cell>
        </row>
        <row r="5581">
          <cell r="H5581" t="str">
            <v>槐荫店</v>
          </cell>
          <cell r="I5581">
            <v>46078</v>
          </cell>
          <cell r="J5581">
            <v>-200</v>
          </cell>
        </row>
        <row r="5582">
          <cell r="C5582" t="str">
            <v>推广订单扣款</v>
          </cell>
        </row>
        <row r="5582">
          <cell r="H5582" t="str">
            <v>华信店</v>
          </cell>
          <cell r="I5582">
            <v>46079</v>
          </cell>
          <cell r="J5582">
            <v>-200</v>
          </cell>
        </row>
        <row r="5583">
          <cell r="C5583" t="str">
            <v>推广订单扣款</v>
          </cell>
        </row>
        <row r="5583">
          <cell r="H5583" t="str">
            <v>槐荫店</v>
          </cell>
          <cell r="I5583">
            <v>46079</v>
          </cell>
          <cell r="J5583">
            <v>-200</v>
          </cell>
        </row>
        <row r="5584">
          <cell r="C5584" t="str">
            <v>推广订单扣款</v>
          </cell>
        </row>
        <row r="5584">
          <cell r="H5584" t="str">
            <v>湖里店</v>
          </cell>
          <cell r="I5584">
            <v>46079</v>
          </cell>
          <cell r="J5584">
            <v>-77.4</v>
          </cell>
        </row>
        <row r="5585">
          <cell r="C5585" t="str">
            <v>推广订单扣款</v>
          </cell>
        </row>
        <row r="5585">
          <cell r="H5585" t="str">
            <v>东新店</v>
          </cell>
          <cell r="I5585">
            <v>46079</v>
          </cell>
          <cell r="J5585">
            <v>-63.19</v>
          </cell>
        </row>
        <row r="5586">
          <cell r="C5586" t="str">
            <v>推广订单扣款</v>
          </cell>
        </row>
        <row r="5586">
          <cell r="H5586" t="str">
            <v>泉秀店</v>
          </cell>
          <cell r="I5586">
            <v>46079</v>
          </cell>
          <cell r="J5586">
            <v>-174.48</v>
          </cell>
        </row>
        <row r="5587">
          <cell r="C5587" t="str">
            <v>推广订单扣款</v>
          </cell>
        </row>
        <row r="5587">
          <cell r="H5587" t="str">
            <v>启点店</v>
          </cell>
          <cell r="I5587">
            <v>46079</v>
          </cell>
          <cell r="J5587">
            <v>-66.88</v>
          </cell>
        </row>
        <row r="5588">
          <cell r="C5588" t="str">
            <v>推广订单扣款</v>
          </cell>
        </row>
        <row r="5588">
          <cell r="H5588" t="str">
            <v>高新店</v>
          </cell>
          <cell r="I5588">
            <v>46079</v>
          </cell>
          <cell r="J5588">
            <v>-87.87</v>
          </cell>
        </row>
        <row r="5589">
          <cell r="C5589" t="str">
            <v>推广订单扣款</v>
          </cell>
        </row>
        <row r="5589">
          <cell r="H5589" t="str">
            <v>成华店</v>
          </cell>
          <cell r="I5589">
            <v>46079</v>
          </cell>
          <cell r="J5589">
            <v>-57.54</v>
          </cell>
        </row>
        <row r="5590">
          <cell r="C5590" t="str">
            <v>推广订单扣款</v>
          </cell>
        </row>
        <row r="5590">
          <cell r="H5590" t="str">
            <v>金牛店</v>
          </cell>
          <cell r="I5590">
            <v>46079</v>
          </cell>
          <cell r="J5590">
            <v>-46.77</v>
          </cell>
        </row>
        <row r="5591">
          <cell r="C5591" t="str">
            <v>推广订单扣款</v>
          </cell>
        </row>
        <row r="5591">
          <cell r="H5591" t="str">
            <v>西山店</v>
          </cell>
          <cell r="I5591">
            <v>46079</v>
          </cell>
          <cell r="J5591">
            <v>-117.95</v>
          </cell>
        </row>
        <row r="5592">
          <cell r="C5592" t="str">
            <v>推广订单扣款</v>
          </cell>
        </row>
        <row r="5592">
          <cell r="H5592" t="str">
            <v>沙坪坝店</v>
          </cell>
          <cell r="I5592">
            <v>46079</v>
          </cell>
          <cell r="J5592">
            <v>-155.92</v>
          </cell>
        </row>
        <row r="5593">
          <cell r="C5593" t="str">
            <v>推广订单扣款</v>
          </cell>
        </row>
        <row r="5593">
          <cell r="H5593" t="str">
            <v>凤城二路店</v>
          </cell>
          <cell r="I5593">
            <v>46079</v>
          </cell>
          <cell r="J5593">
            <v>-198.61</v>
          </cell>
        </row>
        <row r="5594">
          <cell r="C5594" t="str">
            <v>推广订单扣款</v>
          </cell>
        </row>
        <row r="5594">
          <cell r="H5594" t="str">
            <v>大坪店</v>
          </cell>
          <cell r="I5594">
            <v>46079</v>
          </cell>
          <cell r="J5594">
            <v>-56.76</v>
          </cell>
        </row>
        <row r="5595">
          <cell r="C5595" t="str">
            <v>推广订单扣款</v>
          </cell>
        </row>
        <row r="5595">
          <cell r="H5595" t="str">
            <v>五华店</v>
          </cell>
          <cell r="I5595">
            <v>46079</v>
          </cell>
          <cell r="J5595">
            <v>-134.53</v>
          </cell>
        </row>
        <row r="5596">
          <cell r="C5596" t="str">
            <v>推广订单扣款</v>
          </cell>
        </row>
        <row r="5596">
          <cell r="H5596" t="str">
            <v>官渡店</v>
          </cell>
          <cell r="I5596">
            <v>46079</v>
          </cell>
          <cell r="J5596">
            <v>-197.26</v>
          </cell>
        </row>
        <row r="5597">
          <cell r="C5597" t="str">
            <v>推广订单扣款</v>
          </cell>
        </row>
        <row r="5597">
          <cell r="H5597" t="str">
            <v>百捷店</v>
          </cell>
          <cell r="I5597">
            <v>46079</v>
          </cell>
          <cell r="J5597">
            <v>-95.06</v>
          </cell>
        </row>
        <row r="5598">
          <cell r="C5598" t="str">
            <v>推广订单扣款</v>
          </cell>
        </row>
        <row r="5598">
          <cell r="H5598" t="str">
            <v>济南店</v>
          </cell>
          <cell r="I5598">
            <v>46079</v>
          </cell>
          <cell r="J5598">
            <v>-175.28</v>
          </cell>
        </row>
        <row r="5599">
          <cell r="C5599" t="str">
            <v>推广订单扣款</v>
          </cell>
        </row>
        <row r="5599">
          <cell r="H5599" t="str">
            <v>观音桥店</v>
          </cell>
          <cell r="I5599">
            <v>46079</v>
          </cell>
          <cell r="J5599">
            <v>-96.78</v>
          </cell>
        </row>
        <row r="5600">
          <cell r="C5600" t="str">
            <v>推广订单扣款</v>
          </cell>
        </row>
        <row r="5600">
          <cell r="H5600" t="str">
            <v>长沙店</v>
          </cell>
          <cell r="I5600">
            <v>46079</v>
          </cell>
          <cell r="J5600">
            <v>-82.5</v>
          </cell>
        </row>
        <row r="5601">
          <cell r="C5601" t="str">
            <v>推广订单扣款</v>
          </cell>
        </row>
        <row r="5601">
          <cell r="H5601" t="str">
            <v>洛江店</v>
          </cell>
          <cell r="I5601">
            <v>46079</v>
          </cell>
          <cell r="J5601">
            <v>-98.53</v>
          </cell>
        </row>
        <row r="5602">
          <cell r="C5602" t="str">
            <v>推广订单扣款</v>
          </cell>
        </row>
        <row r="5602">
          <cell r="H5602" t="str">
            <v>五路口店</v>
          </cell>
          <cell r="I5602">
            <v>46079</v>
          </cell>
          <cell r="J5602">
            <v>-200</v>
          </cell>
        </row>
        <row r="5603">
          <cell r="C5603" t="str">
            <v>推广订单扣款</v>
          </cell>
        </row>
        <row r="5603">
          <cell r="H5603" t="str">
            <v>青羊店</v>
          </cell>
          <cell r="I5603">
            <v>46079</v>
          </cell>
          <cell r="J5603">
            <v>-64.24</v>
          </cell>
        </row>
        <row r="5604">
          <cell r="C5604" t="str">
            <v>推广订单扣款</v>
          </cell>
        </row>
        <row r="5604">
          <cell r="H5604" t="str">
            <v>武侯店</v>
          </cell>
          <cell r="I5604">
            <v>46079</v>
          </cell>
          <cell r="J5604">
            <v>-120.7</v>
          </cell>
        </row>
        <row r="5605">
          <cell r="C5605" t="str">
            <v>推广订单扣款</v>
          </cell>
        </row>
        <row r="5605">
          <cell r="H5605" t="str">
            <v>鼓楼店</v>
          </cell>
          <cell r="I5605">
            <v>46079</v>
          </cell>
          <cell r="J5605">
            <v>-83.06</v>
          </cell>
        </row>
        <row r="5606">
          <cell r="C5606" t="str">
            <v>推广订单扣款</v>
          </cell>
        </row>
        <row r="5606">
          <cell r="H5606" t="str">
            <v>黄雁村店</v>
          </cell>
          <cell r="I5606">
            <v>46079</v>
          </cell>
          <cell r="J5606">
            <v>-200</v>
          </cell>
        </row>
        <row r="5607">
          <cell r="C5607" t="str">
            <v>推广订单扣款</v>
          </cell>
        </row>
        <row r="5607">
          <cell r="H5607" t="str">
            <v>西湖店</v>
          </cell>
          <cell r="I5607">
            <v>46079</v>
          </cell>
          <cell r="J5607">
            <v>-125.42</v>
          </cell>
        </row>
        <row r="5608">
          <cell r="C5608" t="str">
            <v>推广订单扣款</v>
          </cell>
        </row>
        <row r="5608">
          <cell r="H5608" t="str">
            <v>百丈店</v>
          </cell>
          <cell r="I5608">
            <v>46079</v>
          </cell>
          <cell r="J5608">
            <v>-153.17</v>
          </cell>
        </row>
        <row r="5609">
          <cell r="C5609" t="str">
            <v>推广订单扣款</v>
          </cell>
        </row>
        <row r="5609">
          <cell r="H5609" t="str">
            <v>文昌店</v>
          </cell>
          <cell r="I5609">
            <v>46079</v>
          </cell>
          <cell r="J5609">
            <v>-55.19</v>
          </cell>
        </row>
        <row r="5610">
          <cell r="C5610" t="str">
            <v>推广订单扣款</v>
          </cell>
        </row>
        <row r="5610">
          <cell r="H5610" t="str">
            <v>观桥店</v>
          </cell>
          <cell r="I5610">
            <v>46079</v>
          </cell>
          <cell r="J5610">
            <v>-198.27</v>
          </cell>
        </row>
        <row r="5611">
          <cell r="C5611" t="str">
            <v>推广订单扣款</v>
          </cell>
        </row>
        <row r="5611">
          <cell r="H5611" t="str">
            <v>海口店</v>
          </cell>
          <cell r="I5611">
            <v>46079</v>
          </cell>
          <cell r="J5611">
            <v>-300</v>
          </cell>
        </row>
        <row r="5612">
          <cell r="C5612" t="str">
            <v>推广订单扣款</v>
          </cell>
        </row>
        <row r="5612">
          <cell r="H5612" t="str">
            <v>诚毅店</v>
          </cell>
          <cell r="I5612">
            <v>46079</v>
          </cell>
          <cell r="J5612">
            <v>-79.96</v>
          </cell>
        </row>
        <row r="5613">
          <cell r="C5613" t="str">
            <v>推广订单扣款</v>
          </cell>
        </row>
        <row r="5613">
          <cell r="H5613" t="str">
            <v>首山店</v>
          </cell>
          <cell r="I5613">
            <v>46079</v>
          </cell>
          <cell r="J5613">
            <v>-85.17</v>
          </cell>
        </row>
        <row r="5614">
          <cell r="C5614" t="str">
            <v>推广订单扣款</v>
          </cell>
        </row>
        <row r="5614">
          <cell r="H5614" t="str">
            <v>首南店</v>
          </cell>
          <cell r="I5614">
            <v>46079</v>
          </cell>
          <cell r="J5614">
            <v>-130.69</v>
          </cell>
        </row>
        <row r="5615">
          <cell r="C5615" t="str">
            <v>推广订单扣款</v>
          </cell>
        </row>
        <row r="5615">
          <cell r="H5615" t="str">
            <v>余杭店</v>
          </cell>
          <cell r="I5615">
            <v>46079</v>
          </cell>
          <cell r="J5615">
            <v>-153.48</v>
          </cell>
        </row>
        <row r="5616">
          <cell r="C5616" t="str">
            <v>推广订单扣款</v>
          </cell>
        </row>
        <row r="5616">
          <cell r="H5616" t="str">
            <v>东海店</v>
          </cell>
          <cell r="I5616">
            <v>46079</v>
          </cell>
          <cell r="J5616">
            <v>-72.87</v>
          </cell>
        </row>
        <row r="5617">
          <cell r="C5617" t="str">
            <v>推广订单扣款</v>
          </cell>
        </row>
        <row r="5617">
          <cell r="H5617" t="str">
            <v>文灶店</v>
          </cell>
          <cell r="I5617">
            <v>46079</v>
          </cell>
          <cell r="J5617">
            <v>-56.7</v>
          </cell>
        </row>
        <row r="5618">
          <cell r="C5618" t="str">
            <v>推广订单扣款</v>
          </cell>
        </row>
        <row r="5618">
          <cell r="H5618" t="str">
            <v>滨江店</v>
          </cell>
          <cell r="I5618">
            <v>46079</v>
          </cell>
          <cell r="J5618">
            <v>-178.51</v>
          </cell>
        </row>
        <row r="5619">
          <cell r="C5619" t="str">
            <v>推广订单扣款</v>
          </cell>
        </row>
        <row r="5619">
          <cell r="H5619" t="str">
            <v>下沙店</v>
          </cell>
          <cell r="I5619">
            <v>46079</v>
          </cell>
          <cell r="J5619">
            <v>-140.5</v>
          </cell>
        </row>
        <row r="5620">
          <cell r="C5620" t="str">
            <v>推广订单扣款</v>
          </cell>
        </row>
        <row r="5620">
          <cell r="H5620" t="str">
            <v>济南店</v>
          </cell>
          <cell r="I5620">
            <v>46080</v>
          </cell>
          <cell r="J5620">
            <v>-158.64</v>
          </cell>
        </row>
        <row r="5621">
          <cell r="C5621" t="str">
            <v>推广订单扣款</v>
          </cell>
        </row>
        <row r="5621">
          <cell r="H5621" t="str">
            <v>首山店</v>
          </cell>
          <cell r="I5621">
            <v>46080</v>
          </cell>
          <cell r="J5621">
            <v>-85.87</v>
          </cell>
        </row>
        <row r="5622">
          <cell r="C5622" t="str">
            <v>推广订单扣款</v>
          </cell>
        </row>
        <row r="5622">
          <cell r="H5622" t="str">
            <v>鼓楼店</v>
          </cell>
          <cell r="I5622">
            <v>46080</v>
          </cell>
          <cell r="J5622">
            <v>-133.96</v>
          </cell>
        </row>
        <row r="5623">
          <cell r="C5623" t="str">
            <v>推广订单扣款</v>
          </cell>
        </row>
        <row r="5623">
          <cell r="H5623" t="str">
            <v>西湖店</v>
          </cell>
          <cell r="I5623">
            <v>46080</v>
          </cell>
          <cell r="J5623">
            <v>-97.97</v>
          </cell>
        </row>
        <row r="5624">
          <cell r="C5624" t="str">
            <v>推广订单扣款</v>
          </cell>
        </row>
        <row r="5624">
          <cell r="H5624" t="str">
            <v>大坪店</v>
          </cell>
          <cell r="I5624">
            <v>46080</v>
          </cell>
          <cell r="J5624">
            <v>-105.95</v>
          </cell>
        </row>
        <row r="5625">
          <cell r="C5625" t="str">
            <v>推广订单扣款</v>
          </cell>
        </row>
        <row r="5625">
          <cell r="H5625" t="str">
            <v>长沙店</v>
          </cell>
          <cell r="I5625">
            <v>46080</v>
          </cell>
          <cell r="J5625">
            <v>-40.8</v>
          </cell>
        </row>
        <row r="5626">
          <cell r="C5626" t="str">
            <v>推广订单扣款</v>
          </cell>
        </row>
        <row r="5626">
          <cell r="H5626" t="str">
            <v>金牛店</v>
          </cell>
          <cell r="I5626">
            <v>46080</v>
          </cell>
          <cell r="J5626">
            <v>-45.72</v>
          </cell>
        </row>
        <row r="5627">
          <cell r="C5627" t="str">
            <v>推广订单扣款</v>
          </cell>
        </row>
        <row r="5627">
          <cell r="H5627" t="str">
            <v>五路口店</v>
          </cell>
          <cell r="I5627">
            <v>46080</v>
          </cell>
          <cell r="J5627">
            <v>-180.09</v>
          </cell>
        </row>
        <row r="5628">
          <cell r="C5628" t="str">
            <v>推广订单扣款</v>
          </cell>
        </row>
        <row r="5628">
          <cell r="H5628" t="str">
            <v>百丈店</v>
          </cell>
          <cell r="I5628">
            <v>46080</v>
          </cell>
          <cell r="J5628">
            <v>-133.84</v>
          </cell>
        </row>
        <row r="5629">
          <cell r="C5629" t="str">
            <v>推广订单扣款</v>
          </cell>
        </row>
        <row r="5629">
          <cell r="H5629" t="str">
            <v>海口店</v>
          </cell>
          <cell r="I5629">
            <v>46080</v>
          </cell>
          <cell r="J5629">
            <v>-300</v>
          </cell>
        </row>
        <row r="5630">
          <cell r="C5630" t="str">
            <v>推广订单扣款</v>
          </cell>
        </row>
        <row r="5630">
          <cell r="H5630" t="str">
            <v>观音桥店</v>
          </cell>
          <cell r="I5630">
            <v>46080</v>
          </cell>
          <cell r="J5630">
            <v>-91.08</v>
          </cell>
        </row>
        <row r="5631">
          <cell r="C5631" t="str">
            <v>推广订单扣款</v>
          </cell>
        </row>
        <row r="5631">
          <cell r="H5631" t="str">
            <v>沙坪坝店</v>
          </cell>
          <cell r="I5631">
            <v>46080</v>
          </cell>
          <cell r="J5631">
            <v>-184.91</v>
          </cell>
        </row>
        <row r="5632">
          <cell r="C5632" t="str">
            <v>推广订单扣款</v>
          </cell>
        </row>
        <row r="5632">
          <cell r="H5632" t="str">
            <v>五华店</v>
          </cell>
          <cell r="I5632">
            <v>46080</v>
          </cell>
          <cell r="J5632">
            <v>-102.8</v>
          </cell>
        </row>
        <row r="5633">
          <cell r="C5633" t="str">
            <v>推广订单扣款</v>
          </cell>
        </row>
        <row r="5633">
          <cell r="H5633" t="str">
            <v>高新店</v>
          </cell>
          <cell r="I5633">
            <v>46080</v>
          </cell>
          <cell r="J5633">
            <v>-80.7</v>
          </cell>
        </row>
        <row r="5634">
          <cell r="C5634" t="str">
            <v>推广订单扣款</v>
          </cell>
        </row>
        <row r="5634">
          <cell r="H5634" t="str">
            <v>余杭店</v>
          </cell>
          <cell r="I5634">
            <v>46080</v>
          </cell>
          <cell r="J5634">
            <v>-182.39</v>
          </cell>
        </row>
        <row r="5635">
          <cell r="C5635" t="str">
            <v>推广订单扣款</v>
          </cell>
        </row>
        <row r="5635">
          <cell r="H5635" t="str">
            <v>西山店</v>
          </cell>
          <cell r="I5635">
            <v>46080</v>
          </cell>
          <cell r="J5635">
            <v>-109.16</v>
          </cell>
        </row>
        <row r="5636">
          <cell r="C5636" t="str">
            <v>推广订单扣款</v>
          </cell>
        </row>
        <row r="5636">
          <cell r="H5636" t="str">
            <v>华信店</v>
          </cell>
          <cell r="I5636">
            <v>46080</v>
          </cell>
          <cell r="J5636">
            <v>-200</v>
          </cell>
        </row>
        <row r="5637">
          <cell r="C5637" t="str">
            <v>推广订单扣款</v>
          </cell>
        </row>
        <row r="5637">
          <cell r="H5637" t="str">
            <v>东新店</v>
          </cell>
          <cell r="I5637">
            <v>46080</v>
          </cell>
          <cell r="J5637">
            <v>-42.79</v>
          </cell>
        </row>
        <row r="5638">
          <cell r="C5638" t="str">
            <v>推广订单扣款</v>
          </cell>
        </row>
        <row r="5638">
          <cell r="H5638" t="str">
            <v>武侯店</v>
          </cell>
          <cell r="I5638">
            <v>46080</v>
          </cell>
          <cell r="J5638">
            <v>-88.13</v>
          </cell>
        </row>
        <row r="5639">
          <cell r="C5639" t="str">
            <v>推广订单扣款</v>
          </cell>
        </row>
        <row r="5639">
          <cell r="H5639" t="str">
            <v>泉秀店</v>
          </cell>
          <cell r="I5639">
            <v>46080</v>
          </cell>
          <cell r="J5639">
            <v>-300</v>
          </cell>
        </row>
        <row r="5640">
          <cell r="C5640" t="str">
            <v>推广订单扣款</v>
          </cell>
        </row>
        <row r="5640">
          <cell r="H5640" t="str">
            <v>青羊店</v>
          </cell>
          <cell r="I5640">
            <v>46080</v>
          </cell>
          <cell r="J5640">
            <v>-75.68</v>
          </cell>
        </row>
        <row r="5641">
          <cell r="C5641" t="str">
            <v>推广订单扣款</v>
          </cell>
        </row>
        <row r="5641">
          <cell r="H5641" t="str">
            <v>槐荫店</v>
          </cell>
          <cell r="I5641">
            <v>46080</v>
          </cell>
          <cell r="J5641">
            <v>-200</v>
          </cell>
        </row>
        <row r="5642">
          <cell r="C5642" t="str">
            <v>推广订单扣款</v>
          </cell>
        </row>
        <row r="5642">
          <cell r="H5642" t="str">
            <v>湖里店</v>
          </cell>
          <cell r="I5642">
            <v>46080</v>
          </cell>
          <cell r="J5642">
            <v>-79.81</v>
          </cell>
        </row>
        <row r="5643">
          <cell r="C5643" t="str">
            <v>推广订单扣款</v>
          </cell>
        </row>
        <row r="5643">
          <cell r="H5643" t="str">
            <v>东海店</v>
          </cell>
          <cell r="I5643">
            <v>46080</v>
          </cell>
          <cell r="J5643">
            <v>-54.63</v>
          </cell>
        </row>
        <row r="5644">
          <cell r="C5644" t="str">
            <v>推广订单扣款</v>
          </cell>
        </row>
        <row r="5644">
          <cell r="H5644" t="str">
            <v>官渡店</v>
          </cell>
          <cell r="I5644">
            <v>46080</v>
          </cell>
          <cell r="J5644">
            <v>-121.65</v>
          </cell>
        </row>
        <row r="5645">
          <cell r="C5645" t="str">
            <v>推广订单扣款</v>
          </cell>
        </row>
        <row r="5645">
          <cell r="H5645" t="str">
            <v>首南店</v>
          </cell>
          <cell r="I5645">
            <v>46080</v>
          </cell>
          <cell r="J5645">
            <v>-137.14</v>
          </cell>
        </row>
        <row r="5646">
          <cell r="C5646" t="str">
            <v>推广订单扣款</v>
          </cell>
        </row>
        <row r="5646">
          <cell r="H5646" t="str">
            <v>滨江店</v>
          </cell>
          <cell r="I5646">
            <v>46080</v>
          </cell>
          <cell r="J5646">
            <v>-126.17</v>
          </cell>
        </row>
        <row r="5647">
          <cell r="C5647" t="str">
            <v>推广账户自动充值</v>
          </cell>
        </row>
        <row r="5647">
          <cell r="H5647" t="str">
            <v>济南店</v>
          </cell>
          <cell r="I5647">
            <v>46080</v>
          </cell>
          <cell r="J5647">
            <v>200</v>
          </cell>
        </row>
        <row r="5648">
          <cell r="C5648" t="str">
            <v>推广订单扣款</v>
          </cell>
        </row>
        <row r="5648">
          <cell r="H5648" t="str">
            <v>百捷店</v>
          </cell>
          <cell r="I5648">
            <v>46080</v>
          </cell>
          <cell r="J5648">
            <v>-80.04</v>
          </cell>
        </row>
        <row r="5649">
          <cell r="C5649" t="str">
            <v>推广订单扣款</v>
          </cell>
        </row>
        <row r="5649">
          <cell r="H5649" t="str">
            <v>文灶店</v>
          </cell>
          <cell r="I5649">
            <v>46080</v>
          </cell>
          <cell r="J5649">
            <v>-56.46</v>
          </cell>
        </row>
        <row r="5650">
          <cell r="C5650" t="str">
            <v>推广订单扣款</v>
          </cell>
        </row>
        <row r="5650">
          <cell r="H5650" t="str">
            <v>凤城二路店</v>
          </cell>
          <cell r="I5650">
            <v>46080</v>
          </cell>
          <cell r="J5650">
            <v>-200</v>
          </cell>
        </row>
        <row r="5651">
          <cell r="C5651" t="str">
            <v>推广订单扣款</v>
          </cell>
        </row>
        <row r="5651">
          <cell r="H5651" t="str">
            <v>启点店</v>
          </cell>
          <cell r="I5651">
            <v>46080</v>
          </cell>
          <cell r="J5651">
            <v>-56.04</v>
          </cell>
        </row>
        <row r="5652">
          <cell r="C5652" t="str">
            <v>推广订单扣款</v>
          </cell>
        </row>
        <row r="5652">
          <cell r="H5652" t="str">
            <v>下沙店</v>
          </cell>
          <cell r="I5652">
            <v>46080</v>
          </cell>
          <cell r="J5652">
            <v>-173.81</v>
          </cell>
        </row>
        <row r="5653">
          <cell r="C5653" t="str">
            <v>推广订单扣款</v>
          </cell>
        </row>
        <row r="5653">
          <cell r="H5653" t="str">
            <v>诚毅店</v>
          </cell>
          <cell r="I5653">
            <v>46080</v>
          </cell>
          <cell r="J5653">
            <v>-93.34</v>
          </cell>
        </row>
        <row r="5654">
          <cell r="C5654" t="str">
            <v>推广订单扣款</v>
          </cell>
        </row>
        <row r="5654">
          <cell r="H5654" t="str">
            <v>成华店</v>
          </cell>
          <cell r="I5654">
            <v>46080</v>
          </cell>
          <cell r="J5654">
            <v>-62.7</v>
          </cell>
        </row>
        <row r="5655">
          <cell r="C5655" t="str">
            <v>推广订单扣款</v>
          </cell>
        </row>
        <row r="5655">
          <cell r="H5655" t="str">
            <v>黄雁村店</v>
          </cell>
          <cell r="I5655">
            <v>46080</v>
          </cell>
          <cell r="J5655">
            <v>-164.25</v>
          </cell>
        </row>
        <row r="5656">
          <cell r="C5656" t="str">
            <v>推广订单扣款</v>
          </cell>
        </row>
        <row r="5656">
          <cell r="H5656" t="str">
            <v>观桥店</v>
          </cell>
          <cell r="I5656">
            <v>46080</v>
          </cell>
          <cell r="J5656">
            <v>-106.28</v>
          </cell>
        </row>
        <row r="5657">
          <cell r="C5657" t="str">
            <v>推广账户自动充值</v>
          </cell>
        </row>
        <row r="5657">
          <cell r="H5657" t="str">
            <v>首南店</v>
          </cell>
          <cell r="I5657">
            <v>46080</v>
          </cell>
          <cell r="J5657">
            <v>200</v>
          </cell>
        </row>
        <row r="5658">
          <cell r="C5658" t="str">
            <v>推广订单扣款</v>
          </cell>
        </row>
        <row r="5658">
          <cell r="H5658" t="str">
            <v>文昌店</v>
          </cell>
          <cell r="I5658">
            <v>46080</v>
          </cell>
          <cell r="J5658">
            <v>-67.02</v>
          </cell>
        </row>
        <row r="5659">
          <cell r="C5659" t="str">
            <v>推广账户自动充值</v>
          </cell>
        </row>
        <row r="5659">
          <cell r="H5659" t="str">
            <v>下沙店</v>
          </cell>
          <cell r="I5659">
            <v>46080</v>
          </cell>
          <cell r="J5659">
            <v>100</v>
          </cell>
        </row>
        <row r="5660">
          <cell r="C5660" t="str">
            <v>推广账户自动充值</v>
          </cell>
        </row>
        <row r="5660">
          <cell r="H5660" t="str">
            <v>诚毅店</v>
          </cell>
          <cell r="I5660">
            <v>46080</v>
          </cell>
          <cell r="J5660">
            <v>200</v>
          </cell>
        </row>
        <row r="5661">
          <cell r="C5661" t="str">
            <v>推广账户自动充值</v>
          </cell>
        </row>
        <row r="5661">
          <cell r="H5661" t="str">
            <v>黄雁村店</v>
          </cell>
          <cell r="I5661">
            <v>46080</v>
          </cell>
          <cell r="J5661">
            <v>200</v>
          </cell>
        </row>
        <row r="5662">
          <cell r="C5662" t="str">
            <v>推广账户自动充值</v>
          </cell>
        </row>
        <row r="5662">
          <cell r="H5662" t="str">
            <v>西山店</v>
          </cell>
          <cell r="I5662">
            <v>46080</v>
          </cell>
          <cell r="J5662">
            <v>200</v>
          </cell>
        </row>
        <row r="5663">
          <cell r="C5663" t="str">
            <v>推广账户自动充值</v>
          </cell>
        </row>
        <row r="5663">
          <cell r="H5663" t="str">
            <v>凤城二路店</v>
          </cell>
          <cell r="I5663">
            <v>46080</v>
          </cell>
          <cell r="J5663">
            <v>200</v>
          </cell>
        </row>
        <row r="5664">
          <cell r="C5664" t="str">
            <v>推广账户自动充值</v>
          </cell>
        </row>
        <row r="5664">
          <cell r="H5664" t="str">
            <v>华信店</v>
          </cell>
          <cell r="I5664">
            <v>46080</v>
          </cell>
          <cell r="J5664">
            <v>200</v>
          </cell>
        </row>
        <row r="5665">
          <cell r="C5665" t="str">
            <v>推广账户自动充值</v>
          </cell>
        </row>
        <row r="5665">
          <cell r="H5665" t="str">
            <v>长沙店</v>
          </cell>
          <cell r="I5665">
            <v>46080</v>
          </cell>
          <cell r="J5665">
            <v>200</v>
          </cell>
        </row>
        <row r="5666">
          <cell r="C5666" t="str">
            <v>推广账户自动充值</v>
          </cell>
        </row>
        <row r="5666">
          <cell r="H5666" t="str">
            <v>泉秀店</v>
          </cell>
          <cell r="I5666">
            <v>46080</v>
          </cell>
          <cell r="J5666">
            <v>200</v>
          </cell>
        </row>
        <row r="5667">
          <cell r="C5667" t="str">
            <v>推广账户自动充值</v>
          </cell>
        </row>
        <row r="5667">
          <cell r="H5667" t="str">
            <v>沙坪坝店</v>
          </cell>
          <cell r="I5667">
            <v>46080</v>
          </cell>
          <cell r="J5667">
            <v>200</v>
          </cell>
        </row>
        <row r="5668">
          <cell r="C5668" t="str">
            <v>推广账户自动充值</v>
          </cell>
        </row>
        <row r="5668">
          <cell r="H5668" t="str">
            <v>观音桥店</v>
          </cell>
          <cell r="I5668">
            <v>46080</v>
          </cell>
          <cell r="J5668">
            <v>200</v>
          </cell>
        </row>
        <row r="5669">
          <cell r="C5669" t="str">
            <v>推广账户自动充值</v>
          </cell>
        </row>
        <row r="5669">
          <cell r="H5669" t="str">
            <v>槐荫店</v>
          </cell>
          <cell r="I5669">
            <v>46080</v>
          </cell>
          <cell r="J5669">
            <v>200</v>
          </cell>
        </row>
        <row r="5670">
          <cell r="C5670" t="str">
            <v>推广账户自动充值</v>
          </cell>
        </row>
        <row r="5670">
          <cell r="H5670" t="str">
            <v>五华店</v>
          </cell>
          <cell r="I5670">
            <v>46080</v>
          </cell>
          <cell r="J5670">
            <v>200</v>
          </cell>
        </row>
        <row r="5671">
          <cell r="C5671" t="str">
            <v>推广账户自动充值</v>
          </cell>
        </row>
        <row r="5671">
          <cell r="H5671" t="str">
            <v>南安店</v>
          </cell>
          <cell r="I5671">
            <v>46080</v>
          </cell>
          <cell r="J5671">
            <v>50</v>
          </cell>
        </row>
        <row r="5672">
          <cell r="C5672" t="str">
            <v>推广账户自动充值</v>
          </cell>
        </row>
        <row r="5672">
          <cell r="H5672" t="str">
            <v>大坪店</v>
          </cell>
          <cell r="I5672">
            <v>46080</v>
          </cell>
          <cell r="J5672">
            <v>200</v>
          </cell>
        </row>
        <row r="5673">
          <cell r="C5673" t="str">
            <v>推广账户自动充值</v>
          </cell>
        </row>
        <row r="5673">
          <cell r="H5673" t="str">
            <v>海口店</v>
          </cell>
          <cell r="I5673">
            <v>46080</v>
          </cell>
          <cell r="J5673">
            <v>200</v>
          </cell>
        </row>
        <row r="5674">
          <cell r="C5674" t="str">
            <v>推广账户自动充值</v>
          </cell>
        </row>
        <row r="5674">
          <cell r="H5674" t="str">
            <v>下沙店</v>
          </cell>
          <cell r="I5674">
            <v>46080</v>
          </cell>
          <cell r="J5674">
            <v>100</v>
          </cell>
        </row>
        <row r="5675">
          <cell r="C5675" t="str">
            <v>推广账户自动充值</v>
          </cell>
        </row>
        <row r="5675">
          <cell r="H5675" t="str">
            <v>成华店</v>
          </cell>
          <cell r="I5675">
            <v>46080</v>
          </cell>
          <cell r="J5675">
            <v>200</v>
          </cell>
        </row>
        <row r="5676">
          <cell r="C5676" t="str">
            <v>推广账户自动充值</v>
          </cell>
        </row>
        <row r="5676">
          <cell r="H5676" t="str">
            <v>首山店</v>
          </cell>
          <cell r="I5676">
            <v>46080</v>
          </cell>
          <cell r="J5676">
            <v>200</v>
          </cell>
        </row>
        <row r="5677">
          <cell r="C5677" t="str">
            <v>推广账户自动充值</v>
          </cell>
        </row>
        <row r="5677">
          <cell r="H5677" t="str">
            <v>官渡店</v>
          </cell>
          <cell r="I5677">
            <v>46080</v>
          </cell>
          <cell r="J5677">
            <v>200</v>
          </cell>
        </row>
        <row r="5678">
          <cell r="C5678" t="str">
            <v>推广账户自动充值</v>
          </cell>
        </row>
        <row r="5678">
          <cell r="H5678" t="str">
            <v>文灶店</v>
          </cell>
          <cell r="I5678">
            <v>46080</v>
          </cell>
          <cell r="J5678">
            <v>200</v>
          </cell>
        </row>
        <row r="5679">
          <cell r="C5679" t="str">
            <v>推广账户自动充值</v>
          </cell>
        </row>
        <row r="5679">
          <cell r="H5679" t="str">
            <v>五路口店</v>
          </cell>
          <cell r="I5679">
            <v>46080</v>
          </cell>
          <cell r="J5679">
            <v>200</v>
          </cell>
        </row>
        <row r="5680">
          <cell r="C5680" t="str">
            <v>推广账户自动充值</v>
          </cell>
        </row>
        <row r="5680">
          <cell r="H5680" t="str">
            <v>百丈店</v>
          </cell>
          <cell r="I5680">
            <v>46080</v>
          </cell>
          <cell r="J5680">
            <v>200</v>
          </cell>
        </row>
        <row r="5681">
          <cell r="C5681" t="str">
            <v>推广订单扣款</v>
          </cell>
        </row>
        <row r="5681">
          <cell r="H5681" t="str">
            <v>济南店</v>
          </cell>
          <cell r="I5681">
            <v>46081</v>
          </cell>
          <cell r="J5681">
            <v>-176.65</v>
          </cell>
        </row>
        <row r="5682">
          <cell r="C5682" t="str">
            <v>推广订单扣款</v>
          </cell>
        </row>
        <row r="5682">
          <cell r="H5682" t="str">
            <v>首山店</v>
          </cell>
          <cell r="I5682">
            <v>46081</v>
          </cell>
          <cell r="J5682">
            <v>-106.04</v>
          </cell>
        </row>
        <row r="5683">
          <cell r="C5683" t="str">
            <v>推广订单扣款</v>
          </cell>
        </row>
        <row r="5683">
          <cell r="H5683" t="str">
            <v>西湖店</v>
          </cell>
          <cell r="I5683">
            <v>46081</v>
          </cell>
          <cell r="J5683">
            <v>-67.51</v>
          </cell>
        </row>
        <row r="5684">
          <cell r="C5684" t="str">
            <v>推广订单扣款</v>
          </cell>
        </row>
        <row r="5684">
          <cell r="H5684" t="str">
            <v>鼓楼店</v>
          </cell>
          <cell r="I5684">
            <v>46081</v>
          </cell>
          <cell r="J5684">
            <v>-102.99</v>
          </cell>
        </row>
        <row r="5685">
          <cell r="C5685" t="str">
            <v>推广订单扣款</v>
          </cell>
        </row>
        <row r="5685">
          <cell r="H5685" t="str">
            <v>大坪店</v>
          </cell>
          <cell r="I5685">
            <v>46081</v>
          </cell>
          <cell r="J5685">
            <v>-82.31</v>
          </cell>
        </row>
        <row r="5686">
          <cell r="C5686" t="str">
            <v>推广订单扣款</v>
          </cell>
        </row>
        <row r="5686">
          <cell r="H5686" t="str">
            <v>洛江店</v>
          </cell>
          <cell r="I5686">
            <v>46081</v>
          </cell>
          <cell r="J5686">
            <v>-107.95</v>
          </cell>
        </row>
        <row r="5687">
          <cell r="C5687" t="str">
            <v>推广订单扣款</v>
          </cell>
        </row>
        <row r="5687">
          <cell r="H5687" t="str">
            <v>长沙店</v>
          </cell>
          <cell r="I5687">
            <v>46081</v>
          </cell>
          <cell r="J5687">
            <v>-74.73</v>
          </cell>
        </row>
        <row r="5688">
          <cell r="C5688" t="str">
            <v>推广订单扣款</v>
          </cell>
        </row>
        <row r="5688">
          <cell r="H5688" t="str">
            <v>金牛店</v>
          </cell>
          <cell r="I5688">
            <v>46081</v>
          </cell>
          <cell r="J5688">
            <v>-27.32</v>
          </cell>
        </row>
        <row r="5689">
          <cell r="C5689" t="str">
            <v>推广订单扣款</v>
          </cell>
        </row>
        <row r="5689">
          <cell r="H5689" t="str">
            <v>五路口店</v>
          </cell>
          <cell r="I5689">
            <v>46081</v>
          </cell>
          <cell r="J5689">
            <v>-161.4</v>
          </cell>
        </row>
        <row r="5690">
          <cell r="C5690" t="str">
            <v>推广订单扣款</v>
          </cell>
        </row>
        <row r="5690">
          <cell r="H5690" t="str">
            <v>百丈店</v>
          </cell>
          <cell r="I5690">
            <v>46081</v>
          </cell>
          <cell r="J5690">
            <v>-130.54</v>
          </cell>
        </row>
        <row r="5691">
          <cell r="C5691" t="str">
            <v>推广订单扣款</v>
          </cell>
        </row>
        <row r="5691">
          <cell r="H5691" t="str">
            <v>观音桥店</v>
          </cell>
          <cell r="I5691">
            <v>46081</v>
          </cell>
          <cell r="J5691">
            <v>-120.53</v>
          </cell>
        </row>
        <row r="5692">
          <cell r="C5692" t="str">
            <v>推广订单扣款</v>
          </cell>
        </row>
        <row r="5692">
          <cell r="H5692" t="str">
            <v>海口店</v>
          </cell>
          <cell r="I5692">
            <v>46081</v>
          </cell>
          <cell r="J5692">
            <v>-300</v>
          </cell>
        </row>
        <row r="5693">
          <cell r="C5693" t="str">
            <v>推广订单扣款</v>
          </cell>
        </row>
        <row r="5693">
          <cell r="H5693" t="str">
            <v>南安店</v>
          </cell>
          <cell r="I5693">
            <v>46081</v>
          </cell>
          <cell r="J5693">
            <v>-18.13</v>
          </cell>
        </row>
        <row r="5694">
          <cell r="C5694" t="str">
            <v>推广订单扣款</v>
          </cell>
        </row>
        <row r="5694">
          <cell r="H5694" t="str">
            <v>五华店</v>
          </cell>
          <cell r="I5694">
            <v>46081</v>
          </cell>
          <cell r="J5694">
            <v>-131.27</v>
          </cell>
        </row>
        <row r="5695">
          <cell r="C5695" t="str">
            <v>推广订单扣款</v>
          </cell>
        </row>
        <row r="5695">
          <cell r="H5695" t="str">
            <v>高新店</v>
          </cell>
          <cell r="I5695">
            <v>46081</v>
          </cell>
          <cell r="J5695">
            <v>-57.03</v>
          </cell>
        </row>
        <row r="5696">
          <cell r="C5696" t="str">
            <v>推广订单扣款</v>
          </cell>
        </row>
        <row r="5696">
          <cell r="H5696" t="str">
            <v>沙坪坝店</v>
          </cell>
          <cell r="I5696">
            <v>46081</v>
          </cell>
          <cell r="J5696">
            <v>-143.8</v>
          </cell>
        </row>
        <row r="5697">
          <cell r="C5697" t="str">
            <v>推广订单扣款</v>
          </cell>
        </row>
        <row r="5697">
          <cell r="H5697" t="str">
            <v>余杭店</v>
          </cell>
          <cell r="I5697">
            <v>46081</v>
          </cell>
          <cell r="J5697">
            <v>-110.72</v>
          </cell>
        </row>
        <row r="5698">
          <cell r="C5698" t="str">
            <v>推广订单扣款</v>
          </cell>
        </row>
        <row r="5698">
          <cell r="H5698" t="str">
            <v>西山店</v>
          </cell>
          <cell r="I5698">
            <v>46081</v>
          </cell>
          <cell r="J5698">
            <v>-114.95</v>
          </cell>
        </row>
        <row r="5699">
          <cell r="C5699" t="str">
            <v>推广订单扣款</v>
          </cell>
        </row>
        <row r="5699">
          <cell r="H5699" t="str">
            <v>华信店</v>
          </cell>
          <cell r="I5699">
            <v>46081</v>
          </cell>
          <cell r="J5699">
            <v>-200</v>
          </cell>
        </row>
        <row r="5700">
          <cell r="C5700" t="str">
            <v>推广订单扣款</v>
          </cell>
        </row>
        <row r="5700">
          <cell r="H5700" t="str">
            <v>东新店</v>
          </cell>
          <cell r="I5700">
            <v>46081</v>
          </cell>
          <cell r="J5700">
            <v>-60.23</v>
          </cell>
        </row>
        <row r="5701">
          <cell r="C5701" t="str">
            <v>推广订单扣款</v>
          </cell>
        </row>
        <row r="5701">
          <cell r="H5701" t="str">
            <v>武侯店</v>
          </cell>
          <cell r="I5701">
            <v>46081</v>
          </cell>
          <cell r="J5701">
            <v>-82.3</v>
          </cell>
        </row>
        <row r="5702">
          <cell r="C5702" t="str">
            <v>推广订单扣款</v>
          </cell>
        </row>
        <row r="5702">
          <cell r="H5702" t="str">
            <v>泉秀店</v>
          </cell>
          <cell r="I5702">
            <v>46081</v>
          </cell>
          <cell r="J5702">
            <v>-159.26</v>
          </cell>
        </row>
        <row r="5703">
          <cell r="C5703" t="str">
            <v>推广订单扣款</v>
          </cell>
        </row>
        <row r="5703">
          <cell r="H5703" t="str">
            <v>槐荫店</v>
          </cell>
          <cell r="I5703">
            <v>46081</v>
          </cell>
          <cell r="J5703">
            <v>-200</v>
          </cell>
        </row>
        <row r="5704">
          <cell r="C5704" t="str">
            <v>推广订单扣款</v>
          </cell>
        </row>
        <row r="5704">
          <cell r="H5704" t="str">
            <v>青羊店</v>
          </cell>
          <cell r="I5704">
            <v>46081</v>
          </cell>
          <cell r="J5704">
            <v>-36.09</v>
          </cell>
        </row>
        <row r="5705">
          <cell r="C5705" t="str">
            <v>推广订单扣款</v>
          </cell>
        </row>
        <row r="5705">
          <cell r="H5705" t="str">
            <v>湖里店</v>
          </cell>
          <cell r="I5705">
            <v>46081</v>
          </cell>
          <cell r="J5705">
            <v>-65.48</v>
          </cell>
        </row>
        <row r="5706">
          <cell r="C5706" t="str">
            <v>推广订单扣款</v>
          </cell>
        </row>
        <row r="5706">
          <cell r="H5706" t="str">
            <v>官渡店</v>
          </cell>
          <cell r="I5706">
            <v>46081</v>
          </cell>
          <cell r="J5706">
            <v>-146.55</v>
          </cell>
        </row>
        <row r="5707">
          <cell r="C5707" t="str">
            <v>推广订单扣款</v>
          </cell>
        </row>
        <row r="5707">
          <cell r="H5707" t="str">
            <v>东海店</v>
          </cell>
          <cell r="I5707">
            <v>46081</v>
          </cell>
          <cell r="J5707">
            <v>-48.6</v>
          </cell>
        </row>
        <row r="5708">
          <cell r="C5708" t="str">
            <v>推广订单扣款</v>
          </cell>
        </row>
        <row r="5708">
          <cell r="H5708" t="str">
            <v>首南店</v>
          </cell>
          <cell r="I5708">
            <v>46081</v>
          </cell>
          <cell r="J5708">
            <v>-94.89</v>
          </cell>
        </row>
        <row r="5709">
          <cell r="C5709" t="str">
            <v>推广订单扣款</v>
          </cell>
        </row>
        <row r="5709">
          <cell r="H5709" t="str">
            <v>滨江店</v>
          </cell>
          <cell r="I5709">
            <v>46081</v>
          </cell>
          <cell r="J5709">
            <v>-121.53</v>
          </cell>
        </row>
        <row r="5710">
          <cell r="C5710" t="str">
            <v>推广订单扣款</v>
          </cell>
        </row>
        <row r="5710">
          <cell r="H5710" t="str">
            <v>百捷店</v>
          </cell>
          <cell r="I5710">
            <v>46081</v>
          </cell>
          <cell r="J5710">
            <v>-44.21</v>
          </cell>
        </row>
        <row r="5711">
          <cell r="C5711" t="str">
            <v>推广订单扣款</v>
          </cell>
        </row>
        <row r="5711">
          <cell r="H5711" t="str">
            <v>文灶店</v>
          </cell>
          <cell r="I5711">
            <v>46081</v>
          </cell>
          <cell r="J5711">
            <v>-76.12</v>
          </cell>
        </row>
        <row r="5712">
          <cell r="C5712" t="str">
            <v>推广订单扣款</v>
          </cell>
        </row>
        <row r="5712">
          <cell r="H5712" t="str">
            <v>凤城二路店</v>
          </cell>
          <cell r="I5712">
            <v>46081</v>
          </cell>
          <cell r="J5712">
            <v>-146.85</v>
          </cell>
        </row>
        <row r="5713">
          <cell r="C5713" t="str">
            <v>推广订单扣款</v>
          </cell>
        </row>
        <row r="5713">
          <cell r="H5713" t="str">
            <v>启点店</v>
          </cell>
          <cell r="I5713">
            <v>46081</v>
          </cell>
          <cell r="J5713">
            <v>-64.31</v>
          </cell>
        </row>
        <row r="5714">
          <cell r="C5714" t="str">
            <v>推广订单扣款</v>
          </cell>
        </row>
        <row r="5714">
          <cell r="H5714" t="str">
            <v>下沙店</v>
          </cell>
          <cell r="I5714">
            <v>46081</v>
          </cell>
          <cell r="J5714">
            <v>-170.81</v>
          </cell>
        </row>
        <row r="5715">
          <cell r="C5715" t="str">
            <v>推广订单扣款</v>
          </cell>
        </row>
        <row r="5715">
          <cell r="H5715" t="str">
            <v>成华店</v>
          </cell>
          <cell r="I5715">
            <v>46081</v>
          </cell>
          <cell r="J5715">
            <v>-57.51</v>
          </cell>
        </row>
        <row r="5716">
          <cell r="C5716" t="str">
            <v>推广订单扣款</v>
          </cell>
        </row>
        <row r="5716">
          <cell r="H5716" t="str">
            <v>黄雁村店</v>
          </cell>
          <cell r="I5716">
            <v>46081</v>
          </cell>
          <cell r="J5716">
            <v>-179.12</v>
          </cell>
        </row>
        <row r="5717">
          <cell r="C5717" t="str">
            <v>推广订单扣款</v>
          </cell>
        </row>
        <row r="5717">
          <cell r="H5717" t="str">
            <v>诚毅店</v>
          </cell>
          <cell r="I5717">
            <v>46081</v>
          </cell>
          <cell r="J5717">
            <v>-88.47</v>
          </cell>
        </row>
        <row r="5718">
          <cell r="C5718" t="str">
            <v>推广订单扣款</v>
          </cell>
        </row>
        <row r="5718">
          <cell r="H5718" t="str">
            <v>观桥店</v>
          </cell>
          <cell r="I5718">
            <v>46081</v>
          </cell>
          <cell r="J5718">
            <v>-150.67</v>
          </cell>
        </row>
        <row r="5719">
          <cell r="C5719" t="str">
            <v>推广订单扣款</v>
          </cell>
        </row>
        <row r="5719">
          <cell r="H5719" t="str">
            <v>文昌店</v>
          </cell>
          <cell r="I5719">
            <v>46081</v>
          </cell>
          <cell r="J5719">
            <v>-70.43</v>
          </cell>
        </row>
        <row r="5720">
          <cell r="C5720" t="str">
            <v>推广账户自动充值</v>
          </cell>
        </row>
        <row r="5720">
          <cell r="H5720" t="str">
            <v>观桥店</v>
          </cell>
          <cell r="I5720">
            <v>46081</v>
          </cell>
          <cell r="J5720">
            <v>200</v>
          </cell>
        </row>
        <row r="5721">
          <cell r="C5721" t="str">
            <v>推广账户自动充值</v>
          </cell>
        </row>
        <row r="5721">
          <cell r="H5721" t="str">
            <v>余杭店</v>
          </cell>
          <cell r="I5721">
            <v>46081</v>
          </cell>
          <cell r="J5721">
            <v>200</v>
          </cell>
        </row>
        <row r="5722">
          <cell r="C5722" t="str">
            <v>推广账户自动充值</v>
          </cell>
        </row>
        <row r="5722">
          <cell r="H5722" t="str">
            <v>下沙店</v>
          </cell>
          <cell r="I5722">
            <v>46081</v>
          </cell>
          <cell r="J5722">
            <v>100</v>
          </cell>
        </row>
        <row r="5723">
          <cell r="C5723" t="str">
            <v>推广账户自动充值</v>
          </cell>
        </row>
        <row r="5723">
          <cell r="H5723" t="str">
            <v>金牛店</v>
          </cell>
          <cell r="I5723">
            <v>46081</v>
          </cell>
          <cell r="J5723">
            <v>200</v>
          </cell>
        </row>
        <row r="5724">
          <cell r="C5724" t="str">
            <v>推广账户自动充值</v>
          </cell>
        </row>
        <row r="5724">
          <cell r="H5724" t="str">
            <v>黄雁村店</v>
          </cell>
          <cell r="I5724">
            <v>46081</v>
          </cell>
          <cell r="J5724">
            <v>200</v>
          </cell>
        </row>
        <row r="5725">
          <cell r="C5725" t="str">
            <v>推广账户自动充值</v>
          </cell>
        </row>
        <row r="5725">
          <cell r="H5725" t="str">
            <v>济南店</v>
          </cell>
          <cell r="I5725">
            <v>46081</v>
          </cell>
          <cell r="J5725">
            <v>200</v>
          </cell>
        </row>
        <row r="5726">
          <cell r="C5726" t="str">
            <v>推广账户自动充值</v>
          </cell>
        </row>
        <row r="5726">
          <cell r="H5726" t="str">
            <v>华信店</v>
          </cell>
          <cell r="I5726">
            <v>46081</v>
          </cell>
          <cell r="J5726">
            <v>200</v>
          </cell>
        </row>
        <row r="5727">
          <cell r="C5727" t="str">
            <v>推广账户自动充值</v>
          </cell>
        </row>
        <row r="5727">
          <cell r="H5727" t="str">
            <v>湖里店</v>
          </cell>
          <cell r="I5727">
            <v>46081</v>
          </cell>
          <cell r="J5727">
            <v>200</v>
          </cell>
        </row>
        <row r="5728">
          <cell r="C5728" t="str">
            <v>推广账户自动充值</v>
          </cell>
        </row>
        <row r="5728">
          <cell r="H5728" t="str">
            <v>滨江店</v>
          </cell>
          <cell r="I5728">
            <v>46081</v>
          </cell>
          <cell r="J5728">
            <v>200</v>
          </cell>
        </row>
        <row r="5729">
          <cell r="C5729" t="str">
            <v>推广账户自动充值</v>
          </cell>
        </row>
        <row r="5729">
          <cell r="H5729" t="str">
            <v>槐荫店</v>
          </cell>
          <cell r="I5729">
            <v>46081</v>
          </cell>
          <cell r="J5729">
            <v>200</v>
          </cell>
        </row>
        <row r="5730">
          <cell r="C5730" t="str">
            <v>推广账户自动充值</v>
          </cell>
        </row>
        <row r="5730">
          <cell r="H5730" t="str">
            <v>海口店</v>
          </cell>
          <cell r="I5730">
            <v>46081</v>
          </cell>
          <cell r="J5730">
            <v>200</v>
          </cell>
        </row>
        <row r="5731">
          <cell r="C5731" t="str">
            <v>推广账户自动充值</v>
          </cell>
        </row>
        <row r="5731">
          <cell r="H5731" t="str">
            <v>武侯店</v>
          </cell>
          <cell r="I5731">
            <v>46081</v>
          </cell>
          <cell r="J5731">
            <v>200</v>
          </cell>
        </row>
        <row r="5732">
          <cell r="C5732" t="str">
            <v>推广账户自动充值</v>
          </cell>
        </row>
        <row r="5732">
          <cell r="H5732" t="str">
            <v>凤城二路店</v>
          </cell>
          <cell r="I5732">
            <v>46081</v>
          </cell>
          <cell r="J5732">
            <v>200</v>
          </cell>
        </row>
        <row r="5733">
          <cell r="C5733" t="str">
            <v>推广账户自动充值</v>
          </cell>
        </row>
        <row r="5733">
          <cell r="H5733" t="str">
            <v>鼓楼店</v>
          </cell>
          <cell r="I5733">
            <v>46081</v>
          </cell>
          <cell r="J5733">
            <v>200</v>
          </cell>
        </row>
        <row r="5734">
          <cell r="C5734" t="str">
            <v>推广账户自动充值</v>
          </cell>
        </row>
        <row r="5734">
          <cell r="H5734" t="str">
            <v>百捷店</v>
          </cell>
          <cell r="I5734">
            <v>46081</v>
          </cell>
          <cell r="J5734">
            <v>200</v>
          </cell>
        </row>
        <row r="5735">
          <cell r="C5735" t="str">
            <v>推广账户自动充值</v>
          </cell>
        </row>
        <row r="5735">
          <cell r="H5735" t="str">
            <v>诚毅店</v>
          </cell>
          <cell r="I5735">
            <v>46081</v>
          </cell>
          <cell r="J5735">
            <v>200</v>
          </cell>
        </row>
        <row r="5736">
          <cell r="C5736" t="str">
            <v>推广账户自动充值</v>
          </cell>
        </row>
        <row r="5736">
          <cell r="H5736" t="str">
            <v>沙坪坝店</v>
          </cell>
          <cell r="I5736">
            <v>46081</v>
          </cell>
          <cell r="J5736">
            <v>200</v>
          </cell>
        </row>
        <row r="5737">
          <cell r="C5737" t="str">
            <v>推广账户自动充值</v>
          </cell>
        </row>
        <row r="5737">
          <cell r="H5737" t="str">
            <v>首南店</v>
          </cell>
          <cell r="I5737">
            <v>46081</v>
          </cell>
          <cell r="J5737">
            <v>200</v>
          </cell>
        </row>
        <row r="5738">
          <cell r="C5738" t="str">
            <v>推广账户自动充值</v>
          </cell>
        </row>
        <row r="5738">
          <cell r="H5738" t="str">
            <v>青羊店</v>
          </cell>
          <cell r="I5738">
            <v>46081</v>
          </cell>
          <cell r="J5738">
            <v>200</v>
          </cell>
        </row>
        <row r="5739">
          <cell r="C5739" t="str">
            <v>推广订单扣款</v>
          </cell>
        </row>
        <row r="5739">
          <cell r="H5739" t="str">
            <v>济南店</v>
          </cell>
          <cell r="I5739">
            <v>46082</v>
          </cell>
          <cell r="J5739">
            <v>-160.74</v>
          </cell>
        </row>
        <row r="5740">
          <cell r="C5740" t="str">
            <v>推广订单扣款</v>
          </cell>
        </row>
        <row r="5740">
          <cell r="H5740" t="str">
            <v>鼓楼店</v>
          </cell>
          <cell r="I5740">
            <v>46082</v>
          </cell>
          <cell r="J5740">
            <v>-100.39</v>
          </cell>
        </row>
        <row r="5741">
          <cell r="C5741" t="str">
            <v>推广订单扣款</v>
          </cell>
        </row>
        <row r="5741">
          <cell r="H5741" t="str">
            <v>西湖店</v>
          </cell>
          <cell r="I5741">
            <v>46082</v>
          </cell>
          <cell r="J5741">
            <v>-49.19</v>
          </cell>
        </row>
        <row r="5742">
          <cell r="C5742" t="str">
            <v>推广订单扣款</v>
          </cell>
        </row>
        <row r="5742">
          <cell r="H5742" t="str">
            <v>首山店</v>
          </cell>
          <cell r="I5742">
            <v>46082</v>
          </cell>
          <cell r="J5742">
            <v>-102.1</v>
          </cell>
        </row>
        <row r="5743">
          <cell r="C5743" t="str">
            <v>推广订单扣款</v>
          </cell>
        </row>
        <row r="5743">
          <cell r="H5743" t="str">
            <v>洛江店</v>
          </cell>
          <cell r="I5743">
            <v>46082</v>
          </cell>
          <cell r="J5743">
            <v>-2.77</v>
          </cell>
        </row>
        <row r="5744">
          <cell r="C5744" t="str">
            <v>推广订单扣款</v>
          </cell>
        </row>
        <row r="5744">
          <cell r="H5744" t="str">
            <v>大坪店</v>
          </cell>
          <cell r="I5744">
            <v>46082</v>
          </cell>
          <cell r="J5744">
            <v>-110.54</v>
          </cell>
        </row>
        <row r="5745">
          <cell r="C5745" t="str">
            <v>推广订单扣款</v>
          </cell>
        </row>
        <row r="5745">
          <cell r="H5745" t="str">
            <v>长沙店</v>
          </cell>
          <cell r="I5745">
            <v>46082</v>
          </cell>
          <cell r="J5745">
            <v>-67.01</v>
          </cell>
        </row>
        <row r="5746">
          <cell r="C5746" t="str">
            <v>推广订单扣款</v>
          </cell>
        </row>
        <row r="5746">
          <cell r="H5746" t="str">
            <v>金牛店</v>
          </cell>
          <cell r="I5746">
            <v>46082</v>
          </cell>
          <cell r="J5746">
            <v>-30.8</v>
          </cell>
        </row>
        <row r="5747">
          <cell r="C5747" t="str">
            <v>推广订单扣款</v>
          </cell>
        </row>
        <row r="5747">
          <cell r="H5747" t="str">
            <v>五路口店</v>
          </cell>
          <cell r="I5747">
            <v>46082</v>
          </cell>
          <cell r="J5747">
            <v>-141.9</v>
          </cell>
        </row>
        <row r="5748">
          <cell r="C5748" t="str">
            <v>推广订单扣款</v>
          </cell>
        </row>
        <row r="5748">
          <cell r="H5748" t="str">
            <v>百丈店</v>
          </cell>
          <cell r="I5748">
            <v>46082</v>
          </cell>
          <cell r="J5748">
            <v>-122.26</v>
          </cell>
        </row>
        <row r="5749">
          <cell r="C5749" t="str">
            <v>推广订单扣款</v>
          </cell>
        </row>
        <row r="5749">
          <cell r="H5749" t="str">
            <v>观音桥店</v>
          </cell>
          <cell r="I5749">
            <v>46082</v>
          </cell>
          <cell r="J5749">
            <v>-97.81</v>
          </cell>
        </row>
        <row r="5750">
          <cell r="C5750" t="str">
            <v>推广订单扣款</v>
          </cell>
        </row>
        <row r="5750">
          <cell r="H5750" t="str">
            <v>海口店</v>
          </cell>
          <cell r="I5750">
            <v>46082</v>
          </cell>
          <cell r="J5750">
            <v>-300</v>
          </cell>
        </row>
        <row r="5751">
          <cell r="C5751" t="str">
            <v>推广订单扣款</v>
          </cell>
        </row>
        <row r="5751">
          <cell r="H5751" t="str">
            <v>南安店</v>
          </cell>
          <cell r="I5751">
            <v>46082</v>
          </cell>
          <cell r="J5751">
            <v>-31.87</v>
          </cell>
        </row>
        <row r="5752">
          <cell r="C5752" t="str">
            <v>推广订单扣款</v>
          </cell>
        </row>
        <row r="5752">
          <cell r="H5752" t="str">
            <v>五华店</v>
          </cell>
          <cell r="I5752">
            <v>46082</v>
          </cell>
          <cell r="J5752">
            <v>-102</v>
          </cell>
        </row>
        <row r="5753">
          <cell r="C5753" t="str">
            <v>推广订单扣款</v>
          </cell>
        </row>
        <row r="5753">
          <cell r="H5753" t="str">
            <v>沙坪坝店</v>
          </cell>
          <cell r="I5753">
            <v>46082</v>
          </cell>
          <cell r="J5753">
            <v>-151.08</v>
          </cell>
        </row>
        <row r="5754">
          <cell r="C5754" t="str">
            <v>推广订单扣款</v>
          </cell>
        </row>
        <row r="5754">
          <cell r="H5754" t="str">
            <v>高新店</v>
          </cell>
          <cell r="I5754">
            <v>46082</v>
          </cell>
          <cell r="J5754">
            <v>-63.34</v>
          </cell>
        </row>
        <row r="5755">
          <cell r="C5755" t="str">
            <v>推广订单扣款</v>
          </cell>
        </row>
        <row r="5755">
          <cell r="H5755" t="str">
            <v>余杭店</v>
          </cell>
          <cell r="I5755">
            <v>46082</v>
          </cell>
          <cell r="J5755">
            <v>-122.93</v>
          </cell>
        </row>
        <row r="5756">
          <cell r="C5756" t="str">
            <v>推广订单扣款</v>
          </cell>
        </row>
        <row r="5756">
          <cell r="H5756" t="str">
            <v>西山店</v>
          </cell>
          <cell r="I5756">
            <v>46082</v>
          </cell>
          <cell r="J5756">
            <v>-108.45</v>
          </cell>
        </row>
        <row r="5757">
          <cell r="C5757" t="str">
            <v>推广订单扣款</v>
          </cell>
        </row>
        <row r="5757">
          <cell r="H5757" t="str">
            <v>东新店</v>
          </cell>
          <cell r="I5757">
            <v>46082</v>
          </cell>
          <cell r="J5757">
            <v>-61.8</v>
          </cell>
        </row>
        <row r="5758">
          <cell r="C5758" t="str">
            <v>推广订单扣款</v>
          </cell>
        </row>
        <row r="5758">
          <cell r="H5758" t="str">
            <v>华信店</v>
          </cell>
          <cell r="I5758">
            <v>46082</v>
          </cell>
          <cell r="J5758">
            <v>-200</v>
          </cell>
        </row>
        <row r="5759">
          <cell r="C5759" t="str">
            <v>推广订单扣款</v>
          </cell>
        </row>
        <row r="5759">
          <cell r="H5759" t="str">
            <v>武侯店</v>
          </cell>
          <cell r="I5759">
            <v>46082</v>
          </cell>
          <cell r="J5759">
            <v>-69.58</v>
          </cell>
        </row>
        <row r="5760">
          <cell r="C5760" t="str">
            <v>推广订单扣款</v>
          </cell>
        </row>
        <row r="5760">
          <cell r="H5760" t="str">
            <v>槐荫店</v>
          </cell>
          <cell r="I5760">
            <v>46082</v>
          </cell>
          <cell r="J5760">
            <v>-200</v>
          </cell>
        </row>
        <row r="5761">
          <cell r="C5761" t="str">
            <v>推广订单扣款</v>
          </cell>
        </row>
        <row r="5761">
          <cell r="H5761" t="str">
            <v>青羊店</v>
          </cell>
          <cell r="I5761">
            <v>46082</v>
          </cell>
          <cell r="J5761">
            <v>-23.4</v>
          </cell>
        </row>
        <row r="5762">
          <cell r="C5762" t="str">
            <v>推广订单扣款</v>
          </cell>
        </row>
        <row r="5762">
          <cell r="H5762" t="str">
            <v>湖里店</v>
          </cell>
          <cell r="I5762">
            <v>46082</v>
          </cell>
          <cell r="J5762">
            <v>-96.61</v>
          </cell>
        </row>
        <row r="5763">
          <cell r="C5763" t="str">
            <v>推广订单扣款</v>
          </cell>
        </row>
        <row r="5763">
          <cell r="H5763" t="str">
            <v>泉秀店</v>
          </cell>
          <cell r="I5763">
            <v>46082</v>
          </cell>
          <cell r="J5763">
            <v>-86.69</v>
          </cell>
        </row>
        <row r="5764">
          <cell r="C5764" t="str">
            <v>推广订单扣款</v>
          </cell>
        </row>
        <row r="5764">
          <cell r="H5764" t="str">
            <v>官渡店</v>
          </cell>
          <cell r="I5764">
            <v>46082</v>
          </cell>
          <cell r="J5764">
            <v>-104.59</v>
          </cell>
        </row>
        <row r="5765">
          <cell r="C5765" t="str">
            <v>推广订单扣款</v>
          </cell>
        </row>
        <row r="5765">
          <cell r="H5765" t="str">
            <v>东海店</v>
          </cell>
          <cell r="I5765">
            <v>46082</v>
          </cell>
          <cell r="J5765">
            <v>-54.79</v>
          </cell>
        </row>
        <row r="5766">
          <cell r="C5766" t="str">
            <v>推广订单扣款</v>
          </cell>
        </row>
        <row r="5766">
          <cell r="H5766" t="str">
            <v>滨江店</v>
          </cell>
          <cell r="I5766">
            <v>46082</v>
          </cell>
          <cell r="J5766">
            <v>-78.61</v>
          </cell>
        </row>
        <row r="5767">
          <cell r="C5767" t="str">
            <v>推广订单扣款</v>
          </cell>
        </row>
        <row r="5767">
          <cell r="H5767" t="str">
            <v>首南店</v>
          </cell>
          <cell r="I5767">
            <v>46082</v>
          </cell>
          <cell r="J5767">
            <v>-132.52</v>
          </cell>
        </row>
        <row r="5768">
          <cell r="C5768" t="str">
            <v>推广订单扣款</v>
          </cell>
        </row>
        <row r="5768">
          <cell r="H5768" t="str">
            <v>文灶店</v>
          </cell>
          <cell r="I5768">
            <v>46082</v>
          </cell>
          <cell r="J5768">
            <v>-84.93</v>
          </cell>
        </row>
        <row r="5769">
          <cell r="C5769" t="str">
            <v>推广订单扣款</v>
          </cell>
        </row>
        <row r="5769">
          <cell r="H5769" t="str">
            <v>百捷店</v>
          </cell>
          <cell r="I5769">
            <v>46082</v>
          </cell>
          <cell r="J5769">
            <v>-51.97</v>
          </cell>
        </row>
        <row r="5770">
          <cell r="C5770" t="str">
            <v>推广订单扣款</v>
          </cell>
        </row>
        <row r="5770">
          <cell r="H5770" t="str">
            <v>下沙店</v>
          </cell>
          <cell r="I5770">
            <v>46082</v>
          </cell>
          <cell r="J5770">
            <v>-98.93</v>
          </cell>
        </row>
        <row r="5771">
          <cell r="C5771" t="str">
            <v>推广订单扣款</v>
          </cell>
        </row>
        <row r="5771">
          <cell r="H5771" t="str">
            <v>启点店</v>
          </cell>
          <cell r="I5771">
            <v>46082</v>
          </cell>
          <cell r="J5771">
            <v>-38.71</v>
          </cell>
        </row>
        <row r="5772">
          <cell r="C5772" t="str">
            <v>推广订单扣款</v>
          </cell>
        </row>
        <row r="5772">
          <cell r="H5772" t="str">
            <v>凤城二路店</v>
          </cell>
          <cell r="I5772">
            <v>46082</v>
          </cell>
          <cell r="J5772">
            <v>-146.13</v>
          </cell>
        </row>
        <row r="5773">
          <cell r="C5773" t="str">
            <v>推广订单扣款</v>
          </cell>
        </row>
        <row r="5773">
          <cell r="H5773" t="str">
            <v>成华店</v>
          </cell>
          <cell r="I5773">
            <v>46082</v>
          </cell>
          <cell r="J5773">
            <v>-46.97</v>
          </cell>
        </row>
        <row r="5774">
          <cell r="C5774" t="str">
            <v>推广订单扣款</v>
          </cell>
        </row>
        <row r="5774">
          <cell r="H5774" t="str">
            <v>诚毅店</v>
          </cell>
          <cell r="I5774">
            <v>46082</v>
          </cell>
          <cell r="J5774">
            <v>-172.36</v>
          </cell>
        </row>
        <row r="5775">
          <cell r="C5775" t="str">
            <v>推广订单扣款</v>
          </cell>
        </row>
        <row r="5775">
          <cell r="H5775" t="str">
            <v>黄雁村店</v>
          </cell>
          <cell r="I5775">
            <v>46082</v>
          </cell>
          <cell r="J5775">
            <v>-151.72</v>
          </cell>
        </row>
        <row r="5776">
          <cell r="C5776" t="str">
            <v>推广订单扣款</v>
          </cell>
        </row>
        <row r="5776">
          <cell r="H5776" t="str">
            <v>观桥店</v>
          </cell>
          <cell r="I5776">
            <v>46082</v>
          </cell>
          <cell r="J5776">
            <v>-173.72</v>
          </cell>
        </row>
        <row r="5777">
          <cell r="C5777" t="str">
            <v>推广订单扣款</v>
          </cell>
        </row>
        <row r="5777">
          <cell r="H5777" t="str">
            <v>文昌店</v>
          </cell>
          <cell r="I5777">
            <v>46082</v>
          </cell>
          <cell r="J5777">
            <v>-96.82</v>
          </cell>
        </row>
        <row r="5778">
          <cell r="C5778" t="str">
            <v>推广账户自动充值</v>
          </cell>
        </row>
        <row r="5778">
          <cell r="H5778" t="str">
            <v>观桥店</v>
          </cell>
          <cell r="I5778">
            <v>46082</v>
          </cell>
          <cell r="J5778">
            <v>200</v>
          </cell>
        </row>
        <row r="5779">
          <cell r="C5779" t="str">
            <v>推广账户自动充值</v>
          </cell>
        </row>
        <row r="5779">
          <cell r="H5779" t="str">
            <v>西山店</v>
          </cell>
          <cell r="I5779">
            <v>46082</v>
          </cell>
          <cell r="J5779">
            <v>200</v>
          </cell>
        </row>
        <row r="5780">
          <cell r="C5780" t="str">
            <v>推广账户自动充值</v>
          </cell>
        </row>
        <row r="5780">
          <cell r="H5780" t="str">
            <v>五华店</v>
          </cell>
          <cell r="I5780">
            <v>46082</v>
          </cell>
          <cell r="J5780">
            <v>200</v>
          </cell>
        </row>
        <row r="5781">
          <cell r="C5781" t="str">
            <v>推广账户自动充值</v>
          </cell>
        </row>
        <row r="5781">
          <cell r="H5781" t="str">
            <v>海口店</v>
          </cell>
          <cell r="I5781">
            <v>46082</v>
          </cell>
          <cell r="J5781">
            <v>200</v>
          </cell>
        </row>
        <row r="5782">
          <cell r="C5782" t="str">
            <v>推广账户充值</v>
          </cell>
        </row>
        <row r="5782">
          <cell r="H5782" t="str">
            <v>南安店</v>
          </cell>
          <cell r="I5782">
            <v>46082</v>
          </cell>
          <cell r="J5782">
            <v>100</v>
          </cell>
        </row>
        <row r="5783">
          <cell r="C5783" t="str">
            <v>推广账户自动充值</v>
          </cell>
        </row>
        <row r="5783">
          <cell r="H5783" t="str">
            <v>观音桥店</v>
          </cell>
          <cell r="I5783">
            <v>46082</v>
          </cell>
          <cell r="J5783">
            <v>200</v>
          </cell>
        </row>
        <row r="5784">
          <cell r="C5784" t="str">
            <v>推广账户自动充值</v>
          </cell>
        </row>
        <row r="5784">
          <cell r="H5784" t="str">
            <v>华信店</v>
          </cell>
          <cell r="I5784">
            <v>46082</v>
          </cell>
          <cell r="J5784">
            <v>200</v>
          </cell>
        </row>
        <row r="5785">
          <cell r="C5785" t="str">
            <v>推广账户自动充值</v>
          </cell>
        </row>
        <row r="5785">
          <cell r="H5785" t="str">
            <v>下沙店</v>
          </cell>
          <cell r="I5785">
            <v>46082</v>
          </cell>
          <cell r="J5785">
            <v>100</v>
          </cell>
        </row>
        <row r="5786">
          <cell r="C5786" t="str">
            <v>推广账户自动充值</v>
          </cell>
        </row>
        <row r="5786">
          <cell r="H5786" t="str">
            <v>文昌店</v>
          </cell>
          <cell r="I5786">
            <v>46082</v>
          </cell>
          <cell r="J5786">
            <v>200</v>
          </cell>
        </row>
        <row r="5787">
          <cell r="C5787" t="str">
            <v>推广账户自动充值</v>
          </cell>
        </row>
        <row r="5787">
          <cell r="H5787" t="str">
            <v>东新店</v>
          </cell>
          <cell r="I5787">
            <v>46082</v>
          </cell>
          <cell r="J5787">
            <v>200</v>
          </cell>
        </row>
        <row r="5788">
          <cell r="C5788" t="str">
            <v>推广账户自动充值</v>
          </cell>
        </row>
        <row r="5788">
          <cell r="H5788" t="str">
            <v>大坪店</v>
          </cell>
          <cell r="I5788">
            <v>46082</v>
          </cell>
          <cell r="J5788">
            <v>200</v>
          </cell>
        </row>
        <row r="5789">
          <cell r="C5789" t="str">
            <v>推广账户充值</v>
          </cell>
        </row>
        <row r="5789">
          <cell r="H5789" t="str">
            <v>海口店</v>
          </cell>
          <cell r="I5789">
            <v>46082</v>
          </cell>
          <cell r="J5789">
            <v>11000</v>
          </cell>
        </row>
        <row r="5790">
          <cell r="C5790" t="str">
            <v>推广账户自动充值</v>
          </cell>
        </row>
        <row r="5790">
          <cell r="H5790" t="str">
            <v>五路口店</v>
          </cell>
          <cell r="I5790">
            <v>46082</v>
          </cell>
          <cell r="J5790">
            <v>200</v>
          </cell>
        </row>
        <row r="5791">
          <cell r="C5791" t="str">
            <v>推广账户自动充值</v>
          </cell>
        </row>
        <row r="5791">
          <cell r="H5791" t="str">
            <v>西湖店</v>
          </cell>
          <cell r="I5791">
            <v>46082</v>
          </cell>
          <cell r="J5791">
            <v>200</v>
          </cell>
        </row>
        <row r="5792">
          <cell r="C5792" t="str">
            <v>推广账户自动充值</v>
          </cell>
        </row>
        <row r="5792">
          <cell r="H5792" t="str">
            <v>槐荫店</v>
          </cell>
          <cell r="I5792">
            <v>46082</v>
          </cell>
          <cell r="J5792">
            <v>200</v>
          </cell>
        </row>
        <row r="5793">
          <cell r="C5793" t="str">
            <v>推广订单扣款</v>
          </cell>
        </row>
        <row r="5793">
          <cell r="H5793" t="str">
            <v>湖里店</v>
          </cell>
          <cell r="I5793">
            <v>46083</v>
          </cell>
          <cell r="J5793">
            <v>-98.23</v>
          </cell>
        </row>
        <row r="5794">
          <cell r="C5794" t="str">
            <v>推广订单扣款</v>
          </cell>
        </row>
        <row r="5794">
          <cell r="H5794" t="str">
            <v>东新店</v>
          </cell>
          <cell r="I5794">
            <v>46083</v>
          </cell>
          <cell r="J5794">
            <v>-89.95</v>
          </cell>
        </row>
        <row r="5795">
          <cell r="C5795" t="str">
            <v>推广订单扣款</v>
          </cell>
        </row>
        <row r="5795">
          <cell r="H5795" t="str">
            <v>泉秀店</v>
          </cell>
          <cell r="I5795">
            <v>46083</v>
          </cell>
          <cell r="J5795">
            <v>-175.89</v>
          </cell>
        </row>
        <row r="5796">
          <cell r="C5796" t="str">
            <v>推广订单扣款</v>
          </cell>
        </row>
        <row r="5796">
          <cell r="H5796" t="str">
            <v>启点店</v>
          </cell>
          <cell r="I5796">
            <v>46083</v>
          </cell>
          <cell r="J5796">
            <v>-52.18</v>
          </cell>
        </row>
        <row r="5797">
          <cell r="C5797" t="str">
            <v>推广订单扣款</v>
          </cell>
        </row>
        <row r="5797">
          <cell r="H5797" t="str">
            <v>高新店</v>
          </cell>
          <cell r="I5797">
            <v>46083</v>
          </cell>
          <cell r="J5797">
            <v>-70.65</v>
          </cell>
        </row>
        <row r="5798">
          <cell r="C5798" t="str">
            <v>推广订单扣款</v>
          </cell>
        </row>
        <row r="5798">
          <cell r="H5798" t="str">
            <v>成华店</v>
          </cell>
          <cell r="I5798">
            <v>46083</v>
          </cell>
          <cell r="J5798">
            <v>-41.27</v>
          </cell>
        </row>
        <row r="5799">
          <cell r="C5799" t="str">
            <v>推广订单扣款</v>
          </cell>
        </row>
        <row r="5799">
          <cell r="H5799" t="str">
            <v>金牛店</v>
          </cell>
          <cell r="I5799">
            <v>46083</v>
          </cell>
          <cell r="J5799">
            <v>-32.06</v>
          </cell>
        </row>
        <row r="5800">
          <cell r="C5800" t="str">
            <v>推广订单扣款</v>
          </cell>
        </row>
        <row r="5800">
          <cell r="H5800" t="str">
            <v>西山店</v>
          </cell>
          <cell r="I5800">
            <v>46083</v>
          </cell>
          <cell r="J5800">
            <v>-93.11</v>
          </cell>
        </row>
        <row r="5801">
          <cell r="C5801" t="str">
            <v>推广订单扣款</v>
          </cell>
        </row>
        <row r="5801">
          <cell r="H5801" t="str">
            <v>沙坪坝店</v>
          </cell>
          <cell r="I5801">
            <v>46083</v>
          </cell>
          <cell r="J5801">
            <v>-105.38</v>
          </cell>
        </row>
        <row r="5802">
          <cell r="C5802" t="str">
            <v>推广订单扣款</v>
          </cell>
        </row>
        <row r="5802">
          <cell r="H5802" t="str">
            <v>凤城二路店</v>
          </cell>
          <cell r="I5802">
            <v>46083</v>
          </cell>
          <cell r="J5802">
            <v>-151.13</v>
          </cell>
        </row>
        <row r="5803">
          <cell r="C5803" t="str">
            <v>推广订单扣款</v>
          </cell>
        </row>
        <row r="5803">
          <cell r="H5803" t="str">
            <v>大坪店</v>
          </cell>
          <cell r="I5803">
            <v>46083</v>
          </cell>
          <cell r="J5803">
            <v>-100.51</v>
          </cell>
        </row>
        <row r="5804">
          <cell r="C5804" t="str">
            <v>推广订单扣款</v>
          </cell>
        </row>
        <row r="5804">
          <cell r="H5804" t="str">
            <v>五华店</v>
          </cell>
          <cell r="I5804">
            <v>46083</v>
          </cell>
          <cell r="J5804">
            <v>-123.96</v>
          </cell>
        </row>
        <row r="5805">
          <cell r="C5805" t="str">
            <v>推广订单扣款</v>
          </cell>
        </row>
        <row r="5805">
          <cell r="H5805" t="str">
            <v>官渡店</v>
          </cell>
          <cell r="I5805">
            <v>46083</v>
          </cell>
          <cell r="J5805">
            <v>-138.18</v>
          </cell>
        </row>
        <row r="5806">
          <cell r="C5806" t="str">
            <v>推广订单扣款</v>
          </cell>
        </row>
        <row r="5806">
          <cell r="H5806" t="str">
            <v>百捷店</v>
          </cell>
          <cell r="I5806">
            <v>46083</v>
          </cell>
          <cell r="J5806">
            <v>-116.58</v>
          </cell>
        </row>
        <row r="5807">
          <cell r="C5807" t="str">
            <v>推广订单扣款</v>
          </cell>
        </row>
        <row r="5807">
          <cell r="H5807" t="str">
            <v>济南店</v>
          </cell>
          <cell r="I5807">
            <v>46083</v>
          </cell>
          <cell r="J5807">
            <v>-151.28</v>
          </cell>
        </row>
        <row r="5808">
          <cell r="C5808" t="str">
            <v>推广订单扣款</v>
          </cell>
        </row>
        <row r="5808">
          <cell r="H5808" t="str">
            <v>观音桥店</v>
          </cell>
          <cell r="I5808">
            <v>46083</v>
          </cell>
          <cell r="J5808">
            <v>-75.25</v>
          </cell>
        </row>
        <row r="5809">
          <cell r="C5809" t="str">
            <v>推广订单扣款</v>
          </cell>
        </row>
        <row r="5809">
          <cell r="H5809" t="str">
            <v>长沙店</v>
          </cell>
          <cell r="I5809">
            <v>46083</v>
          </cell>
          <cell r="J5809">
            <v>-52.03</v>
          </cell>
        </row>
        <row r="5810">
          <cell r="C5810" t="str">
            <v>推广订单扣款</v>
          </cell>
        </row>
        <row r="5810">
          <cell r="H5810" t="str">
            <v>洛江店</v>
          </cell>
          <cell r="I5810">
            <v>46083</v>
          </cell>
          <cell r="J5810">
            <v>-63.97</v>
          </cell>
        </row>
        <row r="5811">
          <cell r="C5811" t="str">
            <v>推广订单扣款</v>
          </cell>
        </row>
        <row r="5811">
          <cell r="H5811" t="str">
            <v>五路口店</v>
          </cell>
          <cell r="I5811">
            <v>46083</v>
          </cell>
          <cell r="J5811">
            <v>-126.01</v>
          </cell>
        </row>
        <row r="5812">
          <cell r="C5812" t="str">
            <v>推广订单扣款</v>
          </cell>
        </row>
        <row r="5812">
          <cell r="H5812" t="str">
            <v>青羊店</v>
          </cell>
          <cell r="I5812">
            <v>46083</v>
          </cell>
          <cell r="J5812">
            <v>-23.91</v>
          </cell>
        </row>
        <row r="5813">
          <cell r="C5813" t="str">
            <v>推广订单扣款</v>
          </cell>
        </row>
        <row r="5813">
          <cell r="H5813" t="str">
            <v>武侯店</v>
          </cell>
          <cell r="I5813">
            <v>46083</v>
          </cell>
          <cell r="J5813">
            <v>-76.78</v>
          </cell>
        </row>
        <row r="5814">
          <cell r="C5814" t="str">
            <v>推广订单扣款</v>
          </cell>
        </row>
        <row r="5814">
          <cell r="H5814" t="str">
            <v>鼓楼店</v>
          </cell>
          <cell r="I5814">
            <v>46083</v>
          </cell>
          <cell r="J5814">
            <v>-135.94</v>
          </cell>
        </row>
        <row r="5815">
          <cell r="C5815" t="str">
            <v>推广订单扣款</v>
          </cell>
        </row>
        <row r="5815">
          <cell r="H5815" t="str">
            <v>黄雁村店</v>
          </cell>
          <cell r="I5815">
            <v>46083</v>
          </cell>
          <cell r="J5815">
            <v>-108.86</v>
          </cell>
        </row>
        <row r="5816">
          <cell r="C5816" t="str">
            <v>推广订单扣款</v>
          </cell>
        </row>
        <row r="5816">
          <cell r="H5816" t="str">
            <v>西湖店</v>
          </cell>
          <cell r="I5816">
            <v>46083</v>
          </cell>
          <cell r="J5816">
            <v>-66.46</v>
          </cell>
        </row>
        <row r="5817">
          <cell r="C5817" t="str">
            <v>推广订单扣款</v>
          </cell>
        </row>
        <row r="5817">
          <cell r="H5817" t="str">
            <v>百丈店</v>
          </cell>
          <cell r="I5817">
            <v>46083</v>
          </cell>
          <cell r="J5817">
            <v>-120.17</v>
          </cell>
        </row>
        <row r="5818">
          <cell r="C5818" t="str">
            <v>推广订单扣款</v>
          </cell>
        </row>
        <row r="5818">
          <cell r="H5818" t="str">
            <v>文昌店</v>
          </cell>
          <cell r="I5818">
            <v>46083</v>
          </cell>
          <cell r="J5818">
            <v>-46.97</v>
          </cell>
        </row>
        <row r="5819">
          <cell r="C5819" t="str">
            <v>推广账户自动充值</v>
          </cell>
        </row>
        <row r="5819">
          <cell r="H5819" t="str">
            <v>观桥店</v>
          </cell>
          <cell r="I5819">
            <v>46083</v>
          </cell>
          <cell r="J5819">
            <v>200</v>
          </cell>
        </row>
        <row r="5820">
          <cell r="C5820" t="str">
            <v>推广订单扣款</v>
          </cell>
        </row>
        <row r="5820">
          <cell r="H5820" t="str">
            <v>观桥店</v>
          </cell>
          <cell r="I5820">
            <v>46083</v>
          </cell>
          <cell r="J5820">
            <v>-154.96</v>
          </cell>
        </row>
        <row r="5821">
          <cell r="C5821" t="str">
            <v>推广订单扣款</v>
          </cell>
        </row>
        <row r="5821">
          <cell r="H5821" t="str">
            <v>海口店</v>
          </cell>
          <cell r="I5821">
            <v>46083</v>
          </cell>
          <cell r="J5821">
            <v>-300</v>
          </cell>
        </row>
        <row r="5822">
          <cell r="C5822" t="str">
            <v>推广订单扣款</v>
          </cell>
        </row>
        <row r="5822">
          <cell r="H5822" t="str">
            <v>南安店</v>
          </cell>
          <cell r="I5822">
            <v>46083</v>
          </cell>
          <cell r="J5822">
            <v>-25.5</v>
          </cell>
        </row>
        <row r="5823">
          <cell r="C5823" t="str">
            <v>推广账户自动充值</v>
          </cell>
        </row>
        <row r="5823">
          <cell r="H5823" t="str">
            <v>诚毅店</v>
          </cell>
          <cell r="I5823">
            <v>46083</v>
          </cell>
          <cell r="J5823">
            <v>200</v>
          </cell>
        </row>
        <row r="5824">
          <cell r="C5824" t="str">
            <v>推广订单扣款</v>
          </cell>
        </row>
        <row r="5824">
          <cell r="H5824" t="str">
            <v>诚毅店</v>
          </cell>
          <cell r="I5824">
            <v>46083</v>
          </cell>
          <cell r="J5824">
            <v>-134.63</v>
          </cell>
        </row>
        <row r="5825">
          <cell r="C5825" t="str">
            <v>推广订单扣款</v>
          </cell>
        </row>
        <row r="5825">
          <cell r="H5825" t="str">
            <v>首山店</v>
          </cell>
          <cell r="I5825">
            <v>46083</v>
          </cell>
          <cell r="J5825">
            <v>-95.24</v>
          </cell>
        </row>
        <row r="5826">
          <cell r="C5826" t="str">
            <v>推广订单扣款</v>
          </cell>
        </row>
        <row r="5826">
          <cell r="H5826" t="str">
            <v>首南店</v>
          </cell>
          <cell r="I5826">
            <v>46083</v>
          </cell>
          <cell r="J5826">
            <v>-101.33</v>
          </cell>
        </row>
        <row r="5827">
          <cell r="C5827" t="str">
            <v>推广订单扣款</v>
          </cell>
        </row>
        <row r="5827">
          <cell r="H5827" t="str">
            <v>余杭店</v>
          </cell>
          <cell r="I5827">
            <v>46083</v>
          </cell>
          <cell r="J5827">
            <v>-132.07</v>
          </cell>
        </row>
        <row r="5828">
          <cell r="C5828" t="str">
            <v>推广账户自动充值</v>
          </cell>
        </row>
        <row r="5828">
          <cell r="H5828" t="str">
            <v>东海店</v>
          </cell>
          <cell r="I5828">
            <v>46083</v>
          </cell>
          <cell r="J5828">
            <v>200</v>
          </cell>
        </row>
        <row r="5829">
          <cell r="C5829" t="str">
            <v>推广订单扣款</v>
          </cell>
        </row>
        <row r="5829">
          <cell r="H5829" t="str">
            <v>东海店</v>
          </cell>
          <cell r="I5829">
            <v>46083</v>
          </cell>
          <cell r="J5829">
            <v>-27.31</v>
          </cell>
        </row>
        <row r="5830">
          <cell r="C5830" t="str">
            <v>推广订单扣款</v>
          </cell>
        </row>
        <row r="5830">
          <cell r="H5830" t="str">
            <v>文灶店</v>
          </cell>
          <cell r="I5830">
            <v>46083</v>
          </cell>
          <cell r="J5830">
            <v>-85.21</v>
          </cell>
        </row>
        <row r="5831">
          <cell r="C5831" t="str">
            <v>推广订单扣款</v>
          </cell>
        </row>
        <row r="5831">
          <cell r="H5831" t="str">
            <v>滨江店</v>
          </cell>
          <cell r="I5831">
            <v>46083</v>
          </cell>
          <cell r="J5831">
            <v>-145.53</v>
          </cell>
        </row>
        <row r="5832">
          <cell r="C5832" t="str">
            <v>推广订单扣款</v>
          </cell>
        </row>
        <row r="5832">
          <cell r="H5832" t="str">
            <v>下沙店</v>
          </cell>
          <cell r="I5832">
            <v>46083</v>
          </cell>
          <cell r="J5832">
            <v>-156.41</v>
          </cell>
        </row>
        <row r="5833">
          <cell r="C5833" t="str">
            <v>推广订单扣款</v>
          </cell>
        </row>
        <row r="5833">
          <cell r="H5833" t="str">
            <v>华信店</v>
          </cell>
          <cell r="I5833">
            <v>46083</v>
          </cell>
          <cell r="J5833">
            <v>-180</v>
          </cell>
        </row>
        <row r="5834">
          <cell r="C5834" t="str">
            <v>推广订单扣款</v>
          </cell>
        </row>
        <row r="5834">
          <cell r="H5834" t="str">
            <v>槐荫店</v>
          </cell>
          <cell r="I5834">
            <v>46083</v>
          </cell>
          <cell r="J5834">
            <v>-165</v>
          </cell>
        </row>
        <row r="5835">
          <cell r="C5835" t="str">
            <v>推广订单扣款</v>
          </cell>
        </row>
        <row r="5835">
          <cell r="H5835" t="str">
            <v>湖里店</v>
          </cell>
          <cell r="I5835">
            <v>46084</v>
          </cell>
          <cell r="J5835">
            <v>-71.28</v>
          </cell>
        </row>
        <row r="5836">
          <cell r="C5836" t="str">
            <v>推广订单扣款</v>
          </cell>
        </row>
        <row r="5836">
          <cell r="H5836" t="str">
            <v>东新店</v>
          </cell>
          <cell r="I5836">
            <v>46084</v>
          </cell>
          <cell r="J5836">
            <v>-64.99</v>
          </cell>
        </row>
        <row r="5837">
          <cell r="C5837" t="str">
            <v>推广订单扣款</v>
          </cell>
        </row>
        <row r="5837">
          <cell r="H5837" t="str">
            <v>泉秀店</v>
          </cell>
          <cell r="I5837">
            <v>46084</v>
          </cell>
          <cell r="J5837">
            <v>-181.07</v>
          </cell>
        </row>
        <row r="5838">
          <cell r="C5838" t="str">
            <v>推广订单扣款</v>
          </cell>
        </row>
        <row r="5838">
          <cell r="H5838" t="str">
            <v>启点店</v>
          </cell>
          <cell r="I5838">
            <v>46084</v>
          </cell>
          <cell r="J5838">
            <v>-40.1</v>
          </cell>
        </row>
        <row r="5839">
          <cell r="C5839" t="str">
            <v>推广订单扣款</v>
          </cell>
        </row>
        <row r="5839">
          <cell r="H5839" t="str">
            <v>高新店</v>
          </cell>
          <cell r="I5839">
            <v>46084</v>
          </cell>
          <cell r="J5839">
            <v>-45.7</v>
          </cell>
        </row>
        <row r="5840">
          <cell r="C5840" t="str">
            <v>推广订单扣款</v>
          </cell>
        </row>
        <row r="5840">
          <cell r="H5840" t="str">
            <v>成华店</v>
          </cell>
          <cell r="I5840">
            <v>46084</v>
          </cell>
          <cell r="J5840">
            <v>-33.6</v>
          </cell>
        </row>
        <row r="5841">
          <cell r="C5841" t="str">
            <v>推广订单扣款</v>
          </cell>
        </row>
        <row r="5841">
          <cell r="H5841" t="str">
            <v>金牛店</v>
          </cell>
          <cell r="I5841">
            <v>46084</v>
          </cell>
          <cell r="J5841">
            <v>-40.32</v>
          </cell>
        </row>
        <row r="5842">
          <cell r="C5842" t="str">
            <v>推广订单扣款</v>
          </cell>
        </row>
        <row r="5842">
          <cell r="H5842" t="str">
            <v>西山店</v>
          </cell>
          <cell r="I5842">
            <v>46084</v>
          </cell>
          <cell r="J5842">
            <v>-76.88</v>
          </cell>
        </row>
        <row r="5843">
          <cell r="C5843" t="str">
            <v>推广订单扣款</v>
          </cell>
        </row>
        <row r="5843">
          <cell r="H5843" t="str">
            <v>沙坪坝店</v>
          </cell>
          <cell r="I5843">
            <v>46084</v>
          </cell>
          <cell r="J5843">
            <v>-81.4</v>
          </cell>
        </row>
        <row r="5844">
          <cell r="C5844" t="str">
            <v>推广订单扣款</v>
          </cell>
        </row>
        <row r="5844">
          <cell r="H5844" t="str">
            <v>凤城二路店</v>
          </cell>
          <cell r="I5844">
            <v>46084</v>
          </cell>
          <cell r="J5844">
            <v>-147.03</v>
          </cell>
        </row>
        <row r="5845">
          <cell r="C5845" t="str">
            <v>推广订单扣款</v>
          </cell>
        </row>
        <row r="5845">
          <cell r="H5845" t="str">
            <v>大坪店</v>
          </cell>
          <cell r="I5845">
            <v>46084</v>
          </cell>
          <cell r="J5845">
            <v>-135.42</v>
          </cell>
        </row>
        <row r="5846">
          <cell r="C5846" t="str">
            <v>推广账户自动充值</v>
          </cell>
        </row>
        <row r="5846">
          <cell r="H5846" t="str">
            <v>五华店</v>
          </cell>
          <cell r="I5846">
            <v>46084</v>
          </cell>
          <cell r="J5846">
            <v>200</v>
          </cell>
        </row>
        <row r="5847">
          <cell r="C5847" t="str">
            <v>推广订单扣款</v>
          </cell>
        </row>
        <row r="5847">
          <cell r="H5847" t="str">
            <v>五华店</v>
          </cell>
          <cell r="I5847">
            <v>46084</v>
          </cell>
          <cell r="J5847">
            <v>-82.92</v>
          </cell>
        </row>
        <row r="5848">
          <cell r="C5848" t="str">
            <v>推广订单扣款</v>
          </cell>
        </row>
        <row r="5848">
          <cell r="H5848" t="str">
            <v>官渡店</v>
          </cell>
          <cell r="I5848">
            <v>46084</v>
          </cell>
          <cell r="J5848">
            <v>-97.58</v>
          </cell>
        </row>
        <row r="5849">
          <cell r="C5849" t="str">
            <v>推广订单扣款</v>
          </cell>
        </row>
        <row r="5849">
          <cell r="H5849" t="str">
            <v>百捷店</v>
          </cell>
          <cell r="I5849">
            <v>46084</v>
          </cell>
          <cell r="J5849">
            <v>-46.88</v>
          </cell>
        </row>
        <row r="5850">
          <cell r="C5850" t="str">
            <v>推广订单扣款</v>
          </cell>
        </row>
        <row r="5850">
          <cell r="H5850" t="str">
            <v>济南店</v>
          </cell>
          <cell r="I5850">
            <v>46084</v>
          </cell>
          <cell r="J5850">
            <v>-126.75</v>
          </cell>
        </row>
        <row r="5851">
          <cell r="C5851" t="str">
            <v>推广订单扣款</v>
          </cell>
        </row>
        <row r="5851">
          <cell r="H5851" t="str">
            <v>观音桥店</v>
          </cell>
          <cell r="I5851">
            <v>46084</v>
          </cell>
          <cell r="J5851">
            <v>-77.29</v>
          </cell>
        </row>
        <row r="5852">
          <cell r="C5852" t="str">
            <v>推广订单扣款</v>
          </cell>
        </row>
        <row r="5852">
          <cell r="H5852" t="str">
            <v>长沙店</v>
          </cell>
          <cell r="I5852">
            <v>46084</v>
          </cell>
          <cell r="J5852">
            <v>-90.62</v>
          </cell>
        </row>
        <row r="5853">
          <cell r="C5853" t="str">
            <v>推广订单扣款</v>
          </cell>
        </row>
        <row r="5853">
          <cell r="H5853" t="str">
            <v>洛江店</v>
          </cell>
          <cell r="I5853">
            <v>46084</v>
          </cell>
          <cell r="J5853">
            <v>-92.57</v>
          </cell>
        </row>
        <row r="5854">
          <cell r="C5854" t="str">
            <v>推广账户自动充值</v>
          </cell>
        </row>
        <row r="5854">
          <cell r="H5854" t="str">
            <v>五路口店</v>
          </cell>
          <cell r="I5854">
            <v>46084</v>
          </cell>
          <cell r="J5854">
            <v>200</v>
          </cell>
        </row>
        <row r="5855">
          <cell r="C5855" t="str">
            <v>推广订单扣款</v>
          </cell>
        </row>
        <row r="5855">
          <cell r="H5855" t="str">
            <v>五路口店</v>
          </cell>
          <cell r="I5855">
            <v>46084</v>
          </cell>
          <cell r="J5855">
            <v>-108.9</v>
          </cell>
        </row>
        <row r="5856">
          <cell r="C5856" t="str">
            <v>推广订单扣款</v>
          </cell>
        </row>
        <row r="5856">
          <cell r="H5856" t="str">
            <v>青羊店</v>
          </cell>
          <cell r="I5856">
            <v>46084</v>
          </cell>
          <cell r="J5856">
            <v>-38.18</v>
          </cell>
        </row>
        <row r="5857">
          <cell r="C5857" t="str">
            <v>推广账户自动充值</v>
          </cell>
        </row>
        <row r="5857">
          <cell r="H5857" t="str">
            <v>武侯店</v>
          </cell>
          <cell r="I5857">
            <v>46084</v>
          </cell>
          <cell r="J5857">
            <v>200</v>
          </cell>
        </row>
        <row r="5858">
          <cell r="C5858" t="str">
            <v>推广订单扣款</v>
          </cell>
        </row>
        <row r="5858">
          <cell r="H5858" t="str">
            <v>武侯店</v>
          </cell>
          <cell r="I5858">
            <v>46084</v>
          </cell>
          <cell r="J5858">
            <v>-47.8</v>
          </cell>
        </row>
        <row r="5859">
          <cell r="C5859" t="str">
            <v>推广订单扣款</v>
          </cell>
        </row>
        <row r="5859">
          <cell r="H5859" t="str">
            <v>鼓楼店</v>
          </cell>
          <cell r="I5859">
            <v>46084</v>
          </cell>
          <cell r="J5859">
            <v>-107.41</v>
          </cell>
        </row>
        <row r="5860">
          <cell r="C5860" t="str">
            <v>推广订单扣款</v>
          </cell>
        </row>
        <row r="5860">
          <cell r="H5860" t="str">
            <v>黄雁村店</v>
          </cell>
          <cell r="I5860">
            <v>46084</v>
          </cell>
          <cell r="J5860">
            <v>-120.87</v>
          </cell>
        </row>
        <row r="5861">
          <cell r="C5861" t="str">
            <v>推广订单扣款</v>
          </cell>
        </row>
        <row r="5861">
          <cell r="H5861" t="str">
            <v>西湖店</v>
          </cell>
          <cell r="I5861">
            <v>46084</v>
          </cell>
          <cell r="J5861">
            <v>-61.23</v>
          </cell>
        </row>
        <row r="5862">
          <cell r="C5862" t="str">
            <v>推广账户自动充值</v>
          </cell>
        </row>
        <row r="5862">
          <cell r="H5862" t="str">
            <v>百丈店</v>
          </cell>
          <cell r="I5862">
            <v>46084</v>
          </cell>
          <cell r="J5862">
            <v>200</v>
          </cell>
        </row>
        <row r="5863">
          <cell r="C5863" t="str">
            <v>推广订单扣款</v>
          </cell>
        </row>
        <row r="5863">
          <cell r="H5863" t="str">
            <v>百丈店</v>
          </cell>
          <cell r="I5863">
            <v>46084</v>
          </cell>
          <cell r="J5863">
            <v>-149.6</v>
          </cell>
        </row>
        <row r="5864">
          <cell r="C5864" t="str">
            <v>推广订单扣款</v>
          </cell>
        </row>
        <row r="5864">
          <cell r="H5864" t="str">
            <v>文昌店</v>
          </cell>
          <cell r="I5864">
            <v>46084</v>
          </cell>
          <cell r="J5864">
            <v>-58.27</v>
          </cell>
        </row>
        <row r="5865">
          <cell r="C5865" t="str">
            <v>推广订单扣款</v>
          </cell>
        </row>
        <row r="5865">
          <cell r="H5865" t="str">
            <v>观桥店</v>
          </cell>
          <cell r="I5865">
            <v>46084</v>
          </cell>
          <cell r="J5865">
            <v>-200</v>
          </cell>
        </row>
        <row r="5866">
          <cell r="C5866" t="str">
            <v>推广订单扣款</v>
          </cell>
        </row>
        <row r="5866">
          <cell r="H5866" t="str">
            <v>海口店</v>
          </cell>
          <cell r="I5866">
            <v>46084</v>
          </cell>
          <cell r="J5866">
            <v>-271.51</v>
          </cell>
        </row>
        <row r="5867">
          <cell r="C5867" t="str">
            <v>推广订单扣款</v>
          </cell>
        </row>
        <row r="5867">
          <cell r="H5867" t="str">
            <v>南安店</v>
          </cell>
          <cell r="I5867">
            <v>46084</v>
          </cell>
          <cell r="J5867">
            <v>-25.76</v>
          </cell>
        </row>
        <row r="5868">
          <cell r="C5868" t="str">
            <v>推广订单扣款</v>
          </cell>
        </row>
        <row r="5868">
          <cell r="H5868" t="str">
            <v>诚毅店</v>
          </cell>
          <cell r="I5868">
            <v>46084</v>
          </cell>
          <cell r="J5868">
            <v>-141.57</v>
          </cell>
        </row>
        <row r="5869">
          <cell r="C5869" t="str">
            <v>推广订单扣款</v>
          </cell>
        </row>
        <row r="5869">
          <cell r="H5869" t="str">
            <v>首山店</v>
          </cell>
          <cell r="I5869">
            <v>46084</v>
          </cell>
          <cell r="J5869">
            <v>-65.22</v>
          </cell>
        </row>
        <row r="5870">
          <cell r="C5870" t="str">
            <v>推广订单扣款</v>
          </cell>
        </row>
        <row r="5870">
          <cell r="H5870" t="str">
            <v>首南店</v>
          </cell>
          <cell r="I5870">
            <v>46084</v>
          </cell>
          <cell r="J5870">
            <v>-85.58</v>
          </cell>
        </row>
        <row r="5871">
          <cell r="C5871" t="str">
            <v>推广账户自动充值</v>
          </cell>
        </row>
        <row r="5871">
          <cell r="H5871" t="str">
            <v>余杭店</v>
          </cell>
          <cell r="I5871">
            <v>46084</v>
          </cell>
          <cell r="J5871">
            <v>200</v>
          </cell>
        </row>
        <row r="5872">
          <cell r="C5872" t="str">
            <v>推广订单扣款</v>
          </cell>
        </row>
        <row r="5872">
          <cell r="H5872" t="str">
            <v>余杭店</v>
          </cell>
          <cell r="I5872">
            <v>46084</v>
          </cell>
          <cell r="J5872">
            <v>-148.07</v>
          </cell>
        </row>
        <row r="5873">
          <cell r="C5873" t="str">
            <v>推广订单扣款</v>
          </cell>
        </row>
        <row r="5873">
          <cell r="H5873" t="str">
            <v>东海店</v>
          </cell>
          <cell r="I5873">
            <v>46084</v>
          </cell>
          <cell r="J5873">
            <v>-38.91</v>
          </cell>
        </row>
        <row r="5874">
          <cell r="C5874" t="str">
            <v>推广订单扣款</v>
          </cell>
        </row>
        <row r="5874">
          <cell r="H5874" t="str">
            <v>文灶店</v>
          </cell>
          <cell r="I5874">
            <v>46084</v>
          </cell>
          <cell r="J5874">
            <v>-48.55</v>
          </cell>
        </row>
        <row r="5875">
          <cell r="C5875" t="str">
            <v>推广订单扣款</v>
          </cell>
        </row>
        <row r="5875">
          <cell r="H5875" t="str">
            <v>滨江店</v>
          </cell>
          <cell r="I5875">
            <v>46084</v>
          </cell>
          <cell r="J5875">
            <v>-119.81</v>
          </cell>
        </row>
        <row r="5876">
          <cell r="C5876" t="str">
            <v>推广订单扣款</v>
          </cell>
        </row>
        <row r="5876">
          <cell r="H5876" t="str">
            <v>下沙店</v>
          </cell>
          <cell r="I5876">
            <v>46084</v>
          </cell>
          <cell r="J5876">
            <v>-188.02</v>
          </cell>
        </row>
        <row r="5877">
          <cell r="C5877" t="str">
            <v>推广订单扣款</v>
          </cell>
        </row>
        <row r="5877">
          <cell r="H5877" t="str">
            <v>华信店</v>
          </cell>
          <cell r="I5877" t="str">
            <v>2026-3-03</v>
          </cell>
          <cell r="J5877">
            <v>-160</v>
          </cell>
        </row>
        <row r="5878">
          <cell r="C5878" t="str">
            <v>推广账户自动充值</v>
          </cell>
        </row>
        <row r="5878">
          <cell r="H5878" t="str">
            <v>槐荫店</v>
          </cell>
          <cell r="I5878" t="str">
            <v>2026-3-03</v>
          </cell>
          <cell r="J5878">
            <v>200</v>
          </cell>
        </row>
        <row r="5879">
          <cell r="C5879" t="str">
            <v>推广订单扣款</v>
          </cell>
        </row>
        <row r="5879">
          <cell r="H5879" t="str">
            <v>槐荫店</v>
          </cell>
          <cell r="I5879" t="str">
            <v>2026-3-03</v>
          </cell>
          <cell r="J5879">
            <v>-165</v>
          </cell>
        </row>
        <row r="5880">
          <cell r="C5880" t="str">
            <v>推广订单扣款</v>
          </cell>
        </row>
        <row r="5880">
          <cell r="H5880" t="str">
            <v>湖里店</v>
          </cell>
          <cell r="I5880">
            <v>46085</v>
          </cell>
          <cell r="J5880">
            <v>-92.81</v>
          </cell>
        </row>
        <row r="5881">
          <cell r="C5881" t="str">
            <v>推广订单扣款</v>
          </cell>
        </row>
        <row r="5881">
          <cell r="H5881" t="str">
            <v>东新店</v>
          </cell>
          <cell r="I5881">
            <v>46085</v>
          </cell>
          <cell r="J5881">
            <v>-85.66</v>
          </cell>
        </row>
        <row r="5882">
          <cell r="C5882" t="str">
            <v>推广订单扣款</v>
          </cell>
        </row>
        <row r="5882">
          <cell r="H5882" t="str">
            <v>泉秀店</v>
          </cell>
          <cell r="I5882">
            <v>46085</v>
          </cell>
          <cell r="J5882">
            <v>-101.56</v>
          </cell>
        </row>
        <row r="5883">
          <cell r="C5883" t="str">
            <v>推广订单扣款</v>
          </cell>
        </row>
        <row r="5883">
          <cell r="H5883" t="str">
            <v>启点店</v>
          </cell>
          <cell r="I5883">
            <v>46085</v>
          </cell>
          <cell r="J5883">
            <v>-93.35</v>
          </cell>
        </row>
        <row r="5884">
          <cell r="C5884" t="str">
            <v>推广订单扣款</v>
          </cell>
        </row>
        <row r="5884">
          <cell r="H5884" t="str">
            <v>高新店</v>
          </cell>
          <cell r="I5884">
            <v>46085</v>
          </cell>
          <cell r="J5884">
            <v>-67.83</v>
          </cell>
        </row>
        <row r="5885">
          <cell r="C5885" t="str">
            <v>推广订单扣款</v>
          </cell>
        </row>
        <row r="5885">
          <cell r="H5885" t="str">
            <v>成华店</v>
          </cell>
          <cell r="I5885">
            <v>46085</v>
          </cell>
          <cell r="J5885">
            <v>-42.92</v>
          </cell>
        </row>
        <row r="5886">
          <cell r="C5886" t="str">
            <v>推广订单扣款</v>
          </cell>
        </row>
        <row r="5886">
          <cell r="H5886" t="str">
            <v>金牛店</v>
          </cell>
          <cell r="I5886">
            <v>46085</v>
          </cell>
          <cell r="J5886">
            <v>-38.02</v>
          </cell>
        </row>
        <row r="5887">
          <cell r="C5887" t="str">
            <v>推广订单扣款</v>
          </cell>
        </row>
        <row r="5887">
          <cell r="H5887" t="str">
            <v>西山店</v>
          </cell>
          <cell r="I5887">
            <v>46085</v>
          </cell>
          <cell r="J5887">
            <v>-101.99</v>
          </cell>
        </row>
        <row r="5888">
          <cell r="C5888" t="str">
            <v>推广账户自动充值</v>
          </cell>
        </row>
        <row r="5888">
          <cell r="H5888" t="str">
            <v>沙坪坝店</v>
          </cell>
          <cell r="I5888">
            <v>46085</v>
          </cell>
          <cell r="J5888">
            <v>200</v>
          </cell>
        </row>
        <row r="5889">
          <cell r="C5889" t="str">
            <v>推广订单扣款</v>
          </cell>
        </row>
        <row r="5889">
          <cell r="H5889" t="str">
            <v>沙坪坝店</v>
          </cell>
          <cell r="I5889">
            <v>46085</v>
          </cell>
          <cell r="J5889">
            <v>-156.74</v>
          </cell>
        </row>
        <row r="5890">
          <cell r="C5890" t="str">
            <v>推广订单扣款</v>
          </cell>
        </row>
        <row r="5890">
          <cell r="H5890" t="str">
            <v>凤城二路店</v>
          </cell>
          <cell r="I5890">
            <v>46085</v>
          </cell>
          <cell r="J5890">
            <v>-135.21</v>
          </cell>
        </row>
        <row r="5891">
          <cell r="C5891" t="str">
            <v>推广订单扣款</v>
          </cell>
        </row>
        <row r="5891">
          <cell r="H5891" t="str">
            <v>大坪店</v>
          </cell>
          <cell r="I5891">
            <v>46085</v>
          </cell>
          <cell r="J5891">
            <v>-112.59</v>
          </cell>
        </row>
        <row r="5892">
          <cell r="C5892" t="str">
            <v>推广订单扣款</v>
          </cell>
        </row>
        <row r="5892">
          <cell r="H5892" t="str">
            <v>五华店</v>
          </cell>
          <cell r="I5892">
            <v>46085</v>
          </cell>
          <cell r="J5892">
            <v>-106.67</v>
          </cell>
        </row>
        <row r="5893">
          <cell r="C5893" t="str">
            <v>推广订单扣款</v>
          </cell>
        </row>
        <row r="5893">
          <cell r="H5893" t="str">
            <v>官渡店</v>
          </cell>
          <cell r="I5893">
            <v>46085</v>
          </cell>
          <cell r="J5893">
            <v>-152.42</v>
          </cell>
        </row>
        <row r="5894">
          <cell r="C5894" t="str">
            <v>推广订单扣款</v>
          </cell>
        </row>
        <row r="5894">
          <cell r="H5894" t="str">
            <v>百捷店</v>
          </cell>
          <cell r="I5894">
            <v>46085</v>
          </cell>
          <cell r="J5894">
            <v>-36.9</v>
          </cell>
        </row>
        <row r="5895">
          <cell r="C5895" t="str">
            <v>推广订单扣款</v>
          </cell>
        </row>
        <row r="5895">
          <cell r="H5895" t="str">
            <v>济南店</v>
          </cell>
          <cell r="I5895">
            <v>46085</v>
          </cell>
          <cell r="J5895">
            <v>-174.54</v>
          </cell>
        </row>
        <row r="5896">
          <cell r="C5896" t="str">
            <v>推广订单扣款</v>
          </cell>
        </row>
        <row r="5896">
          <cell r="H5896" t="str">
            <v>观音桥店</v>
          </cell>
          <cell r="I5896">
            <v>46085</v>
          </cell>
          <cell r="J5896">
            <v>-76.91</v>
          </cell>
        </row>
        <row r="5897">
          <cell r="C5897" t="str">
            <v>推广订单扣款</v>
          </cell>
        </row>
        <row r="5897">
          <cell r="H5897" t="str">
            <v>长沙店</v>
          </cell>
          <cell r="I5897">
            <v>46085</v>
          </cell>
          <cell r="J5897">
            <v>-69.84</v>
          </cell>
        </row>
        <row r="5898">
          <cell r="C5898" t="str">
            <v>推广订单扣款</v>
          </cell>
        </row>
        <row r="5898">
          <cell r="H5898" t="str">
            <v>洛江店</v>
          </cell>
          <cell r="I5898">
            <v>46085</v>
          </cell>
          <cell r="J5898">
            <v>-78.93</v>
          </cell>
        </row>
        <row r="5899">
          <cell r="C5899" t="str">
            <v>推广订单扣款</v>
          </cell>
        </row>
        <row r="5899">
          <cell r="H5899" t="str">
            <v>五路口店</v>
          </cell>
          <cell r="I5899">
            <v>46085</v>
          </cell>
          <cell r="J5899">
            <v>-124.55</v>
          </cell>
        </row>
        <row r="5900">
          <cell r="C5900" t="str">
            <v>推广订单扣款</v>
          </cell>
        </row>
        <row r="5900">
          <cell r="H5900" t="str">
            <v>青羊店</v>
          </cell>
          <cell r="I5900">
            <v>46085</v>
          </cell>
          <cell r="J5900">
            <v>-17.95</v>
          </cell>
        </row>
        <row r="5901">
          <cell r="C5901" t="str">
            <v>推广订单扣款</v>
          </cell>
        </row>
        <row r="5901">
          <cell r="H5901" t="str">
            <v>武侯店</v>
          </cell>
          <cell r="I5901">
            <v>46085</v>
          </cell>
          <cell r="J5901">
            <v>-114.22</v>
          </cell>
        </row>
        <row r="5902">
          <cell r="C5902" t="str">
            <v>推广订单扣款</v>
          </cell>
        </row>
        <row r="5902">
          <cell r="H5902" t="str">
            <v>鼓楼店</v>
          </cell>
          <cell r="I5902">
            <v>46085</v>
          </cell>
          <cell r="J5902">
            <v>-126.52</v>
          </cell>
        </row>
        <row r="5903">
          <cell r="C5903" t="str">
            <v>推广订单扣款</v>
          </cell>
        </row>
        <row r="5903">
          <cell r="H5903" t="str">
            <v>黄雁村店</v>
          </cell>
          <cell r="I5903">
            <v>46085</v>
          </cell>
          <cell r="J5903">
            <v>-168.8</v>
          </cell>
        </row>
        <row r="5904">
          <cell r="C5904" t="str">
            <v>推广订单扣款</v>
          </cell>
        </row>
        <row r="5904">
          <cell r="H5904" t="str">
            <v>西湖店</v>
          </cell>
          <cell r="I5904">
            <v>46085</v>
          </cell>
          <cell r="J5904">
            <v>-84.55</v>
          </cell>
        </row>
        <row r="5905">
          <cell r="C5905" t="str">
            <v>推广订单扣款</v>
          </cell>
        </row>
        <row r="5905">
          <cell r="H5905" t="str">
            <v>百丈店</v>
          </cell>
          <cell r="I5905">
            <v>46085</v>
          </cell>
          <cell r="J5905">
            <v>-147.94</v>
          </cell>
        </row>
        <row r="5906">
          <cell r="C5906" t="str">
            <v>推广订单扣款</v>
          </cell>
        </row>
        <row r="5906">
          <cell r="H5906" t="str">
            <v>文昌店</v>
          </cell>
          <cell r="I5906">
            <v>46085</v>
          </cell>
          <cell r="J5906">
            <v>-96.5</v>
          </cell>
        </row>
        <row r="5907">
          <cell r="C5907" t="str">
            <v>推广订单扣款</v>
          </cell>
        </row>
        <row r="5907">
          <cell r="H5907" t="str">
            <v>观桥店</v>
          </cell>
          <cell r="I5907">
            <v>46085</v>
          </cell>
          <cell r="J5907">
            <v>-200</v>
          </cell>
        </row>
        <row r="5908">
          <cell r="C5908" t="str">
            <v>推广订单扣款</v>
          </cell>
        </row>
        <row r="5908">
          <cell r="H5908" t="str">
            <v>海口店</v>
          </cell>
          <cell r="I5908">
            <v>46085</v>
          </cell>
          <cell r="J5908">
            <v>-300</v>
          </cell>
        </row>
        <row r="5909">
          <cell r="C5909" t="str">
            <v>推广订单扣款</v>
          </cell>
        </row>
        <row r="5909">
          <cell r="H5909" t="str">
            <v>南安店</v>
          </cell>
          <cell r="I5909">
            <v>46085</v>
          </cell>
          <cell r="J5909">
            <v>-34.03</v>
          </cell>
        </row>
        <row r="5910">
          <cell r="C5910" t="str">
            <v>推广订单扣款</v>
          </cell>
        </row>
        <row r="5910">
          <cell r="H5910" t="str">
            <v>诚毅店</v>
          </cell>
          <cell r="I5910">
            <v>46085</v>
          </cell>
          <cell r="J5910">
            <v>-155.53</v>
          </cell>
        </row>
        <row r="5911">
          <cell r="C5911" t="str">
            <v>推广订单扣款</v>
          </cell>
        </row>
        <row r="5911">
          <cell r="H5911" t="str">
            <v>首山店</v>
          </cell>
          <cell r="I5911">
            <v>46085</v>
          </cell>
          <cell r="J5911">
            <v>-95.99</v>
          </cell>
        </row>
        <row r="5912">
          <cell r="C5912" t="str">
            <v>推广订单扣款</v>
          </cell>
        </row>
        <row r="5912">
          <cell r="H5912" t="str">
            <v>首南店</v>
          </cell>
          <cell r="I5912">
            <v>46085</v>
          </cell>
          <cell r="J5912">
            <v>-133.05</v>
          </cell>
        </row>
        <row r="5913">
          <cell r="C5913" t="str">
            <v>推广订单扣款</v>
          </cell>
        </row>
        <row r="5913">
          <cell r="H5913" t="str">
            <v>余杭店</v>
          </cell>
          <cell r="I5913">
            <v>46085</v>
          </cell>
          <cell r="J5913">
            <v>-152.25</v>
          </cell>
        </row>
        <row r="5914">
          <cell r="C5914" t="str">
            <v>推广订单扣款</v>
          </cell>
        </row>
        <row r="5914">
          <cell r="H5914" t="str">
            <v>东海店</v>
          </cell>
          <cell r="I5914">
            <v>46085</v>
          </cell>
          <cell r="J5914">
            <v>-48.65</v>
          </cell>
        </row>
        <row r="5915">
          <cell r="C5915" t="str">
            <v>推广订单扣款</v>
          </cell>
        </row>
        <row r="5915">
          <cell r="H5915" t="str">
            <v>文灶店</v>
          </cell>
          <cell r="I5915">
            <v>46085</v>
          </cell>
          <cell r="J5915">
            <v>-66.14</v>
          </cell>
        </row>
        <row r="5916">
          <cell r="C5916" t="str">
            <v>推广订单扣款</v>
          </cell>
        </row>
        <row r="5916">
          <cell r="H5916" t="str">
            <v>滨江店</v>
          </cell>
          <cell r="I5916">
            <v>46085</v>
          </cell>
          <cell r="J5916">
            <v>-148.41</v>
          </cell>
        </row>
        <row r="5917">
          <cell r="C5917" t="str">
            <v>推广账户自动充值</v>
          </cell>
        </row>
        <row r="5917">
          <cell r="H5917" t="str">
            <v>下沙店</v>
          </cell>
          <cell r="I5917">
            <v>46085</v>
          </cell>
          <cell r="J5917">
            <v>100</v>
          </cell>
        </row>
        <row r="5918">
          <cell r="C5918" t="str">
            <v>推广订单扣款</v>
          </cell>
        </row>
        <row r="5918">
          <cell r="H5918" t="str">
            <v>下沙店</v>
          </cell>
          <cell r="I5918">
            <v>46085</v>
          </cell>
          <cell r="J5918">
            <v>-254.88</v>
          </cell>
        </row>
        <row r="5919">
          <cell r="C5919" t="str">
            <v>推广订单扣款</v>
          </cell>
        </row>
        <row r="5919">
          <cell r="H5919" t="str">
            <v>华信店</v>
          </cell>
          <cell r="I5919">
            <v>46085</v>
          </cell>
          <cell r="J5919">
            <v>-160</v>
          </cell>
        </row>
        <row r="5920">
          <cell r="C5920" t="str">
            <v>推广订单扣款</v>
          </cell>
        </row>
        <row r="5920">
          <cell r="H5920" t="str">
            <v>槐荫店</v>
          </cell>
          <cell r="I5920">
            <v>46085</v>
          </cell>
          <cell r="J5920">
            <v>-135</v>
          </cell>
        </row>
        <row r="5921">
          <cell r="C5921" t="str">
            <v>推广订单扣款</v>
          </cell>
        </row>
        <row r="5921">
          <cell r="H5921" t="str">
            <v>湖里店</v>
          </cell>
          <cell r="I5921">
            <v>46086</v>
          </cell>
          <cell r="J5921">
            <v>-72.33</v>
          </cell>
        </row>
        <row r="5922">
          <cell r="C5922" t="str">
            <v>推广订单扣款</v>
          </cell>
        </row>
        <row r="5922">
          <cell r="H5922" t="str">
            <v>东新店</v>
          </cell>
          <cell r="I5922">
            <v>46086</v>
          </cell>
          <cell r="J5922">
            <v>-73.9</v>
          </cell>
        </row>
        <row r="5923">
          <cell r="C5923" t="str">
            <v>推广账户自动充值</v>
          </cell>
        </row>
        <row r="5923">
          <cell r="H5923" t="str">
            <v>泉秀店</v>
          </cell>
          <cell r="I5923">
            <v>46086</v>
          </cell>
          <cell r="J5923">
            <v>200</v>
          </cell>
        </row>
        <row r="5924">
          <cell r="C5924" t="str">
            <v>推广订单扣款</v>
          </cell>
        </row>
        <row r="5924">
          <cell r="H5924" t="str">
            <v>泉秀店</v>
          </cell>
          <cell r="I5924">
            <v>46086</v>
          </cell>
          <cell r="J5924">
            <v>-149.53</v>
          </cell>
        </row>
        <row r="5925">
          <cell r="C5925" t="str">
            <v>推广订单扣款</v>
          </cell>
        </row>
        <row r="5925">
          <cell r="H5925" t="str">
            <v>启点店</v>
          </cell>
          <cell r="I5925">
            <v>46086</v>
          </cell>
          <cell r="J5925">
            <v>-94.49</v>
          </cell>
        </row>
        <row r="5926">
          <cell r="C5926" t="str">
            <v>推广订单扣款</v>
          </cell>
        </row>
        <row r="5926">
          <cell r="H5926" t="str">
            <v>高新店</v>
          </cell>
          <cell r="I5926">
            <v>46086</v>
          </cell>
          <cell r="J5926">
            <v>-61.2</v>
          </cell>
        </row>
        <row r="5927">
          <cell r="C5927" t="str">
            <v>推广账户自动充值</v>
          </cell>
        </row>
        <row r="5927">
          <cell r="H5927" t="str">
            <v>成华店</v>
          </cell>
          <cell r="I5927">
            <v>46086</v>
          </cell>
          <cell r="J5927">
            <v>200</v>
          </cell>
        </row>
        <row r="5928">
          <cell r="C5928" t="str">
            <v>推广订单扣款</v>
          </cell>
        </row>
        <row r="5928">
          <cell r="H5928" t="str">
            <v>成华店</v>
          </cell>
          <cell r="I5928">
            <v>46086</v>
          </cell>
          <cell r="J5928">
            <v>-27.95</v>
          </cell>
        </row>
        <row r="5929">
          <cell r="C5929" t="str">
            <v>推广订单扣款</v>
          </cell>
        </row>
        <row r="5929">
          <cell r="H5929" t="str">
            <v>金牛店</v>
          </cell>
          <cell r="I5929">
            <v>46086</v>
          </cell>
          <cell r="J5929">
            <v>-40.54</v>
          </cell>
        </row>
        <row r="5930">
          <cell r="C5930" t="str">
            <v>推广订单扣款</v>
          </cell>
        </row>
        <row r="5930">
          <cell r="H5930" t="str">
            <v>西山店</v>
          </cell>
          <cell r="I5930">
            <v>46086</v>
          </cell>
          <cell r="J5930">
            <v>-100.05</v>
          </cell>
        </row>
        <row r="5931">
          <cell r="C5931" t="str">
            <v>推广订单扣款</v>
          </cell>
        </row>
        <row r="5931">
          <cell r="H5931" t="str">
            <v>沙坪坝店</v>
          </cell>
          <cell r="I5931">
            <v>46086</v>
          </cell>
          <cell r="J5931">
            <v>-147.97</v>
          </cell>
        </row>
        <row r="5932">
          <cell r="C5932" t="str">
            <v>推广订单扣款</v>
          </cell>
        </row>
        <row r="5932">
          <cell r="H5932" t="str">
            <v>凤城二路店</v>
          </cell>
          <cell r="I5932">
            <v>46086</v>
          </cell>
          <cell r="J5932">
            <v>-98.01</v>
          </cell>
        </row>
        <row r="5933">
          <cell r="C5933" t="str">
            <v>推广订单扣款</v>
          </cell>
        </row>
        <row r="5933">
          <cell r="H5933" t="str">
            <v>大坪店</v>
          </cell>
          <cell r="I5933">
            <v>46086</v>
          </cell>
          <cell r="J5933">
            <v>-115.79</v>
          </cell>
        </row>
        <row r="5934">
          <cell r="C5934" t="str">
            <v>推广订单扣款</v>
          </cell>
        </row>
        <row r="5934">
          <cell r="H5934" t="str">
            <v>五华店</v>
          </cell>
          <cell r="I5934">
            <v>46086</v>
          </cell>
          <cell r="J5934">
            <v>-118.42</v>
          </cell>
        </row>
        <row r="5935">
          <cell r="C5935" t="str">
            <v>推广订单扣款</v>
          </cell>
        </row>
        <row r="5935">
          <cell r="H5935" t="str">
            <v>官渡店</v>
          </cell>
          <cell r="I5935">
            <v>46086</v>
          </cell>
          <cell r="J5935">
            <v>-156.54</v>
          </cell>
        </row>
        <row r="5936">
          <cell r="C5936" t="str">
            <v>推广订单扣款</v>
          </cell>
        </row>
        <row r="5936">
          <cell r="H5936" t="str">
            <v>百捷店</v>
          </cell>
          <cell r="I5936">
            <v>46086</v>
          </cell>
          <cell r="J5936">
            <v>-66.73</v>
          </cell>
        </row>
        <row r="5937">
          <cell r="C5937" t="str">
            <v>推广订单扣款</v>
          </cell>
        </row>
        <row r="5937">
          <cell r="H5937" t="str">
            <v>济南店</v>
          </cell>
          <cell r="I5937">
            <v>46086</v>
          </cell>
          <cell r="J5937">
            <v>-136.07</v>
          </cell>
        </row>
        <row r="5938">
          <cell r="C5938" t="str">
            <v>推广订单扣款</v>
          </cell>
        </row>
        <row r="5938">
          <cell r="H5938" t="str">
            <v>观音桥店</v>
          </cell>
          <cell r="I5938">
            <v>46086</v>
          </cell>
          <cell r="J5938">
            <v>-83.07</v>
          </cell>
        </row>
        <row r="5939">
          <cell r="C5939" t="str">
            <v>推广订单扣款</v>
          </cell>
        </row>
        <row r="5939">
          <cell r="H5939" t="str">
            <v>长沙店</v>
          </cell>
          <cell r="I5939">
            <v>46086</v>
          </cell>
          <cell r="J5939">
            <v>-108.56</v>
          </cell>
        </row>
        <row r="5940">
          <cell r="C5940" t="str">
            <v>推广订单扣款</v>
          </cell>
        </row>
        <row r="5940">
          <cell r="H5940" t="str">
            <v>洛江店</v>
          </cell>
          <cell r="I5940">
            <v>46086</v>
          </cell>
          <cell r="J5940">
            <v>-48.57</v>
          </cell>
        </row>
        <row r="5941">
          <cell r="C5941" t="str">
            <v>推广订单扣款</v>
          </cell>
        </row>
        <row r="5941">
          <cell r="H5941" t="str">
            <v>五路口店</v>
          </cell>
          <cell r="I5941">
            <v>46086</v>
          </cell>
          <cell r="J5941">
            <v>-124.96</v>
          </cell>
        </row>
        <row r="5942">
          <cell r="C5942" t="str">
            <v>推广订单扣款</v>
          </cell>
        </row>
        <row r="5942">
          <cell r="H5942" t="str">
            <v>青羊店</v>
          </cell>
          <cell r="I5942">
            <v>46086</v>
          </cell>
          <cell r="J5942">
            <v>-36.61</v>
          </cell>
        </row>
        <row r="5943">
          <cell r="C5943" t="str">
            <v>推广订单扣款</v>
          </cell>
        </row>
        <row r="5943">
          <cell r="H5943" t="str">
            <v>武侯店</v>
          </cell>
          <cell r="I5943">
            <v>46086</v>
          </cell>
          <cell r="J5943">
            <v>-69.31</v>
          </cell>
        </row>
        <row r="5944">
          <cell r="C5944" t="str">
            <v>推广订单扣款</v>
          </cell>
        </row>
        <row r="5944">
          <cell r="H5944" t="str">
            <v>鼓楼店</v>
          </cell>
          <cell r="I5944">
            <v>46086</v>
          </cell>
          <cell r="J5944">
            <v>-149.22</v>
          </cell>
        </row>
        <row r="5945">
          <cell r="C5945" t="str">
            <v>推广订单扣款</v>
          </cell>
        </row>
        <row r="5945">
          <cell r="H5945" t="str">
            <v>黄雁村店</v>
          </cell>
          <cell r="I5945">
            <v>46086</v>
          </cell>
          <cell r="J5945">
            <v>-157.62</v>
          </cell>
        </row>
        <row r="5946">
          <cell r="C5946" t="str">
            <v>推广订单扣款</v>
          </cell>
        </row>
        <row r="5946">
          <cell r="H5946" t="str">
            <v>西湖店</v>
          </cell>
          <cell r="I5946">
            <v>46086</v>
          </cell>
          <cell r="J5946">
            <v>-56.84</v>
          </cell>
        </row>
        <row r="5947">
          <cell r="C5947" t="str">
            <v>推广订单扣款</v>
          </cell>
        </row>
        <row r="5947">
          <cell r="H5947" t="str">
            <v>百丈店</v>
          </cell>
          <cell r="I5947">
            <v>46086</v>
          </cell>
          <cell r="J5947">
            <v>-145.46</v>
          </cell>
        </row>
        <row r="5948">
          <cell r="C5948" t="str">
            <v>推广订单扣款</v>
          </cell>
        </row>
        <row r="5948">
          <cell r="H5948" t="str">
            <v>文昌店</v>
          </cell>
          <cell r="I5948">
            <v>46086</v>
          </cell>
          <cell r="J5948">
            <v>-153.37</v>
          </cell>
        </row>
        <row r="5949">
          <cell r="C5949" t="str">
            <v>推广订单扣款</v>
          </cell>
        </row>
        <row r="5949">
          <cell r="H5949" t="str">
            <v>观桥店</v>
          </cell>
          <cell r="I5949">
            <v>46086</v>
          </cell>
          <cell r="J5949">
            <v>-161.6</v>
          </cell>
        </row>
        <row r="5950">
          <cell r="C5950" t="str">
            <v>推广订单扣款</v>
          </cell>
        </row>
        <row r="5950">
          <cell r="H5950" t="str">
            <v>海口店</v>
          </cell>
          <cell r="I5950">
            <v>46086</v>
          </cell>
          <cell r="J5950">
            <v>-284.09</v>
          </cell>
        </row>
        <row r="5951">
          <cell r="C5951" t="str">
            <v>推广订单扣款</v>
          </cell>
        </row>
        <row r="5951">
          <cell r="H5951" t="str">
            <v>南安店</v>
          </cell>
          <cell r="I5951">
            <v>46086</v>
          </cell>
          <cell r="J5951">
            <v>-14.71</v>
          </cell>
        </row>
        <row r="5952">
          <cell r="C5952" t="str">
            <v>推广订单扣款</v>
          </cell>
        </row>
        <row r="5952">
          <cell r="H5952" t="str">
            <v>诚毅店</v>
          </cell>
          <cell r="I5952">
            <v>46086</v>
          </cell>
          <cell r="J5952">
            <v>-147.31</v>
          </cell>
        </row>
        <row r="5953">
          <cell r="C5953" t="str">
            <v>推广订单扣款</v>
          </cell>
        </row>
        <row r="5953">
          <cell r="H5953" t="str">
            <v>首山店</v>
          </cell>
          <cell r="I5953">
            <v>46086</v>
          </cell>
          <cell r="J5953">
            <v>-104.13</v>
          </cell>
        </row>
        <row r="5954">
          <cell r="C5954" t="str">
            <v>推广订单扣款</v>
          </cell>
        </row>
        <row r="5954">
          <cell r="H5954" t="str">
            <v>首南店</v>
          </cell>
          <cell r="I5954">
            <v>46086</v>
          </cell>
          <cell r="J5954">
            <v>-174.35</v>
          </cell>
        </row>
        <row r="5955">
          <cell r="C5955" t="str">
            <v>推广订单扣款</v>
          </cell>
        </row>
        <row r="5955">
          <cell r="H5955" t="str">
            <v>余杭店</v>
          </cell>
          <cell r="I5955">
            <v>46086</v>
          </cell>
          <cell r="J5955">
            <v>-153.38</v>
          </cell>
        </row>
        <row r="5956">
          <cell r="C5956" t="str">
            <v>推广订单扣款</v>
          </cell>
        </row>
        <row r="5956">
          <cell r="H5956" t="str">
            <v>东海店</v>
          </cell>
          <cell r="I5956">
            <v>46086</v>
          </cell>
          <cell r="J5956">
            <v>-46.59</v>
          </cell>
        </row>
        <row r="5957">
          <cell r="C5957" t="str">
            <v>推广订单扣款</v>
          </cell>
        </row>
        <row r="5957">
          <cell r="H5957" t="str">
            <v>文灶店</v>
          </cell>
          <cell r="I5957">
            <v>46086</v>
          </cell>
          <cell r="J5957">
            <v>-74.59</v>
          </cell>
        </row>
        <row r="5958">
          <cell r="C5958" t="str">
            <v>推广订单扣款</v>
          </cell>
        </row>
        <row r="5958">
          <cell r="H5958" t="str">
            <v>滨江店</v>
          </cell>
          <cell r="I5958">
            <v>46086</v>
          </cell>
          <cell r="J5958">
            <v>-168.36</v>
          </cell>
        </row>
        <row r="5959">
          <cell r="C5959" t="str">
            <v>推广订单扣款</v>
          </cell>
        </row>
        <row r="5959">
          <cell r="H5959" t="str">
            <v>下沙店</v>
          </cell>
          <cell r="I5959">
            <v>46086</v>
          </cell>
          <cell r="J5959">
            <v>-256.67</v>
          </cell>
        </row>
        <row r="5960">
          <cell r="C5960" t="str">
            <v>推广账户自动充值</v>
          </cell>
        </row>
        <row r="5960">
          <cell r="H5960" t="str">
            <v>华信店</v>
          </cell>
          <cell r="I5960">
            <v>46086</v>
          </cell>
          <cell r="J5960">
            <v>200</v>
          </cell>
        </row>
        <row r="5961">
          <cell r="C5961" t="str">
            <v>推广订单扣款</v>
          </cell>
        </row>
        <row r="5961">
          <cell r="H5961" t="str">
            <v>华信店</v>
          </cell>
          <cell r="I5961">
            <v>46086</v>
          </cell>
          <cell r="J5961">
            <v>-160</v>
          </cell>
        </row>
        <row r="5962">
          <cell r="C5962" t="str">
            <v>推广订单扣款</v>
          </cell>
        </row>
        <row r="5962">
          <cell r="H5962" t="str">
            <v>槐荫店</v>
          </cell>
          <cell r="I5962">
            <v>46086</v>
          </cell>
          <cell r="J5962">
            <v>-134.43</v>
          </cell>
        </row>
        <row r="5963">
          <cell r="C5963" t="str">
            <v>推广订单扣款</v>
          </cell>
        </row>
        <row r="5963">
          <cell r="H5963" t="str">
            <v>湖里店</v>
          </cell>
          <cell r="I5963">
            <v>46089</v>
          </cell>
          <cell r="J5963">
            <v>-86.42</v>
          </cell>
        </row>
        <row r="5964">
          <cell r="C5964" t="str">
            <v>推广订单扣款</v>
          </cell>
        </row>
        <row r="5964">
          <cell r="H5964" t="str">
            <v>湖里店</v>
          </cell>
          <cell r="I5964">
            <v>46088</v>
          </cell>
          <cell r="J5964">
            <v>-120.2</v>
          </cell>
        </row>
        <row r="5965">
          <cell r="C5965" t="str">
            <v>推广账户自动充值</v>
          </cell>
        </row>
        <row r="5965">
          <cell r="H5965" t="str">
            <v>湖里店</v>
          </cell>
          <cell r="I5965">
            <v>46087</v>
          </cell>
          <cell r="J5965">
            <v>200</v>
          </cell>
        </row>
        <row r="5966">
          <cell r="C5966" t="str">
            <v>推广订单扣款</v>
          </cell>
        </row>
        <row r="5966">
          <cell r="H5966" t="str">
            <v>湖里店</v>
          </cell>
          <cell r="I5966">
            <v>46087</v>
          </cell>
          <cell r="J5966">
            <v>-82.56</v>
          </cell>
        </row>
        <row r="5967">
          <cell r="C5967" t="str">
            <v>推广订单扣款</v>
          </cell>
        </row>
        <row r="5967">
          <cell r="H5967" t="str">
            <v>东新店</v>
          </cell>
          <cell r="I5967">
            <v>46089</v>
          </cell>
          <cell r="J5967">
            <v>-71.11</v>
          </cell>
        </row>
        <row r="5968">
          <cell r="C5968" t="str">
            <v>推广订单扣款</v>
          </cell>
        </row>
        <row r="5968">
          <cell r="H5968" t="str">
            <v>东新店</v>
          </cell>
          <cell r="I5968">
            <v>46088</v>
          </cell>
          <cell r="J5968">
            <v>-100.35</v>
          </cell>
        </row>
        <row r="5969">
          <cell r="C5969" t="str">
            <v>推广账户自动充值</v>
          </cell>
        </row>
        <row r="5969">
          <cell r="H5969" t="str">
            <v>东新店</v>
          </cell>
          <cell r="I5969">
            <v>46087</v>
          </cell>
          <cell r="J5969">
            <v>200</v>
          </cell>
        </row>
        <row r="5970">
          <cell r="C5970" t="str">
            <v>推广订单扣款</v>
          </cell>
        </row>
        <row r="5970">
          <cell r="H5970" t="str">
            <v>东新店</v>
          </cell>
          <cell r="I5970">
            <v>46087</v>
          </cell>
          <cell r="J5970">
            <v>-73.34</v>
          </cell>
        </row>
        <row r="5971">
          <cell r="C5971" t="str">
            <v>推广账户自动充值</v>
          </cell>
        </row>
        <row r="5971">
          <cell r="H5971" t="str">
            <v>泉秀店</v>
          </cell>
          <cell r="I5971">
            <v>46089</v>
          </cell>
          <cell r="J5971">
            <v>200</v>
          </cell>
        </row>
        <row r="5972">
          <cell r="C5972" t="str">
            <v>推广订单扣款</v>
          </cell>
        </row>
        <row r="5972">
          <cell r="H5972" t="str">
            <v>泉秀店</v>
          </cell>
          <cell r="I5972">
            <v>46089</v>
          </cell>
          <cell r="J5972">
            <v>-211.71</v>
          </cell>
        </row>
        <row r="5973">
          <cell r="C5973" t="str">
            <v>推广账户自动充值</v>
          </cell>
        </row>
        <row r="5973">
          <cell r="H5973" t="str">
            <v>泉秀店</v>
          </cell>
          <cell r="I5973">
            <v>46088</v>
          </cell>
          <cell r="J5973">
            <v>200</v>
          </cell>
        </row>
        <row r="5974">
          <cell r="C5974" t="str">
            <v>推广订单扣款</v>
          </cell>
        </row>
        <row r="5974">
          <cell r="H5974" t="str">
            <v>泉秀店</v>
          </cell>
          <cell r="I5974">
            <v>46088</v>
          </cell>
          <cell r="J5974">
            <v>-160.44</v>
          </cell>
        </row>
        <row r="5975">
          <cell r="C5975" t="str">
            <v>推广账户自动充值</v>
          </cell>
        </row>
        <row r="5975">
          <cell r="H5975" t="str">
            <v>泉秀店</v>
          </cell>
          <cell r="I5975">
            <v>46087</v>
          </cell>
          <cell r="J5975">
            <v>200</v>
          </cell>
        </row>
        <row r="5976">
          <cell r="C5976" t="str">
            <v>推广订单扣款</v>
          </cell>
        </row>
        <row r="5976">
          <cell r="H5976" t="str">
            <v>泉秀店</v>
          </cell>
          <cell r="I5976">
            <v>46087</v>
          </cell>
          <cell r="J5976">
            <v>-204.77</v>
          </cell>
        </row>
        <row r="5977">
          <cell r="C5977" t="str">
            <v>推广订单扣款</v>
          </cell>
        </row>
        <row r="5977">
          <cell r="H5977" t="str">
            <v>启点店</v>
          </cell>
          <cell r="I5977">
            <v>46089</v>
          </cell>
          <cell r="J5977">
            <v>-107.99</v>
          </cell>
        </row>
        <row r="5978">
          <cell r="C5978" t="str">
            <v>推广账户自动充值</v>
          </cell>
        </row>
        <row r="5978">
          <cell r="H5978" t="str">
            <v>启点店</v>
          </cell>
          <cell r="I5978">
            <v>46088</v>
          </cell>
          <cell r="J5978">
            <v>200</v>
          </cell>
        </row>
        <row r="5979">
          <cell r="C5979" t="str">
            <v>推广订单扣款</v>
          </cell>
        </row>
        <row r="5979">
          <cell r="H5979" t="str">
            <v>启点店</v>
          </cell>
          <cell r="I5979">
            <v>46088</v>
          </cell>
          <cell r="J5979">
            <v>-70.03</v>
          </cell>
        </row>
        <row r="5980">
          <cell r="C5980" t="str">
            <v>推广订单扣款</v>
          </cell>
        </row>
        <row r="5980">
          <cell r="H5980" t="str">
            <v>启点店</v>
          </cell>
          <cell r="I5980">
            <v>46087</v>
          </cell>
          <cell r="J5980">
            <v>-82.26</v>
          </cell>
        </row>
        <row r="5981">
          <cell r="C5981" t="str">
            <v>推广订单扣款</v>
          </cell>
        </row>
        <row r="5981">
          <cell r="H5981" t="str">
            <v>高新店</v>
          </cell>
          <cell r="I5981">
            <v>46089</v>
          </cell>
          <cell r="J5981">
            <v>-46.21</v>
          </cell>
        </row>
        <row r="5982">
          <cell r="C5982" t="str">
            <v>推广订单扣款</v>
          </cell>
        </row>
        <row r="5982">
          <cell r="H5982" t="str">
            <v>高新店</v>
          </cell>
          <cell r="I5982">
            <v>46088</v>
          </cell>
          <cell r="J5982">
            <v>-60.87</v>
          </cell>
        </row>
        <row r="5983">
          <cell r="C5983" t="str">
            <v>推广订单扣款</v>
          </cell>
        </row>
        <row r="5983">
          <cell r="H5983" t="str">
            <v>高新店</v>
          </cell>
          <cell r="I5983">
            <v>46087</v>
          </cell>
          <cell r="J5983">
            <v>-50.43</v>
          </cell>
        </row>
        <row r="5984">
          <cell r="C5984" t="str">
            <v>推广订单扣款</v>
          </cell>
        </row>
        <row r="5984">
          <cell r="H5984" t="str">
            <v>成华店</v>
          </cell>
          <cell r="I5984">
            <v>46089</v>
          </cell>
          <cell r="J5984">
            <v>-38.33</v>
          </cell>
        </row>
        <row r="5985">
          <cell r="C5985" t="str">
            <v>推广订单扣款</v>
          </cell>
        </row>
        <row r="5985">
          <cell r="H5985" t="str">
            <v>成华店</v>
          </cell>
          <cell r="I5985">
            <v>46088</v>
          </cell>
          <cell r="J5985">
            <v>-20.34</v>
          </cell>
        </row>
        <row r="5986">
          <cell r="C5986" t="str">
            <v>推广订单扣款</v>
          </cell>
        </row>
        <row r="5986">
          <cell r="H5986" t="str">
            <v>成华店</v>
          </cell>
          <cell r="I5986">
            <v>46087</v>
          </cell>
          <cell r="J5986">
            <v>-42.01</v>
          </cell>
        </row>
        <row r="5987">
          <cell r="C5987" t="str">
            <v>推广订单扣款</v>
          </cell>
        </row>
        <row r="5987">
          <cell r="H5987" t="str">
            <v>金牛店</v>
          </cell>
          <cell r="I5987">
            <v>46089</v>
          </cell>
          <cell r="J5987">
            <v>-31.86</v>
          </cell>
        </row>
        <row r="5988">
          <cell r="C5988" t="str">
            <v>推广订单扣款</v>
          </cell>
        </row>
        <row r="5988">
          <cell r="H5988" t="str">
            <v>金牛店</v>
          </cell>
          <cell r="I5988">
            <v>46088</v>
          </cell>
          <cell r="J5988">
            <v>-35.63</v>
          </cell>
        </row>
        <row r="5989">
          <cell r="C5989" t="str">
            <v>推广订单扣款</v>
          </cell>
        </row>
        <row r="5989">
          <cell r="H5989" t="str">
            <v>金牛店</v>
          </cell>
          <cell r="I5989">
            <v>46087</v>
          </cell>
          <cell r="J5989">
            <v>-26.23</v>
          </cell>
        </row>
        <row r="5990">
          <cell r="C5990" t="str">
            <v>推广订单扣款</v>
          </cell>
        </row>
        <row r="5990">
          <cell r="H5990" t="str">
            <v>西山店</v>
          </cell>
          <cell r="I5990">
            <v>46089</v>
          </cell>
          <cell r="J5990">
            <v>-99.07</v>
          </cell>
        </row>
        <row r="5991">
          <cell r="C5991" t="str">
            <v>推广账户自动充值</v>
          </cell>
        </row>
        <row r="5991">
          <cell r="H5991" t="str">
            <v>西山店</v>
          </cell>
          <cell r="I5991">
            <v>46088</v>
          </cell>
          <cell r="J5991">
            <v>200</v>
          </cell>
        </row>
        <row r="5992">
          <cell r="C5992" t="str">
            <v>推广订单扣款</v>
          </cell>
        </row>
        <row r="5992">
          <cell r="H5992" t="str">
            <v>西山店</v>
          </cell>
          <cell r="I5992">
            <v>46088</v>
          </cell>
          <cell r="J5992">
            <v>-79.53</v>
          </cell>
        </row>
        <row r="5993">
          <cell r="C5993" t="str">
            <v>推广订单扣款</v>
          </cell>
        </row>
        <row r="5993">
          <cell r="H5993" t="str">
            <v>西山店</v>
          </cell>
          <cell r="I5993">
            <v>46087</v>
          </cell>
          <cell r="J5993">
            <v>-88.79</v>
          </cell>
        </row>
        <row r="5994">
          <cell r="C5994" t="str">
            <v>推广订单扣款</v>
          </cell>
        </row>
        <row r="5994">
          <cell r="H5994" t="str">
            <v>沙坪坝店</v>
          </cell>
          <cell r="I5994">
            <v>46089</v>
          </cell>
          <cell r="J5994">
            <v>-96.89</v>
          </cell>
        </row>
        <row r="5995">
          <cell r="C5995" t="str">
            <v>推广订单扣款</v>
          </cell>
        </row>
        <row r="5995">
          <cell r="H5995" t="str">
            <v>沙坪坝店</v>
          </cell>
          <cell r="I5995">
            <v>46088</v>
          </cell>
          <cell r="J5995">
            <v>-174.18</v>
          </cell>
        </row>
        <row r="5996">
          <cell r="C5996" t="str">
            <v>推广账户自动充值</v>
          </cell>
        </row>
        <row r="5996">
          <cell r="H5996" t="str">
            <v>沙坪坝店</v>
          </cell>
          <cell r="I5996">
            <v>46087</v>
          </cell>
          <cell r="J5996">
            <v>200</v>
          </cell>
        </row>
        <row r="5997">
          <cell r="C5997" t="str">
            <v>推广订单扣款</v>
          </cell>
        </row>
        <row r="5997">
          <cell r="H5997" t="str">
            <v>沙坪坝店</v>
          </cell>
          <cell r="I5997">
            <v>46087</v>
          </cell>
          <cell r="J5997">
            <v>-153.8</v>
          </cell>
        </row>
        <row r="5998">
          <cell r="C5998" t="str">
            <v>推广订单扣款</v>
          </cell>
        </row>
        <row r="5998">
          <cell r="H5998" t="str">
            <v>凤城二路店</v>
          </cell>
          <cell r="I5998">
            <v>46089</v>
          </cell>
          <cell r="J5998">
            <v>-95.07</v>
          </cell>
        </row>
        <row r="5999">
          <cell r="C5999" t="str">
            <v>推广订单扣款</v>
          </cell>
        </row>
        <row r="5999">
          <cell r="H5999" t="str">
            <v>凤城二路店</v>
          </cell>
          <cell r="I5999">
            <v>46088</v>
          </cell>
          <cell r="J5999">
            <v>-117.88</v>
          </cell>
        </row>
        <row r="6000">
          <cell r="C6000" t="str">
            <v>推广账户自动充值</v>
          </cell>
        </row>
        <row r="6000">
          <cell r="H6000" t="str">
            <v>凤城二路店</v>
          </cell>
          <cell r="I6000">
            <v>46087</v>
          </cell>
          <cell r="J6000">
            <v>200</v>
          </cell>
        </row>
        <row r="6001">
          <cell r="C6001" t="str">
            <v>推广订单扣款</v>
          </cell>
        </row>
        <row r="6001">
          <cell r="H6001" t="str">
            <v>凤城二路店</v>
          </cell>
          <cell r="I6001">
            <v>46087</v>
          </cell>
          <cell r="J6001">
            <v>-159.01</v>
          </cell>
        </row>
        <row r="6002">
          <cell r="C6002" t="str">
            <v>推广订单扣款</v>
          </cell>
        </row>
        <row r="6002">
          <cell r="H6002" t="str">
            <v>大坪店</v>
          </cell>
          <cell r="I6002">
            <v>46089</v>
          </cell>
          <cell r="J6002">
            <v>-79.63</v>
          </cell>
        </row>
        <row r="6003">
          <cell r="C6003" t="str">
            <v>推广订单扣款</v>
          </cell>
        </row>
        <row r="6003">
          <cell r="H6003" t="str">
            <v>大坪店</v>
          </cell>
          <cell r="I6003">
            <v>46088</v>
          </cell>
          <cell r="J6003">
            <v>-109.29</v>
          </cell>
        </row>
        <row r="6004">
          <cell r="C6004" t="str">
            <v>推广账户自动充值</v>
          </cell>
        </row>
        <row r="6004">
          <cell r="H6004" t="str">
            <v>大坪店</v>
          </cell>
          <cell r="I6004">
            <v>46087</v>
          </cell>
          <cell r="J6004">
            <v>200</v>
          </cell>
        </row>
        <row r="6005">
          <cell r="C6005" t="str">
            <v>推广订单扣款</v>
          </cell>
        </row>
        <row r="6005">
          <cell r="H6005" t="str">
            <v>大坪店</v>
          </cell>
          <cell r="I6005">
            <v>46087</v>
          </cell>
          <cell r="J6005">
            <v>-154.01</v>
          </cell>
        </row>
        <row r="6006">
          <cell r="C6006" t="str">
            <v>推广订单扣款</v>
          </cell>
        </row>
        <row r="6006">
          <cell r="H6006" t="str">
            <v>五华店</v>
          </cell>
          <cell r="I6006">
            <v>46089</v>
          </cell>
          <cell r="J6006">
            <v>-77.02</v>
          </cell>
        </row>
        <row r="6007">
          <cell r="C6007" t="str">
            <v>推广订单扣款</v>
          </cell>
        </row>
        <row r="6007">
          <cell r="H6007" t="str">
            <v>五华店</v>
          </cell>
          <cell r="I6007">
            <v>46088</v>
          </cell>
          <cell r="J6007">
            <v>-124.88</v>
          </cell>
        </row>
        <row r="6008">
          <cell r="C6008" t="str">
            <v>推广账户自动充值</v>
          </cell>
        </row>
        <row r="6008">
          <cell r="H6008" t="str">
            <v>五华店</v>
          </cell>
          <cell r="I6008">
            <v>46087</v>
          </cell>
          <cell r="J6008">
            <v>200</v>
          </cell>
        </row>
        <row r="6009">
          <cell r="C6009" t="str">
            <v>推广订单扣款</v>
          </cell>
        </row>
        <row r="6009">
          <cell r="H6009" t="str">
            <v>五华店</v>
          </cell>
          <cell r="I6009">
            <v>46087</v>
          </cell>
          <cell r="J6009">
            <v>-111.59</v>
          </cell>
        </row>
        <row r="6010">
          <cell r="C6010" t="str">
            <v>推广订单扣款</v>
          </cell>
        </row>
        <row r="6010">
          <cell r="H6010" t="str">
            <v>官渡店</v>
          </cell>
          <cell r="I6010">
            <v>46089</v>
          </cell>
          <cell r="J6010">
            <v>-115.71</v>
          </cell>
        </row>
        <row r="6011">
          <cell r="C6011" t="str">
            <v>推广账户自动充值</v>
          </cell>
        </row>
        <row r="6011">
          <cell r="H6011" t="str">
            <v>官渡店</v>
          </cell>
          <cell r="I6011">
            <v>46088</v>
          </cell>
          <cell r="J6011">
            <v>200</v>
          </cell>
        </row>
        <row r="6012">
          <cell r="C6012" t="str">
            <v>推广订单扣款</v>
          </cell>
        </row>
        <row r="6012">
          <cell r="H6012" t="str">
            <v>官渡店</v>
          </cell>
          <cell r="I6012">
            <v>46088</v>
          </cell>
          <cell r="J6012">
            <v>-135.54</v>
          </cell>
        </row>
        <row r="6013">
          <cell r="C6013" t="str">
            <v>推广订单扣款</v>
          </cell>
        </row>
        <row r="6013">
          <cell r="H6013" t="str">
            <v>官渡店</v>
          </cell>
          <cell r="I6013">
            <v>46087</v>
          </cell>
          <cell r="J6013">
            <v>-155.04</v>
          </cell>
        </row>
        <row r="6014">
          <cell r="C6014" t="str">
            <v>推广订单扣款</v>
          </cell>
        </row>
        <row r="6014">
          <cell r="H6014" t="str">
            <v>百捷店</v>
          </cell>
          <cell r="I6014">
            <v>46089</v>
          </cell>
          <cell r="J6014">
            <v>-57.65</v>
          </cell>
        </row>
        <row r="6015">
          <cell r="C6015" t="str">
            <v>推广订单扣款</v>
          </cell>
        </row>
        <row r="6015">
          <cell r="H6015" t="str">
            <v>百捷店</v>
          </cell>
          <cell r="I6015">
            <v>46088</v>
          </cell>
          <cell r="J6015">
            <v>-87.96</v>
          </cell>
        </row>
        <row r="6016">
          <cell r="C6016" t="str">
            <v>推广订单扣款</v>
          </cell>
        </row>
        <row r="6016">
          <cell r="H6016" t="str">
            <v>百捷店</v>
          </cell>
          <cell r="I6016">
            <v>46087</v>
          </cell>
          <cell r="J6016">
            <v>-137.46</v>
          </cell>
        </row>
        <row r="6017">
          <cell r="C6017" t="str">
            <v>推广订单扣款</v>
          </cell>
        </row>
        <row r="6017">
          <cell r="H6017" t="str">
            <v>济南店</v>
          </cell>
          <cell r="I6017">
            <v>46089</v>
          </cell>
          <cell r="J6017">
            <v>-125.07</v>
          </cell>
        </row>
        <row r="6018">
          <cell r="C6018" t="str">
            <v>推广账户自动充值</v>
          </cell>
        </row>
        <row r="6018">
          <cell r="H6018" t="str">
            <v>济南店</v>
          </cell>
          <cell r="I6018">
            <v>46088</v>
          </cell>
          <cell r="J6018">
            <v>200</v>
          </cell>
        </row>
        <row r="6019">
          <cell r="C6019" t="str">
            <v>推广订单扣款</v>
          </cell>
        </row>
        <row r="6019">
          <cell r="H6019" t="str">
            <v>济南店</v>
          </cell>
          <cell r="I6019">
            <v>46088</v>
          </cell>
          <cell r="J6019">
            <v>-128.9</v>
          </cell>
        </row>
        <row r="6020">
          <cell r="C6020" t="str">
            <v>推广订单扣款</v>
          </cell>
        </row>
        <row r="6020">
          <cell r="H6020" t="str">
            <v>济南店</v>
          </cell>
          <cell r="I6020">
            <v>46087</v>
          </cell>
          <cell r="J6020">
            <v>-141.54</v>
          </cell>
        </row>
        <row r="6021">
          <cell r="C6021" t="str">
            <v>推广订单扣款</v>
          </cell>
        </row>
        <row r="6021">
          <cell r="H6021" t="str">
            <v>观音桥店</v>
          </cell>
          <cell r="I6021">
            <v>46089</v>
          </cell>
          <cell r="J6021">
            <v>-85.57</v>
          </cell>
        </row>
        <row r="6022">
          <cell r="C6022" t="str">
            <v>推广订单扣款</v>
          </cell>
        </row>
        <row r="6022">
          <cell r="H6022" t="str">
            <v>观音桥店</v>
          </cell>
          <cell r="I6022">
            <v>46088</v>
          </cell>
          <cell r="J6022">
            <v>-71.51</v>
          </cell>
        </row>
        <row r="6023">
          <cell r="C6023" t="str">
            <v>推广账户自动充值</v>
          </cell>
        </row>
        <row r="6023">
          <cell r="H6023" t="str">
            <v>观音桥店</v>
          </cell>
          <cell r="I6023">
            <v>46087</v>
          </cell>
          <cell r="J6023">
            <v>200</v>
          </cell>
        </row>
        <row r="6024">
          <cell r="C6024" t="str">
            <v>推广订单扣款</v>
          </cell>
        </row>
        <row r="6024">
          <cell r="H6024" t="str">
            <v>观音桥店</v>
          </cell>
          <cell r="I6024">
            <v>46087</v>
          </cell>
          <cell r="J6024">
            <v>-87.38</v>
          </cell>
        </row>
        <row r="6025">
          <cell r="C6025" t="str">
            <v>推广账户自动充值</v>
          </cell>
        </row>
        <row r="6025">
          <cell r="H6025" t="str">
            <v>长沙店</v>
          </cell>
          <cell r="I6025">
            <v>46089</v>
          </cell>
          <cell r="J6025">
            <v>200</v>
          </cell>
        </row>
        <row r="6026">
          <cell r="C6026" t="str">
            <v>推广订单扣款</v>
          </cell>
        </row>
        <row r="6026">
          <cell r="H6026" t="str">
            <v>长沙店</v>
          </cell>
          <cell r="I6026">
            <v>46089</v>
          </cell>
          <cell r="J6026">
            <v>-59.96</v>
          </cell>
        </row>
        <row r="6027">
          <cell r="C6027" t="str">
            <v>推广订单扣款</v>
          </cell>
        </row>
        <row r="6027">
          <cell r="H6027" t="str">
            <v>长沙店</v>
          </cell>
          <cell r="I6027">
            <v>46088</v>
          </cell>
          <cell r="J6027">
            <v>-52.54</v>
          </cell>
        </row>
        <row r="6028">
          <cell r="C6028" t="str">
            <v>推广订单扣款</v>
          </cell>
        </row>
        <row r="6028">
          <cell r="H6028" t="str">
            <v>长沙店</v>
          </cell>
          <cell r="I6028">
            <v>46087</v>
          </cell>
          <cell r="J6028">
            <v>-38.3</v>
          </cell>
        </row>
        <row r="6029">
          <cell r="C6029" t="str">
            <v>推广订单扣款</v>
          </cell>
        </row>
        <row r="6029">
          <cell r="H6029" t="str">
            <v>洛江店</v>
          </cell>
          <cell r="I6029">
            <v>46088</v>
          </cell>
          <cell r="J6029">
            <v>-58.78</v>
          </cell>
        </row>
        <row r="6030">
          <cell r="C6030" t="str">
            <v>推广账户自动充值</v>
          </cell>
        </row>
        <row r="6030">
          <cell r="H6030" t="str">
            <v>洛江店</v>
          </cell>
          <cell r="I6030">
            <v>46087</v>
          </cell>
          <cell r="J6030">
            <v>200</v>
          </cell>
        </row>
        <row r="6031">
          <cell r="C6031" t="str">
            <v>推广订单扣款</v>
          </cell>
        </row>
        <row r="6031">
          <cell r="H6031" t="str">
            <v>洛江店</v>
          </cell>
          <cell r="I6031">
            <v>46087</v>
          </cell>
          <cell r="J6031">
            <v>-124.78</v>
          </cell>
        </row>
        <row r="6032">
          <cell r="C6032" t="str">
            <v>推广订单扣款</v>
          </cell>
        </row>
        <row r="6032">
          <cell r="H6032" t="str">
            <v>五路口店</v>
          </cell>
          <cell r="I6032">
            <v>46089</v>
          </cell>
          <cell r="J6032">
            <v>-114.46</v>
          </cell>
        </row>
        <row r="6033">
          <cell r="C6033" t="str">
            <v>推广订单扣款</v>
          </cell>
        </row>
        <row r="6033">
          <cell r="H6033" t="str">
            <v>五路口店</v>
          </cell>
          <cell r="I6033">
            <v>46088</v>
          </cell>
          <cell r="J6033">
            <v>-90.37</v>
          </cell>
        </row>
        <row r="6034">
          <cell r="C6034" t="str">
            <v>推广账户自动充值</v>
          </cell>
        </row>
        <row r="6034">
          <cell r="H6034" t="str">
            <v>五路口店</v>
          </cell>
          <cell r="I6034">
            <v>46087</v>
          </cell>
          <cell r="J6034">
            <v>200</v>
          </cell>
        </row>
        <row r="6035">
          <cell r="C6035" t="str">
            <v>推广订单扣款</v>
          </cell>
        </row>
        <row r="6035">
          <cell r="H6035" t="str">
            <v>五路口店</v>
          </cell>
          <cell r="I6035">
            <v>46087</v>
          </cell>
          <cell r="J6035">
            <v>-129</v>
          </cell>
        </row>
        <row r="6036">
          <cell r="C6036" t="str">
            <v>推广订单扣款</v>
          </cell>
        </row>
        <row r="6036">
          <cell r="H6036" t="str">
            <v>青羊店</v>
          </cell>
          <cell r="I6036">
            <v>46089</v>
          </cell>
          <cell r="J6036">
            <v>-41.99</v>
          </cell>
        </row>
        <row r="6037">
          <cell r="C6037" t="str">
            <v>推广账户自动充值</v>
          </cell>
        </row>
        <row r="6037">
          <cell r="H6037" t="str">
            <v>青羊店</v>
          </cell>
          <cell r="I6037">
            <v>46088</v>
          </cell>
          <cell r="J6037">
            <v>200</v>
          </cell>
        </row>
        <row r="6038">
          <cell r="C6038" t="str">
            <v>推广订单扣款</v>
          </cell>
        </row>
        <row r="6038">
          <cell r="H6038" t="str">
            <v>青羊店</v>
          </cell>
          <cell r="I6038">
            <v>46088</v>
          </cell>
          <cell r="J6038">
            <v>-20.46</v>
          </cell>
        </row>
        <row r="6039">
          <cell r="C6039" t="str">
            <v>推广订单扣款</v>
          </cell>
        </row>
        <row r="6039">
          <cell r="H6039" t="str">
            <v>青羊店</v>
          </cell>
          <cell r="I6039">
            <v>46087</v>
          </cell>
          <cell r="J6039">
            <v>-33.22</v>
          </cell>
        </row>
        <row r="6040">
          <cell r="C6040" t="str">
            <v>推广订单扣款</v>
          </cell>
        </row>
        <row r="6040">
          <cell r="H6040" t="str">
            <v>武侯店</v>
          </cell>
          <cell r="I6040">
            <v>46089</v>
          </cell>
          <cell r="J6040">
            <v>-31.52</v>
          </cell>
        </row>
        <row r="6041">
          <cell r="C6041" t="str">
            <v>推广订单扣款</v>
          </cell>
        </row>
        <row r="6041">
          <cell r="H6041" t="str">
            <v>武侯店</v>
          </cell>
          <cell r="I6041">
            <v>46088</v>
          </cell>
          <cell r="J6041">
            <v>-41.74</v>
          </cell>
        </row>
        <row r="6042">
          <cell r="C6042" t="str">
            <v>推广账户自动充值</v>
          </cell>
        </row>
        <row r="6042">
          <cell r="H6042" t="str">
            <v>武侯店</v>
          </cell>
          <cell r="I6042">
            <v>46087</v>
          </cell>
          <cell r="J6042">
            <v>200</v>
          </cell>
        </row>
        <row r="6043">
          <cell r="C6043" t="str">
            <v>推广订单扣款</v>
          </cell>
        </row>
        <row r="6043">
          <cell r="H6043" t="str">
            <v>武侯店</v>
          </cell>
          <cell r="I6043">
            <v>46087</v>
          </cell>
          <cell r="J6043">
            <v>-30.95</v>
          </cell>
        </row>
        <row r="6044">
          <cell r="C6044" t="str">
            <v>推广订单扣款</v>
          </cell>
        </row>
        <row r="6044">
          <cell r="H6044" t="str">
            <v>鼓楼店</v>
          </cell>
          <cell r="I6044">
            <v>46089</v>
          </cell>
          <cell r="J6044">
            <v>-127.04</v>
          </cell>
        </row>
        <row r="6045">
          <cell r="C6045" t="str">
            <v>推广订单扣款</v>
          </cell>
        </row>
        <row r="6045">
          <cell r="H6045" t="str">
            <v>鼓楼店</v>
          </cell>
          <cell r="I6045">
            <v>46088</v>
          </cell>
          <cell r="J6045">
            <v>-135.93</v>
          </cell>
        </row>
        <row r="6046">
          <cell r="C6046" t="str">
            <v>推广账户自动充值</v>
          </cell>
        </row>
        <row r="6046">
          <cell r="H6046" t="str">
            <v>鼓楼店</v>
          </cell>
          <cell r="I6046">
            <v>46087</v>
          </cell>
          <cell r="J6046">
            <v>200</v>
          </cell>
        </row>
        <row r="6047">
          <cell r="C6047" t="str">
            <v>推广订单扣款</v>
          </cell>
        </row>
        <row r="6047">
          <cell r="H6047" t="str">
            <v>鼓楼店</v>
          </cell>
          <cell r="I6047">
            <v>46087</v>
          </cell>
          <cell r="J6047">
            <v>-114.89</v>
          </cell>
        </row>
        <row r="6048">
          <cell r="C6048" t="str">
            <v>推广订单扣款</v>
          </cell>
        </row>
        <row r="6048">
          <cell r="H6048" t="str">
            <v>黄雁村店</v>
          </cell>
          <cell r="I6048">
            <v>46089</v>
          </cell>
          <cell r="J6048">
            <v>-135.98</v>
          </cell>
        </row>
        <row r="6049">
          <cell r="C6049" t="str">
            <v>推广账户自动充值</v>
          </cell>
        </row>
        <row r="6049">
          <cell r="H6049" t="str">
            <v>黄雁村店</v>
          </cell>
          <cell r="I6049">
            <v>46088</v>
          </cell>
          <cell r="J6049">
            <v>200</v>
          </cell>
        </row>
        <row r="6050">
          <cell r="C6050" t="str">
            <v>推广订单扣款</v>
          </cell>
        </row>
        <row r="6050">
          <cell r="H6050" t="str">
            <v>黄雁村店</v>
          </cell>
          <cell r="I6050">
            <v>46088</v>
          </cell>
          <cell r="J6050">
            <v>-123.43</v>
          </cell>
        </row>
        <row r="6051">
          <cell r="C6051" t="str">
            <v>推广订单扣款</v>
          </cell>
        </row>
        <row r="6051">
          <cell r="H6051" t="str">
            <v>黄雁村店</v>
          </cell>
          <cell r="I6051">
            <v>46087</v>
          </cell>
          <cell r="J6051">
            <v>-140.2</v>
          </cell>
        </row>
        <row r="6052">
          <cell r="C6052" t="str">
            <v>推广订单扣款</v>
          </cell>
        </row>
        <row r="6052">
          <cell r="H6052" t="str">
            <v>西湖店</v>
          </cell>
          <cell r="I6052">
            <v>46089</v>
          </cell>
          <cell r="J6052">
            <v>-97.5</v>
          </cell>
        </row>
        <row r="6053">
          <cell r="C6053" t="str">
            <v>推广账户自动充值</v>
          </cell>
        </row>
        <row r="6053">
          <cell r="H6053" t="str">
            <v>西湖店</v>
          </cell>
          <cell r="I6053">
            <v>46088</v>
          </cell>
          <cell r="J6053">
            <v>200</v>
          </cell>
        </row>
        <row r="6054">
          <cell r="C6054" t="str">
            <v>推广订单扣款</v>
          </cell>
        </row>
        <row r="6054">
          <cell r="H6054" t="str">
            <v>西湖店</v>
          </cell>
          <cell r="I6054">
            <v>46088</v>
          </cell>
          <cell r="J6054">
            <v>-80.55</v>
          </cell>
        </row>
        <row r="6055">
          <cell r="C6055" t="str">
            <v>推广账户自动充值</v>
          </cell>
        </row>
        <row r="6055">
          <cell r="H6055" t="str">
            <v>西湖店</v>
          </cell>
          <cell r="I6055">
            <v>46087</v>
          </cell>
          <cell r="J6055">
            <v>50</v>
          </cell>
        </row>
        <row r="6056">
          <cell r="C6056" t="str">
            <v>推广订单扣款</v>
          </cell>
        </row>
        <row r="6056">
          <cell r="H6056" t="str">
            <v>西湖店</v>
          </cell>
          <cell r="I6056">
            <v>46087</v>
          </cell>
          <cell r="J6056">
            <v>-100.46</v>
          </cell>
        </row>
        <row r="6057">
          <cell r="C6057" t="str">
            <v>推广订单扣款</v>
          </cell>
        </row>
        <row r="6057">
          <cell r="H6057" t="str">
            <v>百丈店</v>
          </cell>
          <cell r="I6057">
            <v>46089</v>
          </cell>
          <cell r="J6057">
            <v>-160.86</v>
          </cell>
        </row>
        <row r="6058">
          <cell r="C6058" t="str">
            <v>推广订单扣款</v>
          </cell>
        </row>
        <row r="6058">
          <cell r="H6058" t="str">
            <v>百丈店</v>
          </cell>
          <cell r="I6058">
            <v>46088</v>
          </cell>
          <cell r="J6058">
            <v>-161.27</v>
          </cell>
        </row>
        <row r="6059">
          <cell r="C6059" t="str">
            <v>推广账户自动充值</v>
          </cell>
        </row>
        <row r="6059">
          <cell r="H6059" t="str">
            <v>百丈店</v>
          </cell>
          <cell r="I6059">
            <v>46088</v>
          </cell>
          <cell r="J6059">
            <v>200</v>
          </cell>
        </row>
        <row r="6060">
          <cell r="C6060" t="str">
            <v>推广订单扣款</v>
          </cell>
        </row>
        <row r="6060">
          <cell r="H6060" t="str">
            <v>百丈店</v>
          </cell>
          <cell r="I6060">
            <v>46087</v>
          </cell>
          <cell r="J6060">
            <v>-151.27</v>
          </cell>
        </row>
        <row r="6061">
          <cell r="C6061" t="str">
            <v>推广订单扣款</v>
          </cell>
        </row>
        <row r="6061">
          <cell r="H6061" t="str">
            <v>文昌店</v>
          </cell>
          <cell r="I6061">
            <v>46089</v>
          </cell>
          <cell r="J6061">
            <v>-150.86</v>
          </cell>
        </row>
        <row r="6062">
          <cell r="C6062" t="str">
            <v>推广账户自动充值</v>
          </cell>
        </row>
        <row r="6062">
          <cell r="H6062" t="str">
            <v>文昌店</v>
          </cell>
          <cell r="I6062">
            <v>46089</v>
          </cell>
          <cell r="J6062">
            <v>200</v>
          </cell>
        </row>
        <row r="6063">
          <cell r="C6063" t="str">
            <v>推广订单扣款</v>
          </cell>
        </row>
        <row r="6063">
          <cell r="H6063" t="str">
            <v>文昌店</v>
          </cell>
          <cell r="I6063">
            <v>46088</v>
          </cell>
          <cell r="J6063">
            <v>-175.51</v>
          </cell>
        </row>
        <row r="6064">
          <cell r="C6064" t="str">
            <v>推广账户自动充值</v>
          </cell>
        </row>
        <row r="6064">
          <cell r="H6064" t="str">
            <v>文昌店</v>
          </cell>
          <cell r="I6064">
            <v>46087</v>
          </cell>
          <cell r="J6064">
            <v>200</v>
          </cell>
        </row>
        <row r="6065">
          <cell r="C6065" t="str">
            <v>推广订单扣款</v>
          </cell>
        </row>
        <row r="6065">
          <cell r="H6065" t="str">
            <v>文昌店</v>
          </cell>
          <cell r="I6065">
            <v>46087</v>
          </cell>
          <cell r="J6065">
            <v>-113.03</v>
          </cell>
        </row>
        <row r="6066">
          <cell r="C6066" t="str">
            <v>推广订单扣款</v>
          </cell>
        </row>
        <row r="6066">
          <cell r="H6066" t="str">
            <v>观桥店</v>
          </cell>
          <cell r="I6066">
            <v>46089</v>
          </cell>
          <cell r="J6066">
            <v>-77.08</v>
          </cell>
        </row>
        <row r="6067">
          <cell r="C6067" t="str">
            <v>推广订单扣款</v>
          </cell>
        </row>
        <row r="6067">
          <cell r="H6067" t="str">
            <v>观桥店</v>
          </cell>
          <cell r="I6067">
            <v>46088</v>
          </cell>
          <cell r="J6067">
            <v>-167.3</v>
          </cell>
        </row>
        <row r="6068">
          <cell r="C6068" t="str">
            <v>推广账户自动充值</v>
          </cell>
        </row>
        <row r="6068">
          <cell r="H6068" t="str">
            <v>观桥店</v>
          </cell>
          <cell r="I6068">
            <v>46088</v>
          </cell>
          <cell r="J6068">
            <v>200</v>
          </cell>
        </row>
        <row r="6069">
          <cell r="C6069" t="str">
            <v>推广订单扣款</v>
          </cell>
        </row>
        <row r="6069">
          <cell r="H6069" t="str">
            <v>观桥店</v>
          </cell>
          <cell r="I6069">
            <v>46087</v>
          </cell>
          <cell r="J6069">
            <v>-129.33</v>
          </cell>
        </row>
        <row r="6070">
          <cell r="C6070" t="str">
            <v>推广订单扣款</v>
          </cell>
        </row>
        <row r="6070">
          <cell r="H6070" t="str">
            <v>海口店</v>
          </cell>
          <cell r="I6070">
            <v>46089</v>
          </cell>
          <cell r="J6070">
            <v>-291.29</v>
          </cell>
        </row>
        <row r="6071">
          <cell r="C6071" t="str">
            <v>推广订单扣款</v>
          </cell>
        </row>
        <row r="6071">
          <cell r="H6071" t="str">
            <v>海口店</v>
          </cell>
          <cell r="I6071">
            <v>46088</v>
          </cell>
          <cell r="J6071">
            <v>-300</v>
          </cell>
        </row>
        <row r="6072">
          <cell r="C6072" t="str">
            <v>推广订单扣款</v>
          </cell>
        </row>
        <row r="6072">
          <cell r="H6072" t="str">
            <v>海口店</v>
          </cell>
          <cell r="I6072">
            <v>46087</v>
          </cell>
          <cell r="J6072">
            <v>-300</v>
          </cell>
        </row>
        <row r="6073">
          <cell r="C6073" t="str">
            <v>推广订单扣款</v>
          </cell>
        </row>
        <row r="6073">
          <cell r="H6073" t="str">
            <v>南安店</v>
          </cell>
          <cell r="I6073">
            <v>46089</v>
          </cell>
          <cell r="J6073">
            <v>-33.91</v>
          </cell>
        </row>
        <row r="6074">
          <cell r="C6074" t="str">
            <v>推广订单扣款</v>
          </cell>
        </row>
        <row r="6074">
          <cell r="H6074" t="str">
            <v>南安店</v>
          </cell>
          <cell r="I6074">
            <v>46088</v>
          </cell>
          <cell r="J6074">
            <v>-20.83</v>
          </cell>
        </row>
        <row r="6075">
          <cell r="C6075" t="str">
            <v>推广账户充值</v>
          </cell>
        </row>
        <row r="6075">
          <cell r="H6075" t="str">
            <v>南安店</v>
          </cell>
          <cell r="I6075">
            <v>46087</v>
          </cell>
          <cell r="J6075">
            <v>100</v>
          </cell>
        </row>
        <row r="6076">
          <cell r="C6076" t="str">
            <v>推广订单扣款</v>
          </cell>
        </row>
        <row r="6076">
          <cell r="H6076" t="str">
            <v>诚毅店</v>
          </cell>
          <cell r="I6076">
            <v>46089</v>
          </cell>
          <cell r="J6076">
            <v>-92.38</v>
          </cell>
        </row>
        <row r="6077">
          <cell r="C6077" t="str">
            <v>推广账户自动充值</v>
          </cell>
        </row>
        <row r="6077">
          <cell r="H6077" t="str">
            <v>诚毅店</v>
          </cell>
          <cell r="I6077">
            <v>46088</v>
          </cell>
          <cell r="J6077">
            <v>200</v>
          </cell>
        </row>
        <row r="6078">
          <cell r="C6078" t="str">
            <v>推广订单扣款</v>
          </cell>
        </row>
        <row r="6078">
          <cell r="H6078" t="str">
            <v>诚毅店</v>
          </cell>
          <cell r="I6078">
            <v>46088</v>
          </cell>
          <cell r="J6078">
            <v>-131.63</v>
          </cell>
        </row>
        <row r="6079">
          <cell r="C6079" t="str">
            <v>推广账户自动充值</v>
          </cell>
        </row>
        <row r="6079">
          <cell r="H6079" t="str">
            <v>诚毅店</v>
          </cell>
          <cell r="I6079">
            <v>46087</v>
          </cell>
          <cell r="J6079">
            <v>200</v>
          </cell>
        </row>
        <row r="6080">
          <cell r="C6080" t="str">
            <v>推广订单扣款</v>
          </cell>
        </row>
        <row r="6080">
          <cell r="H6080" t="str">
            <v>诚毅店</v>
          </cell>
          <cell r="I6080">
            <v>46087</v>
          </cell>
          <cell r="J6080">
            <v>-167.02</v>
          </cell>
        </row>
        <row r="6081">
          <cell r="C6081" t="str">
            <v>推广订单扣款</v>
          </cell>
        </row>
        <row r="6081">
          <cell r="H6081" t="str">
            <v>首山店</v>
          </cell>
          <cell r="I6081">
            <v>46089</v>
          </cell>
          <cell r="J6081">
            <v>-72.29</v>
          </cell>
        </row>
        <row r="6082">
          <cell r="C6082" t="str">
            <v>推广订单扣款</v>
          </cell>
        </row>
        <row r="6082">
          <cell r="H6082" t="str">
            <v>首山店</v>
          </cell>
          <cell r="I6082">
            <v>46088</v>
          </cell>
          <cell r="J6082">
            <v>-68.14</v>
          </cell>
        </row>
        <row r="6083">
          <cell r="C6083" t="str">
            <v>推广账户自动充值</v>
          </cell>
        </row>
        <row r="6083">
          <cell r="H6083" t="str">
            <v>首山店</v>
          </cell>
          <cell r="I6083">
            <v>46087</v>
          </cell>
          <cell r="J6083">
            <v>200</v>
          </cell>
        </row>
        <row r="6084">
          <cell r="C6084" t="str">
            <v>推广订单扣款</v>
          </cell>
        </row>
        <row r="6084">
          <cell r="H6084" t="str">
            <v>首山店</v>
          </cell>
          <cell r="I6084">
            <v>46087</v>
          </cell>
          <cell r="J6084">
            <v>-78.84</v>
          </cell>
        </row>
        <row r="6085">
          <cell r="C6085" t="str">
            <v>推广订单扣款</v>
          </cell>
        </row>
        <row r="6085">
          <cell r="H6085" t="str">
            <v>首南店</v>
          </cell>
          <cell r="I6085">
            <v>46089</v>
          </cell>
          <cell r="J6085">
            <v>-149.48</v>
          </cell>
        </row>
        <row r="6086">
          <cell r="C6086" t="str">
            <v>推广账户自动充值</v>
          </cell>
        </row>
        <row r="6086">
          <cell r="H6086" t="str">
            <v>首南店</v>
          </cell>
          <cell r="I6086">
            <v>46088</v>
          </cell>
          <cell r="J6086">
            <v>200</v>
          </cell>
        </row>
        <row r="6087">
          <cell r="C6087" t="str">
            <v>推广订单扣款</v>
          </cell>
        </row>
        <row r="6087">
          <cell r="H6087" t="str">
            <v>首南店</v>
          </cell>
          <cell r="I6087">
            <v>46088</v>
          </cell>
          <cell r="J6087">
            <v>-151.68</v>
          </cell>
        </row>
        <row r="6088">
          <cell r="C6088" t="str">
            <v>推广订单扣款</v>
          </cell>
        </row>
        <row r="6088">
          <cell r="H6088" t="str">
            <v>首南店</v>
          </cell>
          <cell r="I6088">
            <v>46087</v>
          </cell>
          <cell r="J6088">
            <v>-105.07</v>
          </cell>
        </row>
        <row r="6089">
          <cell r="C6089" t="str">
            <v>推广订单扣款</v>
          </cell>
        </row>
        <row r="6089">
          <cell r="H6089" t="str">
            <v>余杭店</v>
          </cell>
          <cell r="I6089">
            <v>46089</v>
          </cell>
          <cell r="J6089">
            <v>-143.26</v>
          </cell>
        </row>
        <row r="6090">
          <cell r="C6090" t="str">
            <v>推广账户自动充值</v>
          </cell>
        </row>
        <row r="6090">
          <cell r="H6090" t="str">
            <v>余杭店</v>
          </cell>
          <cell r="I6090">
            <v>46088</v>
          </cell>
          <cell r="J6090">
            <v>200</v>
          </cell>
        </row>
        <row r="6091">
          <cell r="C6091" t="str">
            <v>推广订单扣款</v>
          </cell>
        </row>
        <row r="6091">
          <cell r="H6091" t="str">
            <v>余杭店</v>
          </cell>
          <cell r="I6091">
            <v>46088</v>
          </cell>
          <cell r="J6091">
            <v>-165.1</v>
          </cell>
        </row>
        <row r="6092">
          <cell r="C6092" t="str">
            <v>推广订单扣款</v>
          </cell>
        </row>
        <row r="6092">
          <cell r="H6092" t="str">
            <v>余杭店</v>
          </cell>
          <cell r="I6092">
            <v>46087</v>
          </cell>
          <cell r="J6092">
            <v>-130.77</v>
          </cell>
        </row>
        <row r="6093">
          <cell r="C6093" t="str">
            <v>推广订单扣款</v>
          </cell>
        </row>
        <row r="6093">
          <cell r="H6093" t="str">
            <v>东海店</v>
          </cell>
          <cell r="I6093">
            <v>46089</v>
          </cell>
          <cell r="J6093">
            <v>-39.83</v>
          </cell>
        </row>
        <row r="6094">
          <cell r="C6094" t="str">
            <v>推广订单扣款</v>
          </cell>
        </row>
        <row r="6094">
          <cell r="H6094" t="str">
            <v>东海店</v>
          </cell>
          <cell r="I6094">
            <v>46088</v>
          </cell>
          <cell r="J6094">
            <v>-33.7</v>
          </cell>
        </row>
        <row r="6095">
          <cell r="C6095" t="str">
            <v>推广账户自动充值</v>
          </cell>
        </row>
        <row r="6095">
          <cell r="H6095" t="str">
            <v>东海店</v>
          </cell>
          <cell r="I6095">
            <v>46087</v>
          </cell>
          <cell r="J6095">
            <v>200</v>
          </cell>
        </row>
        <row r="6096">
          <cell r="C6096" t="str">
            <v>推广订单扣款</v>
          </cell>
        </row>
        <row r="6096">
          <cell r="H6096" t="str">
            <v>东海店</v>
          </cell>
          <cell r="I6096">
            <v>46087</v>
          </cell>
          <cell r="J6096">
            <v>-40.74</v>
          </cell>
        </row>
        <row r="6097">
          <cell r="C6097" t="str">
            <v>推广订单扣款</v>
          </cell>
        </row>
        <row r="6097">
          <cell r="H6097" t="str">
            <v>文灶店</v>
          </cell>
          <cell r="I6097">
            <v>46089</v>
          </cell>
          <cell r="J6097">
            <v>-78.96</v>
          </cell>
        </row>
        <row r="6098">
          <cell r="C6098" t="str">
            <v>推广订单扣款</v>
          </cell>
        </row>
        <row r="6098">
          <cell r="H6098" t="str">
            <v>文灶店</v>
          </cell>
          <cell r="I6098">
            <v>46088</v>
          </cell>
          <cell r="J6098">
            <v>-35.27</v>
          </cell>
        </row>
        <row r="6099">
          <cell r="C6099" t="str">
            <v>推广订单扣款</v>
          </cell>
        </row>
        <row r="6099">
          <cell r="H6099" t="str">
            <v>文灶店</v>
          </cell>
          <cell r="I6099">
            <v>46087</v>
          </cell>
          <cell r="J6099">
            <v>-66.47</v>
          </cell>
        </row>
        <row r="6100">
          <cell r="C6100" t="str">
            <v>推广订单扣款</v>
          </cell>
        </row>
        <row r="6100">
          <cell r="H6100" t="str">
            <v>滨江店</v>
          </cell>
          <cell r="I6100">
            <v>46089</v>
          </cell>
          <cell r="J6100">
            <v>-181.34</v>
          </cell>
        </row>
        <row r="6101">
          <cell r="C6101" t="str">
            <v>推广账户自动充值</v>
          </cell>
        </row>
        <row r="6101">
          <cell r="H6101" t="str">
            <v>滨江店</v>
          </cell>
          <cell r="I6101">
            <v>46088</v>
          </cell>
          <cell r="J6101">
            <v>200</v>
          </cell>
        </row>
        <row r="6102">
          <cell r="C6102" t="str">
            <v>推广订单扣款</v>
          </cell>
        </row>
        <row r="6102">
          <cell r="H6102" t="str">
            <v>滨江店</v>
          </cell>
          <cell r="I6102">
            <v>46088</v>
          </cell>
          <cell r="J6102">
            <v>-153.89</v>
          </cell>
        </row>
        <row r="6103">
          <cell r="C6103" t="str">
            <v>推广订单扣款</v>
          </cell>
        </row>
        <row r="6103">
          <cell r="H6103" t="str">
            <v>滨江店</v>
          </cell>
          <cell r="I6103">
            <v>46087</v>
          </cell>
          <cell r="J6103">
            <v>-151.14</v>
          </cell>
        </row>
        <row r="6104">
          <cell r="C6104" t="str">
            <v>推广订单扣款</v>
          </cell>
        </row>
        <row r="6104">
          <cell r="H6104" t="str">
            <v>下沙店</v>
          </cell>
          <cell r="I6104">
            <v>46089</v>
          </cell>
          <cell r="J6104">
            <v>-282</v>
          </cell>
        </row>
        <row r="6105">
          <cell r="C6105" t="str">
            <v>推广账户自动充值</v>
          </cell>
        </row>
        <row r="6105">
          <cell r="H6105" t="str">
            <v>下沙店</v>
          </cell>
          <cell r="I6105">
            <v>46089</v>
          </cell>
          <cell r="J6105">
            <v>100</v>
          </cell>
        </row>
        <row r="6106">
          <cell r="C6106" t="str">
            <v>推广账户自动充值</v>
          </cell>
        </row>
        <row r="6106">
          <cell r="H6106" t="str">
            <v>下沙店</v>
          </cell>
          <cell r="I6106">
            <v>46088</v>
          </cell>
          <cell r="J6106">
            <v>100</v>
          </cell>
        </row>
        <row r="6107">
          <cell r="C6107" t="str">
            <v>推广账户自动充值</v>
          </cell>
        </row>
        <row r="6107">
          <cell r="H6107" t="str">
            <v>下沙店</v>
          </cell>
          <cell r="I6107">
            <v>46088</v>
          </cell>
          <cell r="J6107">
            <v>100</v>
          </cell>
        </row>
        <row r="6108">
          <cell r="C6108" t="str">
            <v>推广订单扣款</v>
          </cell>
        </row>
        <row r="6108">
          <cell r="H6108" t="str">
            <v>下沙店</v>
          </cell>
          <cell r="I6108">
            <v>46088</v>
          </cell>
          <cell r="J6108">
            <v>-300</v>
          </cell>
        </row>
        <row r="6109">
          <cell r="C6109" t="str">
            <v>推广账户自动充值</v>
          </cell>
        </row>
        <row r="6109">
          <cell r="H6109" t="str">
            <v>下沙店</v>
          </cell>
          <cell r="I6109">
            <v>46087</v>
          </cell>
          <cell r="J6109">
            <v>100</v>
          </cell>
        </row>
        <row r="6110">
          <cell r="C6110" t="str">
            <v>推广账户自动充值</v>
          </cell>
        </row>
        <row r="6110">
          <cell r="H6110" t="str">
            <v>下沙店</v>
          </cell>
          <cell r="I6110">
            <v>46087</v>
          </cell>
          <cell r="J6110">
            <v>100</v>
          </cell>
        </row>
        <row r="6111">
          <cell r="C6111" t="str">
            <v>推广账户自动充值</v>
          </cell>
        </row>
        <row r="6111">
          <cell r="H6111" t="str">
            <v>下沙店</v>
          </cell>
          <cell r="I6111">
            <v>46087</v>
          </cell>
          <cell r="J6111">
            <v>100</v>
          </cell>
        </row>
        <row r="6112">
          <cell r="C6112" t="str">
            <v>推广订单扣款</v>
          </cell>
        </row>
        <row r="6112">
          <cell r="H6112" t="str">
            <v>下沙店</v>
          </cell>
          <cell r="I6112">
            <v>46087</v>
          </cell>
          <cell r="J6112">
            <v>-300</v>
          </cell>
        </row>
        <row r="6113">
          <cell r="C6113" t="str">
            <v>推广订单扣款</v>
          </cell>
        </row>
        <row r="6113">
          <cell r="H6113" t="str">
            <v>华信店</v>
          </cell>
          <cell r="I6113">
            <v>46089</v>
          </cell>
          <cell r="J6113">
            <v>-160</v>
          </cell>
        </row>
        <row r="6114">
          <cell r="C6114" t="str">
            <v>推广账户自动充值</v>
          </cell>
        </row>
        <row r="6114">
          <cell r="H6114" t="str">
            <v>华信店</v>
          </cell>
          <cell r="I6114">
            <v>46088</v>
          </cell>
          <cell r="J6114">
            <v>200</v>
          </cell>
        </row>
        <row r="6115">
          <cell r="C6115" t="str">
            <v>推广订单扣款</v>
          </cell>
        </row>
        <row r="6115">
          <cell r="H6115" t="str">
            <v>华信店</v>
          </cell>
          <cell r="I6115">
            <v>46088</v>
          </cell>
          <cell r="J6115">
            <v>-160</v>
          </cell>
        </row>
        <row r="6116">
          <cell r="C6116" t="str">
            <v>推广账户自动充值</v>
          </cell>
        </row>
        <row r="6116">
          <cell r="H6116" t="str">
            <v>华信店</v>
          </cell>
          <cell r="I6116">
            <v>46087</v>
          </cell>
          <cell r="J6116">
            <v>200</v>
          </cell>
        </row>
        <row r="6117">
          <cell r="C6117" t="str">
            <v>推广订单扣款</v>
          </cell>
        </row>
        <row r="6117">
          <cell r="H6117" t="str">
            <v>华信店</v>
          </cell>
          <cell r="I6117">
            <v>46087</v>
          </cell>
          <cell r="J6117">
            <v>-160</v>
          </cell>
        </row>
        <row r="6118">
          <cell r="C6118" t="str">
            <v>推广订单扣款</v>
          </cell>
        </row>
        <row r="6118">
          <cell r="H6118" t="str">
            <v>槐荫店</v>
          </cell>
          <cell r="I6118">
            <v>46089</v>
          </cell>
          <cell r="J6118">
            <v>-135</v>
          </cell>
        </row>
        <row r="6119">
          <cell r="C6119" t="str">
            <v>推广账户自动充值</v>
          </cell>
        </row>
        <row r="6119">
          <cell r="H6119" t="str">
            <v>槐荫店</v>
          </cell>
          <cell r="I6119">
            <v>46088</v>
          </cell>
          <cell r="J6119">
            <v>200</v>
          </cell>
        </row>
        <row r="6120">
          <cell r="C6120" t="str">
            <v>推广订单扣款</v>
          </cell>
        </row>
        <row r="6120">
          <cell r="H6120" t="str">
            <v>槐荫店</v>
          </cell>
          <cell r="I6120">
            <v>46088</v>
          </cell>
          <cell r="J6120">
            <v>-133.39</v>
          </cell>
        </row>
        <row r="6121">
          <cell r="C6121" t="str">
            <v>推广账户自动充值</v>
          </cell>
        </row>
        <row r="6121">
          <cell r="H6121" t="str">
            <v>槐荫店</v>
          </cell>
          <cell r="I6121">
            <v>46087</v>
          </cell>
          <cell r="J6121">
            <v>200</v>
          </cell>
        </row>
        <row r="6122">
          <cell r="C6122" t="str">
            <v>推广订单扣款</v>
          </cell>
        </row>
        <row r="6122">
          <cell r="H6122" t="str">
            <v>槐荫店</v>
          </cell>
          <cell r="I6122">
            <v>46087</v>
          </cell>
          <cell r="J6122">
            <v>-134.55</v>
          </cell>
        </row>
        <row r="6123">
          <cell r="C6123" t="str">
            <v>推广订单扣款</v>
          </cell>
        </row>
        <row r="6123">
          <cell r="H6123" t="str">
            <v>湖里店</v>
          </cell>
          <cell r="I6123">
            <v>46090</v>
          </cell>
          <cell r="J6123">
            <v>-82.2</v>
          </cell>
        </row>
        <row r="6124">
          <cell r="C6124" t="str">
            <v>推广订单扣款</v>
          </cell>
        </row>
        <row r="6124">
          <cell r="H6124" t="str">
            <v>东新店</v>
          </cell>
          <cell r="I6124">
            <v>46090</v>
          </cell>
          <cell r="J6124">
            <v>-76.66</v>
          </cell>
        </row>
        <row r="6125">
          <cell r="C6125" t="str">
            <v>推广订单扣款</v>
          </cell>
        </row>
        <row r="6125">
          <cell r="H6125" t="str">
            <v>泉秀店</v>
          </cell>
          <cell r="I6125">
            <v>46090</v>
          </cell>
          <cell r="J6125">
            <v>-273.55</v>
          </cell>
        </row>
        <row r="6126">
          <cell r="C6126" t="str">
            <v>推广订单扣款</v>
          </cell>
        </row>
        <row r="6126">
          <cell r="H6126" t="str">
            <v>启点店</v>
          </cell>
          <cell r="I6126">
            <v>46090</v>
          </cell>
          <cell r="J6126">
            <v>-80.11</v>
          </cell>
        </row>
        <row r="6127">
          <cell r="C6127" t="str">
            <v>推广订单扣款</v>
          </cell>
        </row>
        <row r="6127">
          <cell r="H6127" t="str">
            <v>高新店</v>
          </cell>
          <cell r="I6127">
            <v>46090</v>
          </cell>
          <cell r="J6127">
            <v>-61.49</v>
          </cell>
        </row>
        <row r="6128">
          <cell r="C6128" t="str">
            <v>推广订单扣款</v>
          </cell>
        </row>
        <row r="6128">
          <cell r="H6128" t="str">
            <v>成华店</v>
          </cell>
          <cell r="I6128">
            <v>46090</v>
          </cell>
          <cell r="J6128">
            <v>-31.22</v>
          </cell>
        </row>
        <row r="6129">
          <cell r="C6129" t="str">
            <v>推广订单扣款</v>
          </cell>
        </row>
        <row r="6129">
          <cell r="H6129" t="str">
            <v>金牛店</v>
          </cell>
          <cell r="I6129">
            <v>46090</v>
          </cell>
          <cell r="J6129">
            <v>-42.72</v>
          </cell>
        </row>
        <row r="6130">
          <cell r="C6130" t="str">
            <v>推广订单扣款</v>
          </cell>
        </row>
        <row r="6130">
          <cell r="H6130" t="str">
            <v>西山店</v>
          </cell>
          <cell r="I6130">
            <v>46090</v>
          </cell>
          <cell r="J6130">
            <v>-64.17</v>
          </cell>
        </row>
        <row r="6131">
          <cell r="C6131" t="str">
            <v>推广订单扣款</v>
          </cell>
        </row>
        <row r="6131">
          <cell r="H6131" t="str">
            <v>沙坪坝店</v>
          </cell>
          <cell r="I6131">
            <v>46090</v>
          </cell>
          <cell r="J6131">
            <v>-116.14</v>
          </cell>
        </row>
        <row r="6132">
          <cell r="C6132" t="str">
            <v>推广订单扣款</v>
          </cell>
        </row>
        <row r="6132">
          <cell r="H6132" t="str">
            <v>凤城二路店</v>
          </cell>
          <cell r="I6132">
            <v>46090</v>
          </cell>
          <cell r="J6132">
            <v>-94.91</v>
          </cell>
        </row>
        <row r="6133">
          <cell r="C6133" t="str">
            <v>推广订单扣款</v>
          </cell>
        </row>
        <row r="6133">
          <cell r="H6133" t="str">
            <v>大坪店</v>
          </cell>
          <cell r="I6133">
            <v>46090</v>
          </cell>
          <cell r="J6133">
            <v>-86.79</v>
          </cell>
        </row>
        <row r="6134">
          <cell r="C6134" t="str">
            <v>推广订单扣款</v>
          </cell>
        </row>
        <row r="6134">
          <cell r="H6134" t="str">
            <v>五华店</v>
          </cell>
          <cell r="I6134">
            <v>46090</v>
          </cell>
          <cell r="J6134">
            <v>-115.83</v>
          </cell>
        </row>
        <row r="6135">
          <cell r="C6135" t="str">
            <v>推广订单扣款</v>
          </cell>
        </row>
        <row r="6135">
          <cell r="H6135" t="str">
            <v>官渡店</v>
          </cell>
          <cell r="I6135">
            <v>46090</v>
          </cell>
          <cell r="J6135">
            <v>-126.52</v>
          </cell>
        </row>
        <row r="6136">
          <cell r="C6136" t="str">
            <v>推广订单扣款</v>
          </cell>
        </row>
        <row r="6136">
          <cell r="H6136" t="str">
            <v>百捷店</v>
          </cell>
          <cell r="I6136">
            <v>46090</v>
          </cell>
          <cell r="J6136">
            <v>-61.22</v>
          </cell>
        </row>
        <row r="6137">
          <cell r="C6137" t="str">
            <v>推广订单扣款</v>
          </cell>
        </row>
        <row r="6137">
          <cell r="H6137" t="str">
            <v>济南店</v>
          </cell>
          <cell r="I6137">
            <v>46090</v>
          </cell>
          <cell r="J6137">
            <v>-137.75</v>
          </cell>
        </row>
        <row r="6138">
          <cell r="C6138" t="str">
            <v>推广订单扣款</v>
          </cell>
        </row>
        <row r="6138">
          <cell r="H6138" t="str">
            <v>观音桥店</v>
          </cell>
          <cell r="I6138">
            <v>46090</v>
          </cell>
          <cell r="J6138">
            <v>-99.1</v>
          </cell>
        </row>
        <row r="6139">
          <cell r="C6139" t="str">
            <v>推广订单扣款</v>
          </cell>
        </row>
        <row r="6139">
          <cell r="H6139" t="str">
            <v>长沙店</v>
          </cell>
          <cell r="I6139">
            <v>46090</v>
          </cell>
          <cell r="J6139">
            <v>-97.14</v>
          </cell>
        </row>
        <row r="6140">
          <cell r="C6140" t="str">
            <v>推广订单扣款</v>
          </cell>
        </row>
        <row r="6140">
          <cell r="H6140" t="str">
            <v>洛江店</v>
          </cell>
          <cell r="I6140">
            <v>46090</v>
          </cell>
          <cell r="J6140">
            <v>-91.13</v>
          </cell>
        </row>
        <row r="6141">
          <cell r="C6141" t="str">
            <v>推广订单扣款</v>
          </cell>
        </row>
        <row r="6141">
          <cell r="H6141" t="str">
            <v>五路口店</v>
          </cell>
          <cell r="I6141">
            <v>46090</v>
          </cell>
          <cell r="J6141">
            <v>-124.84</v>
          </cell>
        </row>
        <row r="6142">
          <cell r="C6142" t="str">
            <v>推广订单扣款</v>
          </cell>
        </row>
        <row r="6142">
          <cell r="H6142" t="str">
            <v>青羊店</v>
          </cell>
          <cell r="I6142">
            <v>46090</v>
          </cell>
          <cell r="J6142">
            <v>-26.58</v>
          </cell>
        </row>
        <row r="6143">
          <cell r="C6143" t="str">
            <v>推广订单扣款</v>
          </cell>
        </row>
        <row r="6143">
          <cell r="H6143" t="str">
            <v>武侯店</v>
          </cell>
          <cell r="I6143">
            <v>46090</v>
          </cell>
          <cell r="J6143">
            <v>-44.88</v>
          </cell>
        </row>
        <row r="6144">
          <cell r="C6144" t="str">
            <v>推广订单扣款</v>
          </cell>
        </row>
        <row r="6144">
          <cell r="H6144" t="str">
            <v>鼓楼店</v>
          </cell>
          <cell r="I6144">
            <v>46090</v>
          </cell>
          <cell r="J6144">
            <v>-157.95</v>
          </cell>
        </row>
        <row r="6145">
          <cell r="C6145" t="str">
            <v>推广订单扣款</v>
          </cell>
        </row>
        <row r="6145">
          <cell r="H6145" t="str">
            <v>黄雁村店</v>
          </cell>
          <cell r="I6145">
            <v>46090</v>
          </cell>
          <cell r="J6145">
            <v>-148.02</v>
          </cell>
        </row>
        <row r="6146">
          <cell r="C6146" t="str">
            <v>推广订单扣款</v>
          </cell>
        </row>
        <row r="6146">
          <cell r="H6146" t="str">
            <v>西湖店</v>
          </cell>
          <cell r="I6146">
            <v>46090</v>
          </cell>
          <cell r="J6146">
            <v>-74.25</v>
          </cell>
        </row>
        <row r="6147">
          <cell r="C6147" t="str">
            <v>推广订单扣款</v>
          </cell>
        </row>
        <row r="6147">
          <cell r="H6147" t="str">
            <v>百丈店</v>
          </cell>
          <cell r="I6147">
            <v>46090</v>
          </cell>
          <cell r="J6147">
            <v>-150.98</v>
          </cell>
        </row>
        <row r="6148">
          <cell r="C6148" t="str">
            <v>推广订单扣款</v>
          </cell>
        </row>
        <row r="6148">
          <cell r="H6148" t="str">
            <v>文昌店</v>
          </cell>
          <cell r="I6148">
            <v>46090</v>
          </cell>
          <cell r="J6148">
            <v>-127.93</v>
          </cell>
        </row>
        <row r="6149">
          <cell r="C6149" t="str">
            <v>推广订单扣款</v>
          </cell>
        </row>
        <row r="6149">
          <cell r="H6149" t="str">
            <v>观桥店</v>
          </cell>
          <cell r="I6149">
            <v>46090</v>
          </cell>
          <cell r="J6149">
            <v>-142.18</v>
          </cell>
        </row>
        <row r="6150">
          <cell r="C6150" t="str">
            <v>推广订单扣款</v>
          </cell>
        </row>
        <row r="6150">
          <cell r="H6150" t="str">
            <v>海口店</v>
          </cell>
          <cell r="I6150">
            <v>46090</v>
          </cell>
          <cell r="J6150">
            <v>-300</v>
          </cell>
        </row>
        <row r="6151">
          <cell r="C6151" t="str">
            <v>推广订单扣款</v>
          </cell>
        </row>
        <row r="6151">
          <cell r="H6151" t="str">
            <v>南安店</v>
          </cell>
          <cell r="I6151">
            <v>46090</v>
          </cell>
          <cell r="J6151">
            <v>-28.02</v>
          </cell>
        </row>
        <row r="6152">
          <cell r="C6152" t="str">
            <v>推广账户自动充值</v>
          </cell>
        </row>
        <row r="6152">
          <cell r="H6152" t="str">
            <v>诚毅店</v>
          </cell>
          <cell r="I6152">
            <v>46090</v>
          </cell>
          <cell r="J6152">
            <v>200</v>
          </cell>
        </row>
        <row r="6153">
          <cell r="C6153" t="str">
            <v>推广订单扣款</v>
          </cell>
        </row>
        <row r="6153">
          <cell r="H6153" t="str">
            <v>诚毅店</v>
          </cell>
          <cell r="I6153">
            <v>46090</v>
          </cell>
          <cell r="J6153">
            <v>-159.69</v>
          </cell>
        </row>
        <row r="6154">
          <cell r="C6154" t="str">
            <v>推广订单扣款</v>
          </cell>
        </row>
        <row r="6154">
          <cell r="H6154" t="str">
            <v>首山店</v>
          </cell>
          <cell r="I6154">
            <v>46090</v>
          </cell>
          <cell r="J6154">
            <v>-109.58</v>
          </cell>
        </row>
        <row r="6155">
          <cell r="C6155" t="str">
            <v>推广订单扣款</v>
          </cell>
        </row>
        <row r="6155">
          <cell r="H6155" t="str">
            <v>首南店</v>
          </cell>
          <cell r="I6155">
            <v>46090</v>
          </cell>
          <cell r="J6155">
            <v>-108.09</v>
          </cell>
        </row>
        <row r="6156">
          <cell r="C6156" t="str">
            <v>推广订单扣款</v>
          </cell>
        </row>
        <row r="6156">
          <cell r="H6156" t="str">
            <v>余杭店</v>
          </cell>
          <cell r="I6156">
            <v>46090</v>
          </cell>
          <cell r="J6156">
            <v>-143.13</v>
          </cell>
        </row>
        <row r="6157">
          <cell r="C6157" t="str">
            <v>推广订单扣款</v>
          </cell>
        </row>
        <row r="6157">
          <cell r="H6157" t="str">
            <v>东海店</v>
          </cell>
          <cell r="I6157">
            <v>46090</v>
          </cell>
          <cell r="J6157">
            <v>-38.28</v>
          </cell>
        </row>
        <row r="6158">
          <cell r="C6158" t="str">
            <v>推广订单扣款</v>
          </cell>
        </row>
        <row r="6158">
          <cell r="H6158" t="str">
            <v>文灶店</v>
          </cell>
          <cell r="I6158">
            <v>46090</v>
          </cell>
          <cell r="J6158">
            <v>-60.05</v>
          </cell>
        </row>
        <row r="6159">
          <cell r="C6159" t="str">
            <v>推广订单扣款</v>
          </cell>
        </row>
        <row r="6159">
          <cell r="H6159" t="str">
            <v>滨江店</v>
          </cell>
          <cell r="I6159">
            <v>46090</v>
          </cell>
          <cell r="J6159">
            <v>-155.05</v>
          </cell>
        </row>
        <row r="6160">
          <cell r="C6160" t="str">
            <v>推广订单扣款</v>
          </cell>
        </row>
        <row r="6160">
          <cell r="H6160" t="str">
            <v>下沙店</v>
          </cell>
          <cell r="I6160">
            <v>46090</v>
          </cell>
          <cell r="J6160">
            <v>-283.9</v>
          </cell>
        </row>
        <row r="6161">
          <cell r="C6161" t="str">
            <v>推广账户自动充值</v>
          </cell>
        </row>
        <row r="6161">
          <cell r="H6161" t="str">
            <v>下沙店</v>
          </cell>
          <cell r="I6161">
            <v>46090</v>
          </cell>
          <cell r="J6161">
            <v>100</v>
          </cell>
        </row>
        <row r="6162">
          <cell r="C6162" t="str">
            <v>推广订单扣款</v>
          </cell>
        </row>
        <row r="6162">
          <cell r="H6162" t="str">
            <v>华信店</v>
          </cell>
          <cell r="I6162">
            <v>46090</v>
          </cell>
          <cell r="J6162">
            <v>-160</v>
          </cell>
        </row>
        <row r="6163">
          <cell r="C6163" t="str">
            <v>推广订单扣款</v>
          </cell>
        </row>
        <row r="6163">
          <cell r="H6163" t="str">
            <v>槐荫店</v>
          </cell>
          <cell r="I6163">
            <v>46090</v>
          </cell>
          <cell r="J6163">
            <v>-135</v>
          </cell>
        </row>
        <row r="6164">
          <cell r="C6164" t="str">
            <v>推广订单扣款</v>
          </cell>
        </row>
        <row r="6164">
          <cell r="H6164" t="str">
            <v>湖里店</v>
          </cell>
          <cell r="I6164">
            <v>46091</v>
          </cell>
          <cell r="J6164">
            <v>-105.91</v>
          </cell>
        </row>
        <row r="6165">
          <cell r="C6165" t="str">
            <v>推广订单扣款</v>
          </cell>
        </row>
        <row r="6165">
          <cell r="H6165" t="str">
            <v>东新店</v>
          </cell>
          <cell r="I6165">
            <v>46091</v>
          </cell>
          <cell r="J6165">
            <v>-109.21</v>
          </cell>
        </row>
        <row r="6166">
          <cell r="C6166" t="str">
            <v>推广订单扣款</v>
          </cell>
        </row>
        <row r="6166">
          <cell r="H6166" t="str">
            <v>泉秀店</v>
          </cell>
          <cell r="I6166">
            <v>46091</v>
          </cell>
          <cell r="J6166">
            <v>-165.75</v>
          </cell>
        </row>
        <row r="6167">
          <cell r="C6167" t="str">
            <v>推广账户自动充值</v>
          </cell>
        </row>
        <row r="6167">
          <cell r="H6167" t="str">
            <v>泉秀店</v>
          </cell>
          <cell r="I6167">
            <v>46091</v>
          </cell>
          <cell r="J6167">
            <v>200</v>
          </cell>
        </row>
        <row r="6168">
          <cell r="C6168" t="str">
            <v>推广订单扣款</v>
          </cell>
        </row>
        <row r="6168">
          <cell r="H6168" t="str">
            <v>启点店</v>
          </cell>
          <cell r="I6168">
            <v>46091</v>
          </cell>
          <cell r="J6168">
            <v>-84.13</v>
          </cell>
        </row>
        <row r="6169">
          <cell r="C6169" t="str">
            <v>推广订单扣款</v>
          </cell>
        </row>
        <row r="6169">
          <cell r="H6169" t="str">
            <v>高新店</v>
          </cell>
          <cell r="I6169">
            <v>46091</v>
          </cell>
          <cell r="J6169">
            <v>-69.36</v>
          </cell>
        </row>
        <row r="6170">
          <cell r="C6170" t="str">
            <v>推广订单扣款</v>
          </cell>
        </row>
        <row r="6170">
          <cell r="H6170" t="str">
            <v>成华店</v>
          </cell>
          <cell r="I6170">
            <v>46091</v>
          </cell>
          <cell r="J6170">
            <v>-61.15</v>
          </cell>
        </row>
        <row r="6171">
          <cell r="C6171" t="str">
            <v>推广账户自动充值</v>
          </cell>
        </row>
        <row r="6171">
          <cell r="H6171" t="str">
            <v>金牛店</v>
          </cell>
          <cell r="I6171">
            <v>46091</v>
          </cell>
          <cell r="J6171">
            <v>200</v>
          </cell>
        </row>
        <row r="6172">
          <cell r="C6172" t="str">
            <v>推广订单扣款</v>
          </cell>
        </row>
        <row r="6172">
          <cell r="H6172" t="str">
            <v>金牛店</v>
          </cell>
          <cell r="I6172">
            <v>46091</v>
          </cell>
          <cell r="J6172">
            <v>-59.86</v>
          </cell>
        </row>
        <row r="6173">
          <cell r="C6173" t="str">
            <v>推广订单扣款</v>
          </cell>
        </row>
        <row r="6173">
          <cell r="H6173" t="str">
            <v>西山店</v>
          </cell>
          <cell r="I6173">
            <v>46091</v>
          </cell>
          <cell r="J6173">
            <v>-87.65</v>
          </cell>
        </row>
        <row r="6174">
          <cell r="C6174" t="str">
            <v>推广账户自动充值</v>
          </cell>
        </row>
        <row r="6174">
          <cell r="H6174" t="str">
            <v>沙坪坝店</v>
          </cell>
          <cell r="I6174">
            <v>46091</v>
          </cell>
          <cell r="J6174">
            <v>200</v>
          </cell>
        </row>
        <row r="6175">
          <cell r="C6175" t="str">
            <v>推广订单扣款</v>
          </cell>
        </row>
        <row r="6175">
          <cell r="H6175" t="str">
            <v>沙坪坝店</v>
          </cell>
          <cell r="I6175">
            <v>46091</v>
          </cell>
          <cell r="J6175">
            <v>-119.43</v>
          </cell>
        </row>
        <row r="6176">
          <cell r="C6176" t="str">
            <v>推广订单扣款</v>
          </cell>
        </row>
        <row r="6176">
          <cell r="H6176" t="str">
            <v>凤城二路店</v>
          </cell>
          <cell r="I6176">
            <v>46091</v>
          </cell>
          <cell r="J6176">
            <v>-152.36</v>
          </cell>
        </row>
        <row r="6177">
          <cell r="C6177" t="str">
            <v>推广订单扣款</v>
          </cell>
        </row>
        <row r="6177">
          <cell r="H6177" t="str">
            <v>大坪店</v>
          </cell>
          <cell r="I6177">
            <v>46091</v>
          </cell>
          <cell r="J6177">
            <v>-84.12</v>
          </cell>
        </row>
        <row r="6178">
          <cell r="C6178" t="str">
            <v>推广订单扣款</v>
          </cell>
        </row>
        <row r="6178">
          <cell r="H6178" t="str">
            <v>五华店</v>
          </cell>
          <cell r="I6178">
            <v>46091</v>
          </cell>
          <cell r="J6178">
            <v>-117.57</v>
          </cell>
        </row>
        <row r="6179">
          <cell r="C6179" t="str">
            <v>推广订单扣款</v>
          </cell>
        </row>
        <row r="6179">
          <cell r="H6179" t="str">
            <v>官渡店</v>
          </cell>
          <cell r="I6179">
            <v>46091</v>
          </cell>
          <cell r="J6179">
            <v>-108.84</v>
          </cell>
        </row>
        <row r="6180">
          <cell r="C6180" t="str">
            <v>推广订单扣款</v>
          </cell>
        </row>
        <row r="6180">
          <cell r="H6180" t="str">
            <v>百捷店</v>
          </cell>
          <cell r="I6180">
            <v>46091</v>
          </cell>
          <cell r="J6180">
            <v>-105.99</v>
          </cell>
        </row>
        <row r="6181">
          <cell r="C6181" t="str">
            <v>推广订单扣款</v>
          </cell>
        </row>
        <row r="6181">
          <cell r="H6181" t="str">
            <v>济南店</v>
          </cell>
          <cell r="I6181">
            <v>46091</v>
          </cell>
          <cell r="J6181">
            <v>-161.63</v>
          </cell>
        </row>
        <row r="6182">
          <cell r="C6182" t="str">
            <v>推广订单扣款</v>
          </cell>
        </row>
        <row r="6182">
          <cell r="H6182" t="str">
            <v>观音桥店</v>
          </cell>
          <cell r="I6182">
            <v>46091</v>
          </cell>
          <cell r="J6182">
            <v>-74.1</v>
          </cell>
        </row>
        <row r="6183">
          <cell r="C6183" t="str">
            <v>推广订单扣款</v>
          </cell>
        </row>
        <row r="6183">
          <cell r="H6183" t="str">
            <v>长沙店</v>
          </cell>
          <cell r="I6183">
            <v>46091</v>
          </cell>
          <cell r="J6183">
            <v>-117.91</v>
          </cell>
        </row>
        <row r="6184">
          <cell r="C6184" t="str">
            <v>推广订单扣款</v>
          </cell>
        </row>
        <row r="6184">
          <cell r="H6184" t="str">
            <v>洛江店</v>
          </cell>
          <cell r="I6184">
            <v>46091</v>
          </cell>
          <cell r="J6184">
            <v>-82.52</v>
          </cell>
        </row>
        <row r="6185">
          <cell r="C6185" t="str">
            <v>推广订单扣款</v>
          </cell>
        </row>
        <row r="6185">
          <cell r="H6185" t="str">
            <v>五路口店</v>
          </cell>
          <cell r="I6185">
            <v>46091</v>
          </cell>
          <cell r="J6185">
            <v>-126.98</v>
          </cell>
        </row>
        <row r="6186">
          <cell r="C6186" t="str">
            <v>推广订单扣款</v>
          </cell>
        </row>
        <row r="6186">
          <cell r="H6186" t="str">
            <v>青羊店</v>
          </cell>
          <cell r="I6186">
            <v>46091</v>
          </cell>
          <cell r="J6186">
            <v>-41.7</v>
          </cell>
        </row>
        <row r="6187">
          <cell r="C6187" t="str">
            <v>推广订单扣款</v>
          </cell>
        </row>
        <row r="6187">
          <cell r="H6187" t="str">
            <v>武侯店</v>
          </cell>
          <cell r="I6187">
            <v>46091</v>
          </cell>
          <cell r="J6187">
            <v>-37.4</v>
          </cell>
        </row>
        <row r="6188">
          <cell r="C6188" t="str">
            <v>推广订单扣款</v>
          </cell>
        </row>
        <row r="6188">
          <cell r="H6188" t="str">
            <v>鼓楼店</v>
          </cell>
          <cell r="I6188">
            <v>46091</v>
          </cell>
          <cell r="J6188">
            <v>-194.84</v>
          </cell>
        </row>
        <row r="6189">
          <cell r="C6189" t="str">
            <v>推广订单扣款</v>
          </cell>
        </row>
        <row r="6189">
          <cell r="H6189" t="str">
            <v>黄雁村店</v>
          </cell>
          <cell r="I6189">
            <v>46091</v>
          </cell>
          <cell r="J6189">
            <v>-100</v>
          </cell>
        </row>
        <row r="6190">
          <cell r="C6190" t="str">
            <v>推广订单扣款</v>
          </cell>
        </row>
        <row r="6190">
          <cell r="H6190" t="str">
            <v>西湖店</v>
          </cell>
          <cell r="I6190">
            <v>46091</v>
          </cell>
          <cell r="J6190">
            <v>-122.04</v>
          </cell>
        </row>
        <row r="6191">
          <cell r="C6191" t="str">
            <v>推广订单扣款</v>
          </cell>
        </row>
        <row r="6191">
          <cell r="H6191" t="str">
            <v>百丈店</v>
          </cell>
          <cell r="I6191">
            <v>46091</v>
          </cell>
          <cell r="J6191">
            <v>-159.33</v>
          </cell>
        </row>
        <row r="6192">
          <cell r="C6192" t="str">
            <v>推广订单扣款</v>
          </cell>
        </row>
        <row r="6192">
          <cell r="H6192" t="str">
            <v>文昌店</v>
          </cell>
          <cell r="I6192">
            <v>46091</v>
          </cell>
          <cell r="J6192">
            <v>-85.44</v>
          </cell>
        </row>
        <row r="6193">
          <cell r="C6193" t="str">
            <v>推广订单扣款</v>
          </cell>
        </row>
        <row r="6193">
          <cell r="H6193" t="str">
            <v>观桥店</v>
          </cell>
          <cell r="I6193">
            <v>46091</v>
          </cell>
          <cell r="J6193">
            <v>-165.27</v>
          </cell>
        </row>
        <row r="6194">
          <cell r="C6194" t="str">
            <v>推广账户自动充值</v>
          </cell>
        </row>
        <row r="6194">
          <cell r="H6194" t="str">
            <v>观桥店</v>
          </cell>
          <cell r="I6194">
            <v>46091</v>
          </cell>
          <cell r="J6194">
            <v>200</v>
          </cell>
        </row>
        <row r="6195">
          <cell r="C6195" t="str">
            <v>推广订单扣款</v>
          </cell>
        </row>
        <row r="6195">
          <cell r="H6195" t="str">
            <v>海口店</v>
          </cell>
          <cell r="I6195">
            <v>46091</v>
          </cell>
          <cell r="J6195">
            <v>-300</v>
          </cell>
        </row>
        <row r="6196">
          <cell r="C6196" t="str">
            <v>推广订单扣款</v>
          </cell>
        </row>
        <row r="6196">
          <cell r="H6196" t="str">
            <v>南安店</v>
          </cell>
          <cell r="I6196">
            <v>46091</v>
          </cell>
          <cell r="J6196">
            <v>-17.24</v>
          </cell>
        </row>
        <row r="6197">
          <cell r="C6197" t="str">
            <v>推广订单扣款</v>
          </cell>
        </row>
        <row r="6197">
          <cell r="H6197" t="str">
            <v>诚毅店</v>
          </cell>
          <cell r="I6197">
            <v>46091</v>
          </cell>
          <cell r="J6197">
            <v>-169.07</v>
          </cell>
        </row>
        <row r="6198">
          <cell r="C6198" t="str">
            <v>推广订单扣款</v>
          </cell>
        </row>
        <row r="6198">
          <cell r="H6198" t="str">
            <v>首山店</v>
          </cell>
          <cell r="I6198">
            <v>46091</v>
          </cell>
          <cell r="J6198">
            <v>-108.03</v>
          </cell>
        </row>
        <row r="6199">
          <cell r="C6199" t="str">
            <v>推广订单扣款</v>
          </cell>
        </row>
        <row r="6199">
          <cell r="H6199" t="str">
            <v>首南店</v>
          </cell>
          <cell r="I6199">
            <v>46091</v>
          </cell>
          <cell r="J6199">
            <v>-131.67</v>
          </cell>
        </row>
        <row r="6200">
          <cell r="C6200" t="str">
            <v>推广订单扣款</v>
          </cell>
        </row>
        <row r="6200">
          <cell r="H6200" t="str">
            <v>余杭店</v>
          </cell>
          <cell r="I6200">
            <v>46091</v>
          </cell>
          <cell r="J6200">
            <v>-162.44</v>
          </cell>
        </row>
        <row r="6201">
          <cell r="C6201" t="str">
            <v>推广订单扣款</v>
          </cell>
        </row>
        <row r="6201">
          <cell r="H6201" t="str">
            <v>东海店</v>
          </cell>
          <cell r="I6201">
            <v>46091</v>
          </cell>
          <cell r="J6201">
            <v>-54.53</v>
          </cell>
        </row>
        <row r="6202">
          <cell r="C6202" t="str">
            <v>推广订单扣款</v>
          </cell>
        </row>
        <row r="6202">
          <cell r="H6202" t="str">
            <v>文灶店</v>
          </cell>
          <cell r="I6202">
            <v>46091</v>
          </cell>
          <cell r="J6202">
            <v>-58.09</v>
          </cell>
        </row>
        <row r="6203">
          <cell r="C6203" t="str">
            <v>推广订单扣款</v>
          </cell>
        </row>
        <row r="6203">
          <cell r="H6203" t="str">
            <v>滨江店</v>
          </cell>
          <cell r="I6203">
            <v>46091</v>
          </cell>
          <cell r="J6203">
            <v>-200</v>
          </cell>
        </row>
        <row r="6204">
          <cell r="C6204" t="str">
            <v>推广账户自动充值</v>
          </cell>
        </row>
        <row r="6204">
          <cell r="H6204" t="str">
            <v>下沙店</v>
          </cell>
          <cell r="I6204">
            <v>46091</v>
          </cell>
          <cell r="J6204">
            <v>100</v>
          </cell>
        </row>
        <row r="6205">
          <cell r="C6205" t="str">
            <v>推广订单扣款</v>
          </cell>
        </row>
        <row r="6205">
          <cell r="H6205" t="str">
            <v>下沙店</v>
          </cell>
          <cell r="I6205">
            <v>46091</v>
          </cell>
          <cell r="J6205">
            <v>-300</v>
          </cell>
        </row>
        <row r="6206">
          <cell r="C6206" t="str">
            <v>推广账户自动充值</v>
          </cell>
        </row>
        <row r="6206">
          <cell r="H6206" t="str">
            <v>华信店</v>
          </cell>
          <cell r="I6206">
            <v>46091</v>
          </cell>
          <cell r="J6206">
            <v>200</v>
          </cell>
        </row>
        <row r="6207">
          <cell r="C6207" t="str">
            <v>推广订单扣款</v>
          </cell>
        </row>
        <row r="6207">
          <cell r="H6207" t="str">
            <v>华信店</v>
          </cell>
          <cell r="I6207">
            <v>46091</v>
          </cell>
          <cell r="J6207">
            <v>-160</v>
          </cell>
        </row>
        <row r="6208">
          <cell r="C6208" t="str">
            <v>推广账户自动充值</v>
          </cell>
        </row>
        <row r="6208">
          <cell r="H6208" t="str">
            <v>槐荫店</v>
          </cell>
          <cell r="I6208">
            <v>46091</v>
          </cell>
          <cell r="J6208">
            <v>200</v>
          </cell>
        </row>
        <row r="6209">
          <cell r="C6209" t="str">
            <v>推广订单扣款</v>
          </cell>
        </row>
        <row r="6209">
          <cell r="H6209" t="str">
            <v>槐荫店</v>
          </cell>
          <cell r="I6209">
            <v>46091</v>
          </cell>
          <cell r="J6209">
            <v>-133.94</v>
          </cell>
        </row>
        <row r="6210">
          <cell r="C6210" t="str">
            <v>推广订单扣款</v>
          </cell>
        </row>
        <row r="6210">
          <cell r="H6210" t="str">
            <v>湖里店</v>
          </cell>
          <cell r="I6210">
            <v>46092</v>
          </cell>
          <cell r="J6210">
            <v>-121.05</v>
          </cell>
        </row>
        <row r="6211">
          <cell r="C6211" t="str">
            <v>推广订单扣款</v>
          </cell>
        </row>
        <row r="6211">
          <cell r="H6211" t="str">
            <v>东新店</v>
          </cell>
          <cell r="I6211">
            <v>46092</v>
          </cell>
          <cell r="J6211">
            <v>-101.71</v>
          </cell>
        </row>
        <row r="6212">
          <cell r="C6212" t="str">
            <v>推广订单扣款</v>
          </cell>
        </row>
        <row r="6212">
          <cell r="H6212" t="str">
            <v>泉秀店</v>
          </cell>
          <cell r="I6212">
            <v>46092</v>
          </cell>
          <cell r="J6212">
            <v>-300</v>
          </cell>
        </row>
        <row r="6213">
          <cell r="C6213" t="str">
            <v>推广订单扣款</v>
          </cell>
        </row>
        <row r="6213">
          <cell r="H6213" t="str">
            <v>启点店</v>
          </cell>
          <cell r="I6213">
            <v>46092</v>
          </cell>
          <cell r="J6213">
            <v>-99.81</v>
          </cell>
        </row>
        <row r="6214">
          <cell r="C6214" t="str">
            <v>推广订单扣款</v>
          </cell>
        </row>
        <row r="6214">
          <cell r="H6214" t="str">
            <v>高新店</v>
          </cell>
          <cell r="I6214">
            <v>46092</v>
          </cell>
          <cell r="J6214">
            <v>-81.82</v>
          </cell>
        </row>
        <row r="6215">
          <cell r="C6215" t="str">
            <v>推广订单扣款</v>
          </cell>
        </row>
        <row r="6215">
          <cell r="H6215" t="str">
            <v>成华店</v>
          </cell>
          <cell r="I6215">
            <v>46092</v>
          </cell>
          <cell r="J6215">
            <v>-51.87</v>
          </cell>
        </row>
        <row r="6216">
          <cell r="C6216" t="str">
            <v>推广订单扣款</v>
          </cell>
        </row>
        <row r="6216">
          <cell r="H6216" t="str">
            <v>金牛店</v>
          </cell>
          <cell r="I6216">
            <v>46092</v>
          </cell>
          <cell r="J6216">
            <v>-43.72</v>
          </cell>
        </row>
        <row r="6217">
          <cell r="C6217" t="str">
            <v>推广订单扣款</v>
          </cell>
        </row>
        <row r="6217">
          <cell r="H6217" t="str">
            <v>西山店</v>
          </cell>
          <cell r="I6217">
            <v>46092</v>
          </cell>
          <cell r="J6217">
            <v>-95.83</v>
          </cell>
        </row>
        <row r="6218">
          <cell r="C6218" t="str">
            <v>推广订单扣款</v>
          </cell>
        </row>
        <row r="6218">
          <cell r="H6218" t="str">
            <v>沙坪坝店</v>
          </cell>
          <cell r="I6218">
            <v>46092</v>
          </cell>
          <cell r="J6218">
            <v>-156.81</v>
          </cell>
        </row>
        <row r="6219">
          <cell r="C6219" t="str">
            <v>推广账户自动充值</v>
          </cell>
        </row>
        <row r="6219">
          <cell r="H6219" t="str">
            <v>凤城二路店</v>
          </cell>
          <cell r="I6219">
            <v>46092</v>
          </cell>
          <cell r="J6219">
            <v>200</v>
          </cell>
        </row>
        <row r="6220">
          <cell r="C6220" t="str">
            <v>推广订单扣款</v>
          </cell>
        </row>
        <row r="6220">
          <cell r="H6220" t="str">
            <v>凤城二路店</v>
          </cell>
          <cell r="I6220">
            <v>46092</v>
          </cell>
          <cell r="J6220">
            <v>-165.26</v>
          </cell>
        </row>
        <row r="6221">
          <cell r="C6221" t="str">
            <v>推广订单扣款</v>
          </cell>
        </row>
        <row r="6221">
          <cell r="H6221" t="str">
            <v>大坪店</v>
          </cell>
          <cell r="I6221">
            <v>46092</v>
          </cell>
          <cell r="J6221">
            <v>-102.28</v>
          </cell>
        </row>
        <row r="6222">
          <cell r="C6222" t="str">
            <v>推广订单扣款</v>
          </cell>
        </row>
        <row r="6222">
          <cell r="H6222" t="str">
            <v>五华店</v>
          </cell>
          <cell r="I6222">
            <v>46092</v>
          </cell>
          <cell r="J6222">
            <v>-139.96</v>
          </cell>
        </row>
        <row r="6223">
          <cell r="C6223" t="str">
            <v>推广订单扣款</v>
          </cell>
        </row>
        <row r="6223">
          <cell r="H6223" t="str">
            <v>官渡店</v>
          </cell>
          <cell r="I6223">
            <v>46092</v>
          </cell>
          <cell r="J6223">
            <v>-142.85</v>
          </cell>
        </row>
        <row r="6224">
          <cell r="C6224" t="str">
            <v>推广订单扣款</v>
          </cell>
        </row>
        <row r="6224">
          <cell r="H6224" t="str">
            <v>百捷店</v>
          </cell>
          <cell r="I6224">
            <v>46092</v>
          </cell>
          <cell r="J6224">
            <v>-127.65</v>
          </cell>
        </row>
        <row r="6225">
          <cell r="C6225" t="str">
            <v>推广订单扣款</v>
          </cell>
        </row>
        <row r="6225">
          <cell r="H6225" t="str">
            <v>济南店</v>
          </cell>
          <cell r="I6225">
            <v>46092</v>
          </cell>
          <cell r="J6225">
            <v>-147.34</v>
          </cell>
        </row>
        <row r="6226">
          <cell r="C6226" t="str">
            <v>推广账户自动充值</v>
          </cell>
        </row>
        <row r="6226">
          <cell r="H6226" t="str">
            <v>观音桥店</v>
          </cell>
          <cell r="I6226">
            <v>46092</v>
          </cell>
          <cell r="J6226">
            <v>200</v>
          </cell>
        </row>
        <row r="6227">
          <cell r="C6227" t="str">
            <v>推广订单扣款</v>
          </cell>
        </row>
        <row r="6227">
          <cell r="H6227" t="str">
            <v>观音桥店</v>
          </cell>
          <cell r="I6227">
            <v>46092</v>
          </cell>
          <cell r="J6227">
            <v>-85.25</v>
          </cell>
        </row>
        <row r="6228">
          <cell r="C6228" t="str">
            <v>推广订单扣款</v>
          </cell>
        </row>
        <row r="6228">
          <cell r="H6228" t="str">
            <v>长沙店</v>
          </cell>
          <cell r="I6228">
            <v>46092</v>
          </cell>
          <cell r="J6228">
            <v>-71.18</v>
          </cell>
        </row>
        <row r="6229">
          <cell r="C6229" t="str">
            <v>推广订单扣款</v>
          </cell>
        </row>
        <row r="6229">
          <cell r="H6229" t="str">
            <v>洛江店</v>
          </cell>
          <cell r="I6229">
            <v>46092</v>
          </cell>
          <cell r="J6229">
            <v>-81.65</v>
          </cell>
        </row>
        <row r="6230">
          <cell r="C6230" t="str">
            <v>推广订单扣款</v>
          </cell>
        </row>
        <row r="6230">
          <cell r="H6230" t="str">
            <v>五路口店</v>
          </cell>
          <cell r="I6230">
            <v>46092</v>
          </cell>
          <cell r="J6230">
            <v>-141.24</v>
          </cell>
        </row>
        <row r="6231">
          <cell r="C6231" t="str">
            <v>推广订单扣款</v>
          </cell>
        </row>
        <row r="6231">
          <cell r="H6231" t="str">
            <v>青羊店</v>
          </cell>
          <cell r="I6231">
            <v>46092</v>
          </cell>
          <cell r="J6231">
            <v>-42.51</v>
          </cell>
        </row>
        <row r="6232">
          <cell r="C6232" t="str">
            <v>推广订单扣款</v>
          </cell>
        </row>
        <row r="6232">
          <cell r="H6232" t="str">
            <v>武侯店</v>
          </cell>
          <cell r="I6232">
            <v>46092</v>
          </cell>
          <cell r="J6232">
            <v>-66.13</v>
          </cell>
        </row>
        <row r="6233">
          <cell r="C6233" t="str">
            <v>推广订单扣款</v>
          </cell>
        </row>
        <row r="6233">
          <cell r="H6233" t="str">
            <v>鼓楼店</v>
          </cell>
          <cell r="I6233">
            <v>46092</v>
          </cell>
          <cell r="J6233">
            <v>-164.26</v>
          </cell>
        </row>
        <row r="6234">
          <cell r="C6234" t="str">
            <v>推广订单扣款</v>
          </cell>
        </row>
        <row r="6234">
          <cell r="H6234" t="str">
            <v>黄雁村店</v>
          </cell>
          <cell r="I6234">
            <v>46092</v>
          </cell>
          <cell r="J6234">
            <v>-197.91</v>
          </cell>
        </row>
        <row r="6235">
          <cell r="C6235" t="str">
            <v>推广账户自动充值</v>
          </cell>
        </row>
        <row r="6235">
          <cell r="H6235" t="str">
            <v>西湖店</v>
          </cell>
          <cell r="I6235">
            <v>46092</v>
          </cell>
          <cell r="J6235">
            <v>200</v>
          </cell>
        </row>
        <row r="6236">
          <cell r="C6236" t="str">
            <v>推广订单扣款</v>
          </cell>
        </row>
        <row r="6236">
          <cell r="H6236" t="str">
            <v>西湖店</v>
          </cell>
          <cell r="I6236">
            <v>46092</v>
          </cell>
          <cell r="J6236">
            <v>-127.1</v>
          </cell>
        </row>
        <row r="6237">
          <cell r="C6237" t="str">
            <v>推广订单扣款</v>
          </cell>
        </row>
        <row r="6237">
          <cell r="H6237" t="str">
            <v>百丈店</v>
          </cell>
          <cell r="I6237">
            <v>46092</v>
          </cell>
          <cell r="J6237">
            <v>-184.45</v>
          </cell>
        </row>
        <row r="6238">
          <cell r="C6238" t="str">
            <v>推广订单扣款</v>
          </cell>
        </row>
        <row r="6238">
          <cell r="H6238" t="str">
            <v>文昌店</v>
          </cell>
          <cell r="I6238">
            <v>46092</v>
          </cell>
          <cell r="J6238">
            <v>-159.18</v>
          </cell>
        </row>
        <row r="6239">
          <cell r="C6239" t="str">
            <v>推广账户自动充值</v>
          </cell>
        </row>
        <row r="6239">
          <cell r="H6239" t="str">
            <v>观桥店</v>
          </cell>
          <cell r="I6239">
            <v>46092</v>
          </cell>
          <cell r="J6239">
            <v>200</v>
          </cell>
        </row>
        <row r="6240">
          <cell r="C6240" t="str">
            <v>推广订单扣款</v>
          </cell>
        </row>
        <row r="6240">
          <cell r="H6240" t="str">
            <v>观桥店</v>
          </cell>
          <cell r="I6240">
            <v>46092</v>
          </cell>
          <cell r="J6240">
            <v>-197.11</v>
          </cell>
        </row>
        <row r="6241">
          <cell r="C6241" t="str">
            <v>推广订单扣款</v>
          </cell>
        </row>
        <row r="6241">
          <cell r="H6241" t="str">
            <v>海口店</v>
          </cell>
          <cell r="I6241">
            <v>46092</v>
          </cell>
          <cell r="J6241">
            <v>-300</v>
          </cell>
        </row>
        <row r="6242">
          <cell r="C6242" t="str">
            <v>推广订单扣款</v>
          </cell>
        </row>
        <row r="6242">
          <cell r="H6242" t="str">
            <v>诚毅店</v>
          </cell>
          <cell r="I6242">
            <v>46092</v>
          </cell>
          <cell r="J6242">
            <v>-137.58</v>
          </cell>
        </row>
        <row r="6243">
          <cell r="C6243" t="str">
            <v>推广订单扣款</v>
          </cell>
        </row>
        <row r="6243">
          <cell r="H6243" t="str">
            <v>首山店</v>
          </cell>
          <cell r="I6243">
            <v>46092</v>
          </cell>
          <cell r="J6243">
            <v>-86.12</v>
          </cell>
        </row>
        <row r="6244">
          <cell r="C6244" t="str">
            <v>推广订单扣款</v>
          </cell>
        </row>
        <row r="6244">
          <cell r="H6244" t="str">
            <v>首南店</v>
          </cell>
          <cell r="I6244">
            <v>46092</v>
          </cell>
          <cell r="J6244">
            <v>-156.06</v>
          </cell>
        </row>
        <row r="6245">
          <cell r="C6245" t="str">
            <v>推广订单扣款</v>
          </cell>
        </row>
        <row r="6245">
          <cell r="H6245" t="str">
            <v>余杭店</v>
          </cell>
          <cell r="I6245">
            <v>46092</v>
          </cell>
          <cell r="J6245">
            <v>-163.19</v>
          </cell>
        </row>
        <row r="6246">
          <cell r="C6246" t="str">
            <v>推广订单扣款</v>
          </cell>
        </row>
        <row r="6246">
          <cell r="H6246" t="str">
            <v>东海店</v>
          </cell>
          <cell r="I6246">
            <v>46092</v>
          </cell>
          <cell r="J6246">
            <v>-55.38</v>
          </cell>
        </row>
        <row r="6247">
          <cell r="C6247" t="str">
            <v>推广订单扣款</v>
          </cell>
        </row>
        <row r="6247">
          <cell r="H6247" t="str">
            <v>文灶店</v>
          </cell>
          <cell r="I6247">
            <v>46092</v>
          </cell>
          <cell r="J6247">
            <v>-48.48</v>
          </cell>
        </row>
        <row r="6248">
          <cell r="C6248" t="str">
            <v>推广订单扣款</v>
          </cell>
        </row>
        <row r="6248">
          <cell r="H6248" t="str">
            <v>滨江店</v>
          </cell>
          <cell r="I6248">
            <v>46092</v>
          </cell>
          <cell r="J6248">
            <v>-184.8</v>
          </cell>
        </row>
        <row r="6249">
          <cell r="C6249" t="str">
            <v>推广账户自动充值</v>
          </cell>
        </row>
        <row r="6249">
          <cell r="H6249" t="str">
            <v>下沙店</v>
          </cell>
          <cell r="I6249">
            <v>46092</v>
          </cell>
          <cell r="J6249">
            <v>100</v>
          </cell>
        </row>
        <row r="6250">
          <cell r="C6250" t="str">
            <v>推广订单扣款</v>
          </cell>
        </row>
        <row r="6250">
          <cell r="H6250" t="str">
            <v>下沙店</v>
          </cell>
          <cell r="I6250">
            <v>46092</v>
          </cell>
          <cell r="J6250">
            <v>-300</v>
          </cell>
        </row>
        <row r="6251">
          <cell r="C6251" t="str">
            <v>推广订单扣款</v>
          </cell>
        </row>
        <row r="6251">
          <cell r="H6251" t="str">
            <v>华信店</v>
          </cell>
          <cell r="I6251">
            <v>46092</v>
          </cell>
          <cell r="J6251">
            <v>-160</v>
          </cell>
        </row>
        <row r="6252">
          <cell r="C6252" t="str">
            <v>推广订单扣款</v>
          </cell>
        </row>
        <row r="6252">
          <cell r="H6252" t="str">
            <v>槐荫店</v>
          </cell>
          <cell r="I6252">
            <v>46092</v>
          </cell>
          <cell r="J6252">
            <v>-135</v>
          </cell>
        </row>
        <row r="6253">
          <cell r="C6253" t="str">
            <v>推广订单扣款</v>
          </cell>
        </row>
        <row r="6253">
          <cell r="H6253" t="str">
            <v>湖里店</v>
          </cell>
          <cell r="I6253" t="str">
            <v>2026-3-12</v>
          </cell>
          <cell r="J6253">
            <v>-112.17</v>
          </cell>
        </row>
        <row r="6254">
          <cell r="C6254" t="str">
            <v>推广订单扣款</v>
          </cell>
        </row>
        <row r="6254">
          <cell r="H6254" t="str">
            <v>东新店</v>
          </cell>
          <cell r="I6254" t="str">
            <v>2026-3-12</v>
          </cell>
          <cell r="J6254">
            <v>-100.11</v>
          </cell>
        </row>
        <row r="6255">
          <cell r="C6255" t="str">
            <v>推广订单扣款</v>
          </cell>
        </row>
        <row r="6255">
          <cell r="H6255" t="str">
            <v>泉秀店</v>
          </cell>
          <cell r="I6255" t="str">
            <v>2026-3-12</v>
          </cell>
          <cell r="J6255">
            <v>-200</v>
          </cell>
        </row>
        <row r="6256">
          <cell r="C6256" t="str">
            <v>推广订单扣款</v>
          </cell>
        </row>
        <row r="6256">
          <cell r="H6256" t="str">
            <v>启点店</v>
          </cell>
          <cell r="I6256" t="str">
            <v>2026-3-12</v>
          </cell>
          <cell r="J6256">
            <v>-82.59</v>
          </cell>
        </row>
        <row r="6257">
          <cell r="C6257" t="str">
            <v>推广订单扣款</v>
          </cell>
        </row>
        <row r="6257">
          <cell r="H6257" t="str">
            <v>高新店</v>
          </cell>
          <cell r="I6257" t="str">
            <v>2026-3-12</v>
          </cell>
          <cell r="J6257">
            <v>-54.2</v>
          </cell>
        </row>
        <row r="6258">
          <cell r="C6258" t="str">
            <v>推广订单扣款</v>
          </cell>
        </row>
        <row r="6258">
          <cell r="H6258" t="str">
            <v>成华店</v>
          </cell>
          <cell r="I6258" t="str">
            <v>2026-3-12</v>
          </cell>
          <cell r="J6258">
            <v>-38.5</v>
          </cell>
        </row>
        <row r="6259">
          <cell r="C6259" t="str">
            <v>推广订单扣款</v>
          </cell>
        </row>
        <row r="6259">
          <cell r="H6259" t="str">
            <v>金牛店</v>
          </cell>
          <cell r="I6259" t="str">
            <v>2026-3-12</v>
          </cell>
          <cell r="J6259">
            <v>-54.14</v>
          </cell>
        </row>
        <row r="6260">
          <cell r="C6260" t="str">
            <v>推广订单扣款</v>
          </cell>
        </row>
        <row r="6260">
          <cell r="H6260" t="str">
            <v>西山店</v>
          </cell>
          <cell r="I6260" t="str">
            <v>2026-3-12</v>
          </cell>
          <cell r="J6260">
            <v>-69.07</v>
          </cell>
        </row>
        <row r="6261">
          <cell r="C6261" t="str">
            <v>推广订单扣款</v>
          </cell>
        </row>
        <row r="6261">
          <cell r="H6261" t="str">
            <v>沙坪坝店</v>
          </cell>
          <cell r="I6261" t="str">
            <v>2026-3-12</v>
          </cell>
          <cell r="J6261">
            <v>-109.64</v>
          </cell>
        </row>
        <row r="6262">
          <cell r="C6262" t="str">
            <v>推广订单扣款</v>
          </cell>
        </row>
        <row r="6262">
          <cell r="H6262" t="str">
            <v>凤城二路店</v>
          </cell>
          <cell r="I6262" t="str">
            <v>2026-3-12</v>
          </cell>
          <cell r="J6262">
            <v>-135.62</v>
          </cell>
        </row>
        <row r="6263">
          <cell r="C6263" t="str">
            <v>推广订单扣款</v>
          </cell>
        </row>
        <row r="6263">
          <cell r="H6263" t="str">
            <v>大坪店</v>
          </cell>
          <cell r="I6263" t="str">
            <v>2026-3-12</v>
          </cell>
          <cell r="J6263">
            <v>-191.2</v>
          </cell>
        </row>
        <row r="6264">
          <cell r="C6264" t="str">
            <v>推广订单扣款</v>
          </cell>
        </row>
        <row r="6264">
          <cell r="H6264" t="str">
            <v>五华店</v>
          </cell>
          <cell r="I6264" t="str">
            <v>2026-3-12</v>
          </cell>
          <cell r="J6264">
            <v>-115.58</v>
          </cell>
        </row>
        <row r="6265">
          <cell r="C6265" t="str">
            <v>推广账户自动充值</v>
          </cell>
        </row>
        <row r="6265">
          <cell r="H6265" t="str">
            <v>官渡店</v>
          </cell>
          <cell r="I6265" t="str">
            <v>2026-3-12</v>
          </cell>
          <cell r="J6265">
            <v>200</v>
          </cell>
        </row>
        <row r="6266">
          <cell r="C6266" t="str">
            <v>推广订单扣款</v>
          </cell>
        </row>
        <row r="6266">
          <cell r="H6266" t="str">
            <v>官渡店</v>
          </cell>
          <cell r="I6266" t="str">
            <v>2026-3-12</v>
          </cell>
          <cell r="J6266">
            <v>-112.99</v>
          </cell>
        </row>
        <row r="6267">
          <cell r="C6267" t="str">
            <v>推广订单扣款</v>
          </cell>
        </row>
        <row r="6267">
          <cell r="H6267" t="str">
            <v>百捷店</v>
          </cell>
          <cell r="I6267" t="str">
            <v>2026-3-12</v>
          </cell>
          <cell r="J6267">
            <v>-127.94</v>
          </cell>
        </row>
        <row r="6268">
          <cell r="C6268" t="str">
            <v>推广订单扣款</v>
          </cell>
        </row>
        <row r="6268">
          <cell r="H6268" t="str">
            <v>济南店</v>
          </cell>
          <cell r="I6268" t="str">
            <v>2026-3-12</v>
          </cell>
          <cell r="J6268">
            <v>-134.1</v>
          </cell>
        </row>
        <row r="6269">
          <cell r="C6269" t="str">
            <v>推广订单扣款</v>
          </cell>
        </row>
        <row r="6269">
          <cell r="H6269" t="str">
            <v>观音桥店</v>
          </cell>
          <cell r="I6269" t="str">
            <v>2026-3-12</v>
          </cell>
          <cell r="J6269">
            <v>-101.06</v>
          </cell>
        </row>
        <row r="6270">
          <cell r="C6270" t="str">
            <v>推广订单扣款</v>
          </cell>
        </row>
        <row r="6270">
          <cell r="H6270" t="str">
            <v>长沙店</v>
          </cell>
          <cell r="I6270" t="str">
            <v>2026-3-12</v>
          </cell>
          <cell r="J6270">
            <v>-94.66</v>
          </cell>
        </row>
        <row r="6271">
          <cell r="C6271" t="str">
            <v>推广订单扣款</v>
          </cell>
        </row>
        <row r="6271">
          <cell r="H6271" t="str">
            <v>洛江店</v>
          </cell>
          <cell r="I6271" t="str">
            <v>2026-3-12</v>
          </cell>
          <cell r="J6271">
            <v>-93.57</v>
          </cell>
        </row>
        <row r="6272">
          <cell r="C6272" t="str">
            <v>推广订单扣款</v>
          </cell>
        </row>
        <row r="6272">
          <cell r="H6272" t="str">
            <v>五路口店</v>
          </cell>
          <cell r="I6272" t="str">
            <v>2026-3-12</v>
          </cell>
          <cell r="J6272">
            <v>-122.79</v>
          </cell>
        </row>
        <row r="6273">
          <cell r="C6273" t="str">
            <v>推广订单扣款</v>
          </cell>
        </row>
        <row r="6273">
          <cell r="H6273" t="str">
            <v>青羊店</v>
          </cell>
          <cell r="I6273" t="str">
            <v>2026-3-12</v>
          </cell>
          <cell r="J6273">
            <v>-44.57</v>
          </cell>
        </row>
        <row r="6274">
          <cell r="C6274" t="str">
            <v>推广订单扣款</v>
          </cell>
        </row>
        <row r="6274">
          <cell r="H6274" t="str">
            <v>武侯店</v>
          </cell>
          <cell r="I6274" t="str">
            <v>2026-3-12</v>
          </cell>
          <cell r="J6274">
            <v>-57.36</v>
          </cell>
        </row>
        <row r="6275">
          <cell r="C6275" t="str">
            <v>推广订单扣款</v>
          </cell>
        </row>
        <row r="6275">
          <cell r="H6275" t="str">
            <v>鼓楼店</v>
          </cell>
          <cell r="I6275" t="str">
            <v>2026-3-12</v>
          </cell>
          <cell r="J6275">
            <v>-194.04</v>
          </cell>
        </row>
        <row r="6276">
          <cell r="C6276" t="str">
            <v>推广订单扣款</v>
          </cell>
        </row>
        <row r="6276">
          <cell r="H6276" t="str">
            <v>黄雁村店</v>
          </cell>
          <cell r="I6276" t="str">
            <v>2026-3-12</v>
          </cell>
          <cell r="J6276">
            <v>-182.43</v>
          </cell>
        </row>
        <row r="6277">
          <cell r="C6277" t="str">
            <v>推广订单扣款</v>
          </cell>
        </row>
        <row r="6277">
          <cell r="H6277" t="str">
            <v>西湖店</v>
          </cell>
          <cell r="I6277" t="str">
            <v>2026-3-12</v>
          </cell>
          <cell r="J6277">
            <v>-113.26</v>
          </cell>
        </row>
        <row r="6278">
          <cell r="C6278" t="str">
            <v>推广订单扣款</v>
          </cell>
        </row>
        <row r="6278">
          <cell r="H6278" t="str">
            <v>百丈店</v>
          </cell>
          <cell r="I6278" t="str">
            <v>2026-3-12</v>
          </cell>
          <cell r="J6278">
            <v>-178.51</v>
          </cell>
        </row>
        <row r="6279">
          <cell r="C6279" t="str">
            <v>推广订单扣款</v>
          </cell>
        </row>
        <row r="6279">
          <cell r="H6279" t="str">
            <v>文昌店</v>
          </cell>
          <cell r="I6279" t="str">
            <v>2026-3-12</v>
          </cell>
          <cell r="J6279">
            <v>-119.86</v>
          </cell>
        </row>
        <row r="6280">
          <cell r="C6280" t="str">
            <v>推广订单扣款</v>
          </cell>
        </row>
        <row r="6280">
          <cell r="H6280" t="str">
            <v>观桥店</v>
          </cell>
          <cell r="I6280" t="str">
            <v>2026-3-12</v>
          </cell>
          <cell r="J6280">
            <v>-108.89</v>
          </cell>
        </row>
        <row r="6281">
          <cell r="C6281" t="str">
            <v>推广订单扣款</v>
          </cell>
        </row>
        <row r="6281">
          <cell r="H6281" t="str">
            <v>海口店</v>
          </cell>
          <cell r="I6281" t="str">
            <v>2026-3-12</v>
          </cell>
          <cell r="J6281">
            <v>-300</v>
          </cell>
        </row>
        <row r="6282">
          <cell r="C6282" t="str">
            <v>推广订单扣款</v>
          </cell>
        </row>
        <row r="6282">
          <cell r="H6282" t="str">
            <v>诚毅店</v>
          </cell>
          <cell r="I6282" t="str">
            <v>2026-3-12</v>
          </cell>
          <cell r="J6282">
            <v>-121.4</v>
          </cell>
        </row>
        <row r="6283">
          <cell r="C6283" t="str">
            <v>推广订单扣款</v>
          </cell>
        </row>
        <row r="6283">
          <cell r="H6283" t="str">
            <v>首山店</v>
          </cell>
          <cell r="I6283" t="str">
            <v>2026-3-12</v>
          </cell>
          <cell r="J6283">
            <v>-69.23</v>
          </cell>
        </row>
        <row r="6284">
          <cell r="C6284" t="str">
            <v>推广订单扣款</v>
          </cell>
        </row>
        <row r="6284">
          <cell r="H6284" t="str">
            <v>首南店</v>
          </cell>
          <cell r="I6284" t="str">
            <v>2026-3-12</v>
          </cell>
          <cell r="J6284">
            <v>-130.17</v>
          </cell>
        </row>
        <row r="6285">
          <cell r="C6285" t="str">
            <v>推广订单扣款</v>
          </cell>
        </row>
        <row r="6285">
          <cell r="H6285" t="str">
            <v>余杭店</v>
          </cell>
          <cell r="I6285" t="str">
            <v>2026-3-12</v>
          </cell>
          <cell r="J6285">
            <v>-163.66</v>
          </cell>
        </row>
        <row r="6286">
          <cell r="C6286" t="str">
            <v>推广订单扣款</v>
          </cell>
        </row>
        <row r="6286">
          <cell r="H6286" t="str">
            <v>东海店</v>
          </cell>
          <cell r="I6286" t="str">
            <v>2026-3-12</v>
          </cell>
          <cell r="J6286">
            <v>-65.18</v>
          </cell>
        </row>
        <row r="6287">
          <cell r="C6287" t="str">
            <v>推广订单扣款</v>
          </cell>
        </row>
        <row r="6287">
          <cell r="H6287" t="str">
            <v>文灶店</v>
          </cell>
          <cell r="I6287" t="str">
            <v>2026-3-12</v>
          </cell>
          <cell r="J6287">
            <v>-41.67</v>
          </cell>
        </row>
        <row r="6288">
          <cell r="C6288" t="str">
            <v>推广订单扣款</v>
          </cell>
        </row>
        <row r="6288">
          <cell r="H6288" t="str">
            <v>滨江店</v>
          </cell>
          <cell r="I6288" t="str">
            <v>2026-3-12</v>
          </cell>
          <cell r="J6288">
            <v>-177.35</v>
          </cell>
        </row>
        <row r="6289">
          <cell r="C6289" t="str">
            <v>推广账户自动充值</v>
          </cell>
        </row>
        <row r="6289">
          <cell r="H6289" t="str">
            <v>下沙店</v>
          </cell>
          <cell r="I6289" t="str">
            <v>2026-3-12</v>
          </cell>
          <cell r="J6289">
            <v>100</v>
          </cell>
        </row>
        <row r="6290">
          <cell r="C6290" t="str">
            <v>推广订单扣款</v>
          </cell>
        </row>
        <row r="6290">
          <cell r="H6290" t="str">
            <v>下沙店</v>
          </cell>
          <cell r="I6290" t="str">
            <v>2026-3-12</v>
          </cell>
          <cell r="J6290">
            <v>-297.14</v>
          </cell>
        </row>
        <row r="6291">
          <cell r="C6291" t="str">
            <v>推广订单扣款</v>
          </cell>
        </row>
        <row r="6291">
          <cell r="H6291" t="str">
            <v>华信店</v>
          </cell>
          <cell r="I6291">
            <v>46093</v>
          </cell>
          <cell r="J6291">
            <v>-160</v>
          </cell>
        </row>
        <row r="6292">
          <cell r="C6292" t="str">
            <v>推广订单扣款</v>
          </cell>
        </row>
        <row r="6292">
          <cell r="H6292" t="str">
            <v>槐荫店</v>
          </cell>
          <cell r="I6292">
            <v>46093</v>
          </cell>
          <cell r="J6292">
            <v>-135</v>
          </cell>
        </row>
        <row r="6293">
          <cell r="C6293" t="str">
            <v>推广账户自动充值</v>
          </cell>
        </row>
        <row r="6293">
          <cell r="H6293" t="str">
            <v>华信店</v>
          </cell>
          <cell r="I6293">
            <v>46096</v>
          </cell>
          <cell r="J6293">
            <v>200</v>
          </cell>
        </row>
        <row r="6294">
          <cell r="C6294" t="str">
            <v>推广订单扣款</v>
          </cell>
        </row>
        <row r="6294">
          <cell r="H6294" t="str">
            <v>华信店</v>
          </cell>
          <cell r="I6294">
            <v>46096</v>
          </cell>
          <cell r="J6294">
            <v>-160</v>
          </cell>
        </row>
        <row r="6295">
          <cell r="C6295" t="str">
            <v>推广订单扣款</v>
          </cell>
        </row>
        <row r="6295">
          <cell r="H6295" t="str">
            <v>华信店</v>
          </cell>
          <cell r="I6295">
            <v>46095</v>
          </cell>
          <cell r="J6295">
            <v>-160</v>
          </cell>
        </row>
        <row r="6296">
          <cell r="C6296" t="str">
            <v>推广账户自动充值</v>
          </cell>
        </row>
        <row r="6296">
          <cell r="H6296" t="str">
            <v>华信店</v>
          </cell>
          <cell r="I6296">
            <v>46094</v>
          </cell>
          <cell r="J6296">
            <v>200</v>
          </cell>
        </row>
        <row r="6297">
          <cell r="C6297" t="str">
            <v>推广订单扣款</v>
          </cell>
        </row>
        <row r="6297">
          <cell r="H6297" t="str">
            <v>华信店</v>
          </cell>
          <cell r="I6297">
            <v>46094</v>
          </cell>
          <cell r="J6297">
            <v>-160</v>
          </cell>
        </row>
        <row r="6298">
          <cell r="C6298" t="str">
            <v>推广订单扣款</v>
          </cell>
        </row>
        <row r="6298">
          <cell r="H6298" t="str">
            <v>槐荫店</v>
          </cell>
          <cell r="I6298">
            <v>46096</v>
          </cell>
          <cell r="J6298">
            <v>-135</v>
          </cell>
        </row>
        <row r="6299">
          <cell r="C6299" t="str">
            <v>推广账户自动充值</v>
          </cell>
        </row>
        <row r="6299">
          <cell r="H6299" t="str">
            <v>槐荫店</v>
          </cell>
          <cell r="I6299">
            <v>46095</v>
          </cell>
          <cell r="J6299">
            <v>200</v>
          </cell>
        </row>
        <row r="6300">
          <cell r="C6300" t="str">
            <v>推广订单扣款</v>
          </cell>
        </row>
        <row r="6300">
          <cell r="H6300" t="str">
            <v>槐荫店</v>
          </cell>
          <cell r="I6300">
            <v>46095</v>
          </cell>
          <cell r="J6300">
            <v>-135</v>
          </cell>
        </row>
        <row r="6301">
          <cell r="C6301" t="str">
            <v>推广账户自动充值</v>
          </cell>
        </row>
        <row r="6301">
          <cell r="H6301" t="str">
            <v>槐荫店</v>
          </cell>
          <cell r="I6301">
            <v>46094</v>
          </cell>
          <cell r="J6301">
            <v>200</v>
          </cell>
        </row>
        <row r="6302">
          <cell r="C6302" t="str">
            <v>推广订单扣款</v>
          </cell>
        </row>
        <row r="6302">
          <cell r="H6302" t="str">
            <v>槐荫店</v>
          </cell>
          <cell r="I6302">
            <v>46094</v>
          </cell>
          <cell r="J6302">
            <v>-135</v>
          </cell>
        </row>
        <row r="6303">
          <cell r="C6303" t="str">
            <v>推广订单扣款</v>
          </cell>
        </row>
        <row r="6303">
          <cell r="H6303" t="str">
            <v>湖里店</v>
          </cell>
          <cell r="I6303">
            <v>46096</v>
          </cell>
          <cell r="J6303">
            <v>-77.99</v>
          </cell>
        </row>
        <row r="6304">
          <cell r="C6304" t="str">
            <v>推广账户自动充值</v>
          </cell>
        </row>
        <row r="6304">
          <cell r="H6304" t="str">
            <v>湖里店</v>
          </cell>
          <cell r="I6304">
            <v>46095</v>
          </cell>
          <cell r="J6304">
            <v>200</v>
          </cell>
        </row>
        <row r="6305">
          <cell r="C6305" t="str">
            <v>推广订单扣款</v>
          </cell>
        </row>
        <row r="6305">
          <cell r="H6305" t="str">
            <v>湖里店</v>
          </cell>
          <cell r="I6305">
            <v>46095</v>
          </cell>
          <cell r="J6305">
            <v>-141.12</v>
          </cell>
        </row>
        <row r="6306">
          <cell r="C6306" t="str">
            <v>推广订单扣款</v>
          </cell>
        </row>
        <row r="6306">
          <cell r="H6306" t="str">
            <v>湖里店</v>
          </cell>
          <cell r="I6306">
            <v>46094</v>
          </cell>
          <cell r="J6306">
            <v>-110.87</v>
          </cell>
        </row>
        <row r="6307">
          <cell r="C6307" t="str">
            <v>推广订单扣款</v>
          </cell>
        </row>
        <row r="6307">
          <cell r="H6307" t="str">
            <v>东新店</v>
          </cell>
          <cell r="I6307">
            <v>46096</v>
          </cell>
          <cell r="J6307">
            <v>-116.01</v>
          </cell>
        </row>
        <row r="6308">
          <cell r="C6308" t="str">
            <v>推广账户自动充值</v>
          </cell>
        </row>
        <row r="6308">
          <cell r="H6308" t="str">
            <v>东新店</v>
          </cell>
          <cell r="I6308">
            <v>46095</v>
          </cell>
          <cell r="J6308">
            <v>200</v>
          </cell>
        </row>
        <row r="6309">
          <cell r="C6309" t="str">
            <v>推广订单扣款</v>
          </cell>
        </row>
        <row r="6309">
          <cell r="H6309" t="str">
            <v>东新店</v>
          </cell>
          <cell r="I6309">
            <v>46095</v>
          </cell>
          <cell r="J6309">
            <v>-141.71</v>
          </cell>
        </row>
        <row r="6310">
          <cell r="C6310" t="str">
            <v>推广订单扣款</v>
          </cell>
        </row>
        <row r="6310">
          <cell r="H6310" t="str">
            <v>东新店</v>
          </cell>
          <cell r="I6310">
            <v>46094</v>
          </cell>
          <cell r="J6310">
            <v>-101.61</v>
          </cell>
        </row>
        <row r="6311">
          <cell r="C6311" t="str">
            <v>推广账户自动充值</v>
          </cell>
        </row>
        <row r="6311">
          <cell r="H6311" t="str">
            <v>泉秀店</v>
          </cell>
          <cell r="I6311">
            <v>46096</v>
          </cell>
          <cell r="J6311">
            <v>200</v>
          </cell>
        </row>
        <row r="6312">
          <cell r="C6312" t="str">
            <v>推广订单扣款</v>
          </cell>
        </row>
        <row r="6312">
          <cell r="H6312" t="str">
            <v>泉秀店</v>
          </cell>
          <cell r="I6312">
            <v>46096</v>
          </cell>
          <cell r="J6312">
            <v>-171.31</v>
          </cell>
        </row>
        <row r="6313">
          <cell r="C6313" t="str">
            <v>推广订单扣款</v>
          </cell>
        </row>
        <row r="6313">
          <cell r="H6313" t="str">
            <v>泉秀店</v>
          </cell>
          <cell r="I6313">
            <v>46095</v>
          </cell>
          <cell r="J6313">
            <v>-200</v>
          </cell>
        </row>
        <row r="6314">
          <cell r="C6314" t="str">
            <v>推广账户自动充值</v>
          </cell>
        </row>
        <row r="6314">
          <cell r="H6314" t="str">
            <v>泉秀店</v>
          </cell>
          <cell r="I6314">
            <v>46094</v>
          </cell>
          <cell r="J6314">
            <v>200</v>
          </cell>
        </row>
        <row r="6315">
          <cell r="C6315" t="str">
            <v>推广订单扣款</v>
          </cell>
        </row>
        <row r="6315">
          <cell r="H6315" t="str">
            <v>泉秀店</v>
          </cell>
          <cell r="I6315">
            <v>46094</v>
          </cell>
          <cell r="J6315">
            <v>-162.94</v>
          </cell>
        </row>
        <row r="6316">
          <cell r="C6316" t="str">
            <v>推广订单扣款</v>
          </cell>
        </row>
        <row r="6316">
          <cell r="H6316" t="str">
            <v>启点店</v>
          </cell>
          <cell r="I6316">
            <v>46096</v>
          </cell>
          <cell r="J6316">
            <v>-125.61</v>
          </cell>
        </row>
        <row r="6317">
          <cell r="C6317" t="str">
            <v>推广订单扣款</v>
          </cell>
        </row>
        <row r="6317">
          <cell r="H6317" t="str">
            <v>启点店</v>
          </cell>
          <cell r="I6317">
            <v>46095</v>
          </cell>
          <cell r="J6317">
            <v>-132.67</v>
          </cell>
        </row>
        <row r="6318">
          <cell r="C6318" t="str">
            <v>推广账户自动充值</v>
          </cell>
        </row>
        <row r="6318">
          <cell r="H6318" t="str">
            <v>启点店</v>
          </cell>
          <cell r="I6318">
            <v>46094</v>
          </cell>
          <cell r="J6318">
            <v>200</v>
          </cell>
        </row>
        <row r="6319">
          <cell r="C6319" t="str">
            <v>推广订单扣款</v>
          </cell>
        </row>
        <row r="6319">
          <cell r="H6319" t="str">
            <v>启点店</v>
          </cell>
          <cell r="I6319">
            <v>46094</v>
          </cell>
          <cell r="J6319">
            <v>-72.13</v>
          </cell>
        </row>
        <row r="6320">
          <cell r="C6320" t="str">
            <v>推广订单扣款</v>
          </cell>
        </row>
        <row r="6320">
          <cell r="H6320" t="str">
            <v>高新店</v>
          </cell>
          <cell r="I6320">
            <v>46096</v>
          </cell>
          <cell r="J6320">
            <v>-42.93</v>
          </cell>
        </row>
        <row r="6321">
          <cell r="C6321" t="str">
            <v>推广账户自动充值</v>
          </cell>
        </row>
        <row r="6321">
          <cell r="H6321" t="str">
            <v>高新店</v>
          </cell>
          <cell r="I6321">
            <v>46095</v>
          </cell>
          <cell r="J6321">
            <v>200</v>
          </cell>
        </row>
        <row r="6322">
          <cell r="C6322" t="str">
            <v>推广订单扣款</v>
          </cell>
        </row>
        <row r="6322">
          <cell r="H6322" t="str">
            <v>高新店</v>
          </cell>
          <cell r="I6322">
            <v>46095</v>
          </cell>
          <cell r="J6322">
            <v>-76.24</v>
          </cell>
        </row>
        <row r="6323">
          <cell r="C6323" t="str">
            <v>推广订单扣款</v>
          </cell>
        </row>
        <row r="6323">
          <cell r="H6323" t="str">
            <v>高新店</v>
          </cell>
          <cell r="I6323">
            <v>46094</v>
          </cell>
          <cell r="J6323">
            <v>-81.96</v>
          </cell>
        </row>
        <row r="6324">
          <cell r="C6324" t="str">
            <v>推广订单扣款</v>
          </cell>
        </row>
        <row r="6324">
          <cell r="H6324" t="str">
            <v>成华店</v>
          </cell>
          <cell r="I6324">
            <v>46096</v>
          </cell>
          <cell r="J6324">
            <v>-43.68</v>
          </cell>
        </row>
        <row r="6325">
          <cell r="C6325" t="str">
            <v>推广账户自动充值</v>
          </cell>
        </row>
        <row r="6325">
          <cell r="H6325" t="str">
            <v>成华店</v>
          </cell>
          <cell r="I6325">
            <v>46095</v>
          </cell>
          <cell r="J6325">
            <v>200</v>
          </cell>
        </row>
        <row r="6326">
          <cell r="C6326" t="str">
            <v>推广订单扣款</v>
          </cell>
        </row>
        <row r="6326">
          <cell r="H6326" t="str">
            <v>成华店</v>
          </cell>
          <cell r="I6326">
            <v>46095</v>
          </cell>
          <cell r="J6326">
            <v>-49.78</v>
          </cell>
        </row>
        <row r="6327">
          <cell r="C6327" t="str">
            <v>推广订单扣款</v>
          </cell>
        </row>
        <row r="6327">
          <cell r="H6327" t="str">
            <v>成华店</v>
          </cell>
          <cell r="I6327">
            <v>46094</v>
          </cell>
          <cell r="J6327">
            <v>-34.87</v>
          </cell>
        </row>
        <row r="6328">
          <cell r="C6328" t="str">
            <v>推广账户自动充值</v>
          </cell>
        </row>
        <row r="6328">
          <cell r="H6328" t="str">
            <v>金牛店</v>
          </cell>
          <cell r="I6328">
            <v>46096</v>
          </cell>
          <cell r="J6328">
            <v>200</v>
          </cell>
        </row>
        <row r="6329">
          <cell r="C6329" t="str">
            <v>推广订单扣款</v>
          </cell>
        </row>
        <row r="6329">
          <cell r="H6329" t="str">
            <v>金牛店</v>
          </cell>
          <cell r="I6329">
            <v>46096</v>
          </cell>
          <cell r="J6329">
            <v>-28.76</v>
          </cell>
        </row>
        <row r="6330">
          <cell r="C6330" t="str">
            <v>推广订单扣款</v>
          </cell>
        </row>
        <row r="6330">
          <cell r="H6330" t="str">
            <v>金牛店</v>
          </cell>
          <cell r="I6330">
            <v>46095</v>
          </cell>
          <cell r="J6330">
            <v>-33.27</v>
          </cell>
        </row>
        <row r="6331">
          <cell r="C6331" t="str">
            <v>推广订单扣款</v>
          </cell>
        </row>
        <row r="6331">
          <cell r="H6331" t="str">
            <v>金牛店</v>
          </cell>
          <cell r="I6331">
            <v>46094</v>
          </cell>
          <cell r="J6331">
            <v>-42.2</v>
          </cell>
        </row>
        <row r="6332">
          <cell r="C6332" t="str">
            <v>推广订单扣款</v>
          </cell>
        </row>
        <row r="6332">
          <cell r="H6332" t="str">
            <v>西山店</v>
          </cell>
          <cell r="I6332">
            <v>46096</v>
          </cell>
          <cell r="J6332">
            <v>-76.2</v>
          </cell>
        </row>
        <row r="6333">
          <cell r="C6333" t="str">
            <v>推广订单扣款</v>
          </cell>
        </row>
        <row r="6333">
          <cell r="H6333" t="str">
            <v>西山店</v>
          </cell>
          <cell r="I6333">
            <v>46095</v>
          </cell>
          <cell r="J6333">
            <v>-78.02</v>
          </cell>
        </row>
        <row r="6334">
          <cell r="C6334" t="str">
            <v>推广订单扣款</v>
          </cell>
        </row>
        <row r="6334">
          <cell r="H6334" t="str">
            <v>西山店</v>
          </cell>
          <cell r="I6334">
            <v>46094</v>
          </cell>
          <cell r="J6334">
            <v>-68.72</v>
          </cell>
        </row>
        <row r="6335">
          <cell r="C6335" t="str">
            <v>推广订单扣款</v>
          </cell>
        </row>
        <row r="6335">
          <cell r="H6335" t="str">
            <v>沙坪坝店</v>
          </cell>
          <cell r="I6335">
            <v>46096</v>
          </cell>
          <cell r="J6335">
            <v>-165</v>
          </cell>
        </row>
        <row r="6336">
          <cell r="C6336" t="str">
            <v>推广订单扣款</v>
          </cell>
        </row>
        <row r="6336">
          <cell r="H6336" t="str">
            <v>沙坪坝店</v>
          </cell>
          <cell r="I6336">
            <v>46095</v>
          </cell>
          <cell r="J6336">
            <v>-171.91</v>
          </cell>
        </row>
        <row r="6337">
          <cell r="C6337" t="str">
            <v>推广账户自动充值</v>
          </cell>
        </row>
        <row r="6337">
          <cell r="H6337" t="str">
            <v>沙坪坝店</v>
          </cell>
          <cell r="I6337">
            <v>46094</v>
          </cell>
          <cell r="J6337">
            <v>200</v>
          </cell>
        </row>
        <row r="6338">
          <cell r="C6338" t="str">
            <v>推广订单扣款</v>
          </cell>
        </row>
        <row r="6338">
          <cell r="H6338" t="str">
            <v>沙坪坝店</v>
          </cell>
          <cell r="I6338">
            <v>46094</v>
          </cell>
          <cell r="J6338">
            <v>-177.02</v>
          </cell>
        </row>
        <row r="6339">
          <cell r="C6339" t="str">
            <v>推广订单扣款</v>
          </cell>
        </row>
        <row r="6339">
          <cell r="H6339" t="str">
            <v>凤城二路店</v>
          </cell>
          <cell r="I6339">
            <v>46096</v>
          </cell>
          <cell r="J6339">
            <v>-123.94</v>
          </cell>
        </row>
        <row r="6340">
          <cell r="C6340" t="str">
            <v>推广订单扣款</v>
          </cell>
        </row>
        <row r="6340">
          <cell r="H6340" t="str">
            <v>凤城二路店</v>
          </cell>
          <cell r="I6340">
            <v>46095</v>
          </cell>
          <cell r="J6340">
            <v>-143.29</v>
          </cell>
        </row>
        <row r="6341">
          <cell r="C6341" t="str">
            <v>推广账户自动充值</v>
          </cell>
        </row>
        <row r="6341">
          <cell r="H6341" t="str">
            <v>凤城二路店</v>
          </cell>
          <cell r="I6341">
            <v>46094</v>
          </cell>
          <cell r="J6341">
            <v>200</v>
          </cell>
        </row>
        <row r="6342">
          <cell r="C6342" t="str">
            <v>推广订单扣款</v>
          </cell>
        </row>
        <row r="6342">
          <cell r="H6342" t="str">
            <v>凤城二路店</v>
          </cell>
          <cell r="I6342">
            <v>46094</v>
          </cell>
          <cell r="J6342">
            <v>-164.42</v>
          </cell>
        </row>
        <row r="6343">
          <cell r="C6343" t="str">
            <v>推广订单扣款</v>
          </cell>
        </row>
        <row r="6343">
          <cell r="H6343" t="str">
            <v>大坪店</v>
          </cell>
          <cell r="I6343">
            <v>46096</v>
          </cell>
          <cell r="J6343">
            <v>-105.33</v>
          </cell>
        </row>
        <row r="6344">
          <cell r="C6344" t="str">
            <v>推广账户自动充值</v>
          </cell>
        </row>
        <row r="6344">
          <cell r="H6344" t="str">
            <v>大坪店</v>
          </cell>
          <cell r="I6344">
            <v>46095</v>
          </cell>
          <cell r="J6344">
            <v>200</v>
          </cell>
        </row>
        <row r="6345">
          <cell r="C6345" t="str">
            <v>推广订单扣款</v>
          </cell>
        </row>
        <row r="6345">
          <cell r="H6345" t="str">
            <v>大坪店</v>
          </cell>
          <cell r="I6345">
            <v>46095</v>
          </cell>
          <cell r="J6345">
            <v>-136.83</v>
          </cell>
        </row>
        <row r="6346">
          <cell r="C6346" t="str">
            <v>推广订单扣款</v>
          </cell>
        </row>
        <row r="6346">
          <cell r="H6346" t="str">
            <v>大坪店</v>
          </cell>
          <cell r="I6346">
            <v>46094</v>
          </cell>
          <cell r="J6346">
            <v>-184.51</v>
          </cell>
        </row>
        <row r="6347">
          <cell r="C6347" t="str">
            <v>推广订单扣款</v>
          </cell>
        </row>
        <row r="6347">
          <cell r="H6347" t="str">
            <v>五华店</v>
          </cell>
          <cell r="I6347">
            <v>46096</v>
          </cell>
          <cell r="J6347">
            <v>-125.57</v>
          </cell>
        </row>
        <row r="6348">
          <cell r="C6348" t="str">
            <v>推广账户自动充值</v>
          </cell>
        </row>
        <row r="6348">
          <cell r="H6348" t="str">
            <v>五华店</v>
          </cell>
          <cell r="I6348">
            <v>46095</v>
          </cell>
          <cell r="J6348">
            <v>200</v>
          </cell>
        </row>
        <row r="6349">
          <cell r="C6349" t="str">
            <v>推广订单扣款</v>
          </cell>
        </row>
        <row r="6349">
          <cell r="H6349" t="str">
            <v>五华店</v>
          </cell>
          <cell r="I6349">
            <v>46095</v>
          </cell>
          <cell r="J6349">
            <v>-159.14</v>
          </cell>
        </row>
        <row r="6350">
          <cell r="C6350" t="str">
            <v>推广账户自动充值</v>
          </cell>
        </row>
        <row r="6350">
          <cell r="H6350" t="str">
            <v>五华店</v>
          </cell>
          <cell r="I6350">
            <v>46094</v>
          </cell>
          <cell r="J6350">
            <v>200</v>
          </cell>
        </row>
        <row r="6351">
          <cell r="C6351" t="str">
            <v>推广订单扣款</v>
          </cell>
        </row>
        <row r="6351">
          <cell r="H6351" t="str">
            <v>五华店</v>
          </cell>
          <cell r="I6351">
            <v>46094</v>
          </cell>
          <cell r="J6351">
            <v>-113.55</v>
          </cell>
        </row>
        <row r="6352">
          <cell r="C6352" t="str">
            <v>推广订单扣款</v>
          </cell>
        </row>
        <row r="6352">
          <cell r="H6352" t="str">
            <v>官渡店</v>
          </cell>
          <cell r="I6352">
            <v>46096</v>
          </cell>
          <cell r="J6352">
            <v>-100.83</v>
          </cell>
        </row>
        <row r="6353">
          <cell r="C6353" t="str">
            <v>推广账户自动充值</v>
          </cell>
        </row>
        <row r="6353">
          <cell r="H6353" t="str">
            <v>官渡店</v>
          </cell>
          <cell r="I6353">
            <v>46095</v>
          </cell>
          <cell r="J6353">
            <v>200</v>
          </cell>
        </row>
        <row r="6354">
          <cell r="C6354" t="str">
            <v>推广订单扣款</v>
          </cell>
        </row>
        <row r="6354">
          <cell r="H6354" t="str">
            <v>官渡店</v>
          </cell>
          <cell r="I6354">
            <v>46095</v>
          </cell>
          <cell r="J6354">
            <v>-155.17</v>
          </cell>
        </row>
        <row r="6355">
          <cell r="C6355" t="str">
            <v>推广账户自动充值</v>
          </cell>
        </row>
        <row r="6355">
          <cell r="H6355" t="str">
            <v>官渡店</v>
          </cell>
          <cell r="I6355">
            <v>46094</v>
          </cell>
          <cell r="J6355">
            <v>200</v>
          </cell>
        </row>
        <row r="6356">
          <cell r="C6356" t="str">
            <v>推广订单扣款</v>
          </cell>
        </row>
        <row r="6356">
          <cell r="H6356" t="str">
            <v>官渡店</v>
          </cell>
          <cell r="I6356">
            <v>46094</v>
          </cell>
          <cell r="J6356">
            <v>-199.15</v>
          </cell>
        </row>
        <row r="6357">
          <cell r="C6357" t="str">
            <v>推广订单扣款</v>
          </cell>
        </row>
        <row r="6357">
          <cell r="H6357" t="str">
            <v>百捷店</v>
          </cell>
          <cell r="I6357">
            <v>46096</v>
          </cell>
          <cell r="J6357">
            <v>-109.78</v>
          </cell>
        </row>
        <row r="6358">
          <cell r="C6358" t="str">
            <v>推广订单扣款</v>
          </cell>
        </row>
        <row r="6358">
          <cell r="H6358" t="str">
            <v>百捷店</v>
          </cell>
          <cell r="I6358">
            <v>46095</v>
          </cell>
          <cell r="J6358">
            <v>-130.07</v>
          </cell>
        </row>
        <row r="6359">
          <cell r="C6359" t="str">
            <v>推广账户自动充值</v>
          </cell>
        </row>
        <row r="6359">
          <cell r="H6359" t="str">
            <v>百捷店</v>
          </cell>
          <cell r="I6359">
            <v>46094</v>
          </cell>
          <cell r="J6359">
            <v>200</v>
          </cell>
        </row>
        <row r="6360">
          <cell r="C6360" t="str">
            <v>推广订单扣款</v>
          </cell>
        </row>
        <row r="6360">
          <cell r="H6360" t="str">
            <v>百捷店</v>
          </cell>
          <cell r="I6360">
            <v>46094</v>
          </cell>
          <cell r="J6360">
            <v>-136.4</v>
          </cell>
        </row>
        <row r="6361">
          <cell r="C6361" t="str">
            <v>推广订单扣款</v>
          </cell>
        </row>
        <row r="6361">
          <cell r="H6361" t="str">
            <v>济南店</v>
          </cell>
          <cell r="I6361">
            <v>46096</v>
          </cell>
          <cell r="J6361">
            <v>-126.76</v>
          </cell>
        </row>
        <row r="6362">
          <cell r="C6362" t="str">
            <v>推广账户自动充值</v>
          </cell>
        </row>
        <row r="6362">
          <cell r="H6362" t="str">
            <v>济南店</v>
          </cell>
          <cell r="I6362">
            <v>46095</v>
          </cell>
          <cell r="J6362">
            <v>200</v>
          </cell>
        </row>
        <row r="6363">
          <cell r="C6363" t="str">
            <v>推广订单扣款</v>
          </cell>
        </row>
        <row r="6363">
          <cell r="H6363" t="str">
            <v>济南店</v>
          </cell>
          <cell r="I6363">
            <v>46095</v>
          </cell>
          <cell r="J6363">
            <v>-145.16</v>
          </cell>
        </row>
        <row r="6364">
          <cell r="C6364" t="str">
            <v>推广订单扣款</v>
          </cell>
        </row>
        <row r="6364">
          <cell r="H6364" t="str">
            <v>济南店</v>
          </cell>
          <cell r="I6364">
            <v>46094</v>
          </cell>
          <cell r="J6364">
            <v>-124.48</v>
          </cell>
        </row>
        <row r="6365">
          <cell r="C6365" t="str">
            <v>推广订单扣款</v>
          </cell>
        </row>
        <row r="6365">
          <cell r="H6365" t="str">
            <v>观音桥店</v>
          </cell>
          <cell r="I6365">
            <v>46096</v>
          </cell>
          <cell r="J6365">
            <v>-97.28</v>
          </cell>
        </row>
        <row r="6366">
          <cell r="C6366" t="str">
            <v>推广账户自动充值</v>
          </cell>
        </row>
        <row r="6366">
          <cell r="H6366" t="str">
            <v>观音桥店</v>
          </cell>
          <cell r="I6366">
            <v>46095</v>
          </cell>
          <cell r="J6366">
            <v>200</v>
          </cell>
        </row>
        <row r="6367">
          <cell r="C6367" t="str">
            <v>推广订单扣款</v>
          </cell>
        </row>
        <row r="6367">
          <cell r="H6367" t="str">
            <v>观音桥店</v>
          </cell>
          <cell r="I6367">
            <v>46095</v>
          </cell>
          <cell r="J6367">
            <v>-112.26</v>
          </cell>
        </row>
        <row r="6368">
          <cell r="C6368" t="str">
            <v>推广账户自动充值</v>
          </cell>
        </row>
        <row r="6368">
          <cell r="H6368" t="str">
            <v>观音桥店</v>
          </cell>
          <cell r="I6368">
            <v>46094</v>
          </cell>
          <cell r="J6368">
            <v>200</v>
          </cell>
        </row>
        <row r="6369">
          <cell r="C6369" t="str">
            <v>推广订单扣款</v>
          </cell>
        </row>
        <row r="6369">
          <cell r="H6369" t="str">
            <v>观音桥店</v>
          </cell>
          <cell r="I6369">
            <v>46094</v>
          </cell>
          <cell r="J6369">
            <v>-97.12</v>
          </cell>
        </row>
        <row r="6370">
          <cell r="C6370" t="str">
            <v>推广订单扣款</v>
          </cell>
        </row>
        <row r="6370">
          <cell r="H6370" t="str">
            <v>长沙店</v>
          </cell>
          <cell r="I6370">
            <v>46096</v>
          </cell>
          <cell r="J6370">
            <v>-113.5</v>
          </cell>
        </row>
        <row r="6371">
          <cell r="C6371" t="str">
            <v>推广账户自动充值</v>
          </cell>
        </row>
        <row r="6371">
          <cell r="H6371" t="str">
            <v>长沙店</v>
          </cell>
          <cell r="I6371">
            <v>46095</v>
          </cell>
          <cell r="J6371">
            <v>200</v>
          </cell>
        </row>
        <row r="6372">
          <cell r="C6372" t="str">
            <v>推广订单扣款</v>
          </cell>
        </row>
        <row r="6372">
          <cell r="H6372" t="str">
            <v>长沙店</v>
          </cell>
          <cell r="I6372">
            <v>46095</v>
          </cell>
          <cell r="J6372">
            <v>-67.81</v>
          </cell>
        </row>
        <row r="6373">
          <cell r="C6373" t="str">
            <v>推广订单扣款</v>
          </cell>
        </row>
        <row r="6373">
          <cell r="H6373" t="str">
            <v>长沙店</v>
          </cell>
          <cell r="I6373">
            <v>46094</v>
          </cell>
          <cell r="J6373">
            <v>-89.8</v>
          </cell>
        </row>
        <row r="6374">
          <cell r="C6374" t="str">
            <v>推广订单扣款</v>
          </cell>
        </row>
        <row r="6374">
          <cell r="H6374" t="str">
            <v>洛江店</v>
          </cell>
          <cell r="I6374">
            <v>46096</v>
          </cell>
          <cell r="J6374">
            <v>-147.08</v>
          </cell>
        </row>
        <row r="6375">
          <cell r="C6375" t="str">
            <v>推广账户自动充值</v>
          </cell>
        </row>
        <row r="6375">
          <cell r="H6375" t="str">
            <v>洛江店</v>
          </cell>
          <cell r="I6375">
            <v>46095</v>
          </cell>
          <cell r="J6375">
            <v>200</v>
          </cell>
        </row>
        <row r="6376">
          <cell r="C6376" t="str">
            <v>推广订单扣款</v>
          </cell>
        </row>
        <row r="6376">
          <cell r="H6376" t="str">
            <v>洛江店</v>
          </cell>
          <cell r="I6376">
            <v>46094</v>
          </cell>
          <cell r="J6376">
            <v>-93.62</v>
          </cell>
        </row>
        <row r="6377">
          <cell r="C6377" t="str">
            <v>推广订单扣款</v>
          </cell>
        </row>
        <row r="6377">
          <cell r="H6377" t="str">
            <v>五路口店</v>
          </cell>
          <cell r="I6377">
            <v>46096</v>
          </cell>
          <cell r="J6377">
            <v>-59.7</v>
          </cell>
        </row>
        <row r="6378">
          <cell r="C6378" t="str">
            <v>推广订单扣款</v>
          </cell>
        </row>
        <row r="6378">
          <cell r="H6378" t="str">
            <v>五路口店</v>
          </cell>
          <cell r="I6378">
            <v>46095</v>
          </cell>
          <cell r="J6378">
            <v>-96.89</v>
          </cell>
        </row>
        <row r="6379">
          <cell r="C6379" t="str">
            <v>推广账户自动充值</v>
          </cell>
        </row>
        <row r="6379">
          <cell r="H6379" t="str">
            <v>五路口店</v>
          </cell>
          <cell r="I6379">
            <v>46094</v>
          </cell>
          <cell r="J6379">
            <v>200</v>
          </cell>
        </row>
        <row r="6380">
          <cell r="C6380" t="str">
            <v>推广订单扣款</v>
          </cell>
        </row>
        <row r="6380">
          <cell r="H6380" t="str">
            <v>五路口店</v>
          </cell>
          <cell r="I6380">
            <v>46094</v>
          </cell>
          <cell r="J6380">
            <v>-105.44</v>
          </cell>
        </row>
        <row r="6381">
          <cell r="C6381" t="str">
            <v>推广订单扣款</v>
          </cell>
        </row>
        <row r="6381">
          <cell r="H6381" t="str">
            <v>青羊店</v>
          </cell>
          <cell r="I6381">
            <v>46096</v>
          </cell>
          <cell r="J6381">
            <v>-31.3</v>
          </cell>
        </row>
        <row r="6382">
          <cell r="C6382" t="str">
            <v>推广订单扣款</v>
          </cell>
        </row>
        <row r="6382">
          <cell r="H6382" t="str">
            <v>青羊店</v>
          </cell>
          <cell r="I6382">
            <v>46095</v>
          </cell>
          <cell r="J6382">
            <v>-20.15</v>
          </cell>
        </row>
        <row r="6383">
          <cell r="C6383" t="str">
            <v>推广订单扣款</v>
          </cell>
        </row>
        <row r="6383">
          <cell r="H6383" t="str">
            <v>青羊店</v>
          </cell>
          <cell r="I6383">
            <v>46094</v>
          </cell>
          <cell r="J6383">
            <v>-35.68</v>
          </cell>
        </row>
        <row r="6384">
          <cell r="C6384" t="str">
            <v>推广订单扣款</v>
          </cell>
        </row>
        <row r="6384">
          <cell r="H6384" t="str">
            <v>武侯店</v>
          </cell>
          <cell r="I6384">
            <v>46096</v>
          </cell>
          <cell r="J6384">
            <v>-64.1</v>
          </cell>
        </row>
        <row r="6385">
          <cell r="C6385" t="str">
            <v>推广订单扣款</v>
          </cell>
        </row>
        <row r="6385">
          <cell r="H6385" t="str">
            <v>武侯店</v>
          </cell>
          <cell r="I6385">
            <v>46095</v>
          </cell>
          <cell r="J6385">
            <v>-53.43</v>
          </cell>
        </row>
        <row r="6386">
          <cell r="C6386" t="str">
            <v>推广账户自动充值</v>
          </cell>
        </row>
        <row r="6386">
          <cell r="H6386" t="str">
            <v>武侯店</v>
          </cell>
          <cell r="I6386">
            <v>46094</v>
          </cell>
          <cell r="J6386">
            <v>200</v>
          </cell>
        </row>
        <row r="6387">
          <cell r="C6387" t="str">
            <v>推广订单扣款</v>
          </cell>
        </row>
        <row r="6387">
          <cell r="H6387" t="str">
            <v>武侯店</v>
          </cell>
          <cell r="I6387">
            <v>46094</v>
          </cell>
          <cell r="J6387">
            <v>-83.98</v>
          </cell>
        </row>
        <row r="6388">
          <cell r="C6388" t="str">
            <v>推广订单扣款</v>
          </cell>
        </row>
        <row r="6388">
          <cell r="H6388" t="str">
            <v>鼓楼店</v>
          </cell>
          <cell r="I6388">
            <v>46096</v>
          </cell>
          <cell r="J6388">
            <v>-200</v>
          </cell>
        </row>
        <row r="6389">
          <cell r="C6389" t="str">
            <v>推广账户自动充值</v>
          </cell>
        </row>
        <row r="6389">
          <cell r="H6389" t="str">
            <v>鼓楼店</v>
          </cell>
          <cell r="I6389">
            <v>46095</v>
          </cell>
          <cell r="J6389">
            <v>200</v>
          </cell>
        </row>
        <row r="6390">
          <cell r="C6390" t="str">
            <v>推广订单扣款</v>
          </cell>
        </row>
        <row r="6390">
          <cell r="H6390" t="str">
            <v>鼓楼店</v>
          </cell>
          <cell r="I6390">
            <v>46095</v>
          </cell>
          <cell r="J6390">
            <v>-200</v>
          </cell>
        </row>
        <row r="6391">
          <cell r="C6391" t="str">
            <v>推广账户自动充值</v>
          </cell>
        </row>
        <row r="6391">
          <cell r="H6391" t="str">
            <v>鼓楼店</v>
          </cell>
          <cell r="I6391">
            <v>46094</v>
          </cell>
          <cell r="J6391">
            <v>200</v>
          </cell>
        </row>
        <row r="6392">
          <cell r="C6392" t="str">
            <v>推广订单扣款</v>
          </cell>
        </row>
        <row r="6392">
          <cell r="H6392" t="str">
            <v>鼓楼店</v>
          </cell>
          <cell r="I6392">
            <v>46094</v>
          </cell>
          <cell r="J6392">
            <v>-200</v>
          </cell>
        </row>
        <row r="6393">
          <cell r="C6393" t="str">
            <v>推广订单扣款</v>
          </cell>
        </row>
        <row r="6393">
          <cell r="H6393" t="str">
            <v>黄雁村店</v>
          </cell>
          <cell r="I6393">
            <v>46096</v>
          </cell>
          <cell r="J6393">
            <v>-100.31</v>
          </cell>
        </row>
        <row r="6394">
          <cell r="C6394" t="str">
            <v>推广账户自动充值</v>
          </cell>
        </row>
        <row r="6394">
          <cell r="H6394" t="str">
            <v>黄雁村店</v>
          </cell>
          <cell r="I6394">
            <v>46095</v>
          </cell>
          <cell r="J6394">
            <v>200</v>
          </cell>
        </row>
        <row r="6395">
          <cell r="C6395" t="str">
            <v>推广订单扣款</v>
          </cell>
        </row>
        <row r="6395">
          <cell r="H6395" t="str">
            <v>黄雁村店</v>
          </cell>
          <cell r="I6395">
            <v>46095</v>
          </cell>
          <cell r="J6395">
            <v>-119.14</v>
          </cell>
        </row>
        <row r="6396">
          <cell r="C6396" t="str">
            <v>推广订单扣款</v>
          </cell>
        </row>
        <row r="6396">
          <cell r="H6396" t="str">
            <v>黄雁村店</v>
          </cell>
          <cell r="I6396">
            <v>46094</v>
          </cell>
          <cell r="J6396">
            <v>-124.46</v>
          </cell>
        </row>
        <row r="6397">
          <cell r="C6397" t="str">
            <v>推广订单扣款</v>
          </cell>
        </row>
        <row r="6397">
          <cell r="H6397" t="str">
            <v>西湖店</v>
          </cell>
          <cell r="I6397">
            <v>46096</v>
          </cell>
          <cell r="J6397">
            <v>-126.65</v>
          </cell>
        </row>
        <row r="6398">
          <cell r="C6398" t="str">
            <v>推广订单扣款</v>
          </cell>
        </row>
        <row r="6398">
          <cell r="H6398" t="str">
            <v>西湖店</v>
          </cell>
          <cell r="I6398">
            <v>46095</v>
          </cell>
          <cell r="J6398">
            <v>-157.08</v>
          </cell>
        </row>
        <row r="6399">
          <cell r="C6399" t="str">
            <v>推广账户自动充值</v>
          </cell>
        </row>
        <row r="6399">
          <cell r="H6399" t="str">
            <v>西湖店</v>
          </cell>
          <cell r="I6399">
            <v>46094</v>
          </cell>
          <cell r="J6399">
            <v>200</v>
          </cell>
        </row>
        <row r="6400">
          <cell r="C6400" t="str">
            <v>推广订单扣款</v>
          </cell>
        </row>
        <row r="6400">
          <cell r="H6400" t="str">
            <v>西湖店</v>
          </cell>
          <cell r="I6400">
            <v>46094</v>
          </cell>
          <cell r="J6400">
            <v>-146.96</v>
          </cell>
        </row>
        <row r="6401">
          <cell r="C6401" t="str">
            <v>推广订单扣款</v>
          </cell>
        </row>
        <row r="6401">
          <cell r="H6401" t="str">
            <v>百丈店</v>
          </cell>
          <cell r="I6401">
            <v>46096</v>
          </cell>
          <cell r="J6401">
            <v>-151.23</v>
          </cell>
        </row>
        <row r="6402">
          <cell r="C6402" t="str">
            <v>推广账户自动充值</v>
          </cell>
        </row>
        <row r="6402">
          <cell r="H6402" t="str">
            <v>百丈店</v>
          </cell>
          <cell r="I6402">
            <v>46095</v>
          </cell>
          <cell r="J6402">
            <v>200</v>
          </cell>
        </row>
        <row r="6403">
          <cell r="C6403" t="str">
            <v>推广订单扣款</v>
          </cell>
        </row>
        <row r="6403">
          <cell r="H6403" t="str">
            <v>百丈店</v>
          </cell>
          <cell r="I6403">
            <v>46095</v>
          </cell>
          <cell r="J6403">
            <v>-175.45</v>
          </cell>
        </row>
        <row r="6404">
          <cell r="C6404" t="str">
            <v>推广账户自动充值</v>
          </cell>
        </row>
        <row r="6404">
          <cell r="H6404" t="str">
            <v>百丈店</v>
          </cell>
          <cell r="I6404">
            <v>46094</v>
          </cell>
          <cell r="J6404">
            <v>200</v>
          </cell>
        </row>
        <row r="6405">
          <cell r="C6405" t="str">
            <v>推广订单扣款</v>
          </cell>
        </row>
        <row r="6405">
          <cell r="H6405" t="str">
            <v>百丈店</v>
          </cell>
          <cell r="I6405">
            <v>46094</v>
          </cell>
          <cell r="J6405">
            <v>-157.93</v>
          </cell>
        </row>
        <row r="6406">
          <cell r="C6406" t="str">
            <v>推广订单扣款</v>
          </cell>
        </row>
        <row r="6406">
          <cell r="H6406" t="str">
            <v>文昌店</v>
          </cell>
          <cell r="I6406">
            <v>46096</v>
          </cell>
          <cell r="J6406">
            <v>-138.38</v>
          </cell>
        </row>
        <row r="6407">
          <cell r="C6407" t="str">
            <v>推广账户自动充值</v>
          </cell>
        </row>
        <row r="6407">
          <cell r="H6407" t="str">
            <v>文昌店</v>
          </cell>
          <cell r="I6407">
            <v>46095</v>
          </cell>
          <cell r="J6407">
            <v>200</v>
          </cell>
        </row>
        <row r="6408">
          <cell r="C6408" t="str">
            <v>推广订单扣款</v>
          </cell>
        </row>
        <row r="6408">
          <cell r="H6408" t="str">
            <v>文昌店</v>
          </cell>
          <cell r="I6408">
            <v>46095</v>
          </cell>
          <cell r="J6408">
            <v>-116.29</v>
          </cell>
        </row>
        <row r="6409">
          <cell r="C6409" t="str">
            <v>推广订单扣款</v>
          </cell>
        </row>
        <row r="6409">
          <cell r="H6409" t="str">
            <v>文昌店</v>
          </cell>
          <cell r="I6409">
            <v>46094</v>
          </cell>
          <cell r="J6409">
            <v>-148.94</v>
          </cell>
        </row>
        <row r="6410">
          <cell r="C6410" t="str">
            <v>推广订单扣款</v>
          </cell>
        </row>
        <row r="6410">
          <cell r="H6410" t="str">
            <v>观桥店</v>
          </cell>
          <cell r="I6410">
            <v>46096</v>
          </cell>
          <cell r="J6410">
            <v>-66.12</v>
          </cell>
        </row>
        <row r="6411">
          <cell r="C6411" t="str">
            <v>推广订单扣款</v>
          </cell>
        </row>
        <row r="6411">
          <cell r="H6411" t="str">
            <v>观桥店</v>
          </cell>
          <cell r="I6411">
            <v>46095</v>
          </cell>
          <cell r="J6411">
            <v>-200</v>
          </cell>
        </row>
        <row r="6412">
          <cell r="C6412" t="str">
            <v>推广账户自动充值</v>
          </cell>
        </row>
        <row r="6412">
          <cell r="H6412" t="str">
            <v>观桥店</v>
          </cell>
          <cell r="I6412">
            <v>46094</v>
          </cell>
          <cell r="J6412">
            <v>200</v>
          </cell>
        </row>
        <row r="6413">
          <cell r="C6413" t="str">
            <v>推广订单扣款</v>
          </cell>
        </row>
        <row r="6413">
          <cell r="H6413" t="str">
            <v>观桥店</v>
          </cell>
          <cell r="I6413">
            <v>46094</v>
          </cell>
          <cell r="J6413">
            <v>-200</v>
          </cell>
        </row>
        <row r="6414">
          <cell r="C6414" t="str">
            <v>推广订单扣款</v>
          </cell>
        </row>
        <row r="6414">
          <cell r="H6414" t="str">
            <v>海口店</v>
          </cell>
          <cell r="I6414">
            <v>46096</v>
          </cell>
          <cell r="J6414">
            <v>-300</v>
          </cell>
        </row>
        <row r="6415">
          <cell r="C6415" t="str">
            <v>推广订单扣款</v>
          </cell>
        </row>
        <row r="6415">
          <cell r="H6415" t="str">
            <v>海口店</v>
          </cell>
          <cell r="I6415">
            <v>46095</v>
          </cell>
          <cell r="J6415">
            <v>-300</v>
          </cell>
        </row>
        <row r="6416">
          <cell r="C6416" t="str">
            <v>推广订单扣款</v>
          </cell>
        </row>
        <row r="6416">
          <cell r="H6416" t="str">
            <v>海口店</v>
          </cell>
          <cell r="I6416">
            <v>46094</v>
          </cell>
          <cell r="J6416">
            <v>-294.28</v>
          </cell>
        </row>
        <row r="6417">
          <cell r="C6417" t="str">
            <v>推广订单扣款</v>
          </cell>
        </row>
        <row r="6417">
          <cell r="H6417" t="str">
            <v>南安店</v>
          </cell>
          <cell r="I6417">
            <v>46096</v>
          </cell>
          <cell r="J6417">
            <v>-29.86</v>
          </cell>
        </row>
        <row r="6418">
          <cell r="C6418" t="str">
            <v>推广订单扣款</v>
          </cell>
        </row>
        <row r="6418">
          <cell r="H6418" t="str">
            <v>南安店</v>
          </cell>
          <cell r="I6418">
            <v>46095</v>
          </cell>
          <cell r="J6418">
            <v>-26.57</v>
          </cell>
        </row>
        <row r="6419">
          <cell r="C6419" t="str">
            <v>推广账户自动充值</v>
          </cell>
        </row>
        <row r="6419">
          <cell r="H6419" t="str">
            <v>南安店</v>
          </cell>
          <cell r="I6419">
            <v>46094</v>
          </cell>
          <cell r="J6419">
            <v>100</v>
          </cell>
        </row>
        <row r="6420">
          <cell r="C6420" t="str">
            <v>推广订单扣款</v>
          </cell>
        </row>
        <row r="6420">
          <cell r="H6420" t="str">
            <v>诚毅店</v>
          </cell>
          <cell r="I6420">
            <v>46096</v>
          </cell>
          <cell r="J6420">
            <v>-139.62</v>
          </cell>
        </row>
        <row r="6421">
          <cell r="C6421" t="str">
            <v>推广账户自动充值</v>
          </cell>
        </row>
        <row r="6421">
          <cell r="H6421" t="str">
            <v>诚毅店</v>
          </cell>
          <cell r="I6421">
            <v>46095</v>
          </cell>
          <cell r="J6421">
            <v>200</v>
          </cell>
        </row>
        <row r="6422">
          <cell r="C6422" t="str">
            <v>推广订单扣款</v>
          </cell>
        </row>
        <row r="6422">
          <cell r="H6422" t="str">
            <v>诚毅店</v>
          </cell>
          <cell r="I6422">
            <v>46095</v>
          </cell>
          <cell r="J6422">
            <v>-131.84</v>
          </cell>
        </row>
        <row r="6423">
          <cell r="C6423" t="str">
            <v>推广账户自动充值</v>
          </cell>
        </row>
        <row r="6423">
          <cell r="H6423" t="str">
            <v>诚毅店</v>
          </cell>
          <cell r="I6423">
            <v>46094</v>
          </cell>
          <cell r="J6423">
            <v>200</v>
          </cell>
        </row>
        <row r="6424">
          <cell r="C6424" t="str">
            <v>推广订单扣款</v>
          </cell>
        </row>
        <row r="6424">
          <cell r="H6424" t="str">
            <v>诚毅店</v>
          </cell>
          <cell r="I6424">
            <v>46094</v>
          </cell>
          <cell r="J6424">
            <v>-142.37</v>
          </cell>
        </row>
        <row r="6425">
          <cell r="C6425" t="str">
            <v>推广订单扣款</v>
          </cell>
        </row>
        <row r="6425">
          <cell r="H6425" t="str">
            <v>首山店</v>
          </cell>
          <cell r="I6425">
            <v>46096</v>
          </cell>
          <cell r="J6425">
            <v>-87.44</v>
          </cell>
        </row>
        <row r="6426">
          <cell r="C6426" t="str">
            <v>推广订单扣款</v>
          </cell>
        </row>
        <row r="6426">
          <cell r="H6426" t="str">
            <v>首山店</v>
          </cell>
          <cell r="I6426">
            <v>46095</v>
          </cell>
          <cell r="J6426">
            <v>-87.06</v>
          </cell>
        </row>
        <row r="6427">
          <cell r="C6427" t="str">
            <v>推广账户自动充值</v>
          </cell>
        </row>
        <row r="6427">
          <cell r="H6427" t="str">
            <v>首山店</v>
          </cell>
          <cell r="I6427">
            <v>46094</v>
          </cell>
          <cell r="J6427">
            <v>200</v>
          </cell>
        </row>
        <row r="6428">
          <cell r="C6428" t="str">
            <v>推广订单扣款</v>
          </cell>
        </row>
        <row r="6428">
          <cell r="H6428" t="str">
            <v>首山店</v>
          </cell>
          <cell r="I6428">
            <v>46094</v>
          </cell>
          <cell r="J6428">
            <v>-58.26</v>
          </cell>
        </row>
        <row r="6429">
          <cell r="C6429" t="str">
            <v>推广账户自动充值</v>
          </cell>
        </row>
        <row r="6429">
          <cell r="H6429" t="str">
            <v>首南店</v>
          </cell>
          <cell r="I6429">
            <v>46096</v>
          </cell>
          <cell r="J6429">
            <v>200</v>
          </cell>
        </row>
        <row r="6430">
          <cell r="C6430" t="str">
            <v>推广订单扣款</v>
          </cell>
        </row>
        <row r="6430">
          <cell r="H6430" t="str">
            <v>首南店</v>
          </cell>
          <cell r="I6430">
            <v>46096</v>
          </cell>
          <cell r="J6430">
            <v>-200</v>
          </cell>
        </row>
        <row r="6431">
          <cell r="C6431" t="str">
            <v>推广账户自动充值</v>
          </cell>
        </row>
        <row r="6431">
          <cell r="H6431" t="str">
            <v>首南店</v>
          </cell>
          <cell r="I6431">
            <v>46095</v>
          </cell>
          <cell r="J6431">
            <v>200</v>
          </cell>
        </row>
        <row r="6432">
          <cell r="C6432" t="str">
            <v>推广订单扣款</v>
          </cell>
        </row>
        <row r="6432">
          <cell r="H6432" t="str">
            <v>首南店</v>
          </cell>
          <cell r="I6432">
            <v>46095</v>
          </cell>
          <cell r="J6432">
            <v>-168.46</v>
          </cell>
        </row>
        <row r="6433">
          <cell r="C6433" t="str">
            <v>推广订单扣款</v>
          </cell>
        </row>
        <row r="6433">
          <cell r="H6433" t="str">
            <v>首南店</v>
          </cell>
          <cell r="I6433">
            <v>46094</v>
          </cell>
          <cell r="J6433">
            <v>-161.96</v>
          </cell>
        </row>
        <row r="6434">
          <cell r="C6434" t="str">
            <v>推广订单扣款</v>
          </cell>
        </row>
        <row r="6434">
          <cell r="H6434" t="str">
            <v>余杭店</v>
          </cell>
          <cell r="I6434">
            <v>46096</v>
          </cell>
          <cell r="J6434">
            <v>-162.36</v>
          </cell>
        </row>
        <row r="6435">
          <cell r="C6435" t="str">
            <v>推广账户自动充值</v>
          </cell>
        </row>
        <row r="6435">
          <cell r="H6435" t="str">
            <v>余杭店</v>
          </cell>
          <cell r="I6435">
            <v>46095</v>
          </cell>
          <cell r="J6435">
            <v>200</v>
          </cell>
        </row>
        <row r="6436">
          <cell r="C6436" t="str">
            <v>推广订单扣款</v>
          </cell>
        </row>
        <row r="6436">
          <cell r="H6436" t="str">
            <v>余杭店</v>
          </cell>
          <cell r="I6436">
            <v>46095</v>
          </cell>
          <cell r="J6436">
            <v>-155.02</v>
          </cell>
        </row>
        <row r="6437">
          <cell r="C6437" t="str">
            <v>推广账户自动充值</v>
          </cell>
        </row>
        <row r="6437">
          <cell r="H6437" t="str">
            <v>余杭店</v>
          </cell>
          <cell r="I6437">
            <v>46094</v>
          </cell>
          <cell r="J6437">
            <v>200</v>
          </cell>
        </row>
        <row r="6438">
          <cell r="C6438" t="str">
            <v>推广订单扣款</v>
          </cell>
        </row>
        <row r="6438">
          <cell r="H6438" t="str">
            <v>余杭店</v>
          </cell>
          <cell r="I6438">
            <v>46094</v>
          </cell>
          <cell r="J6438">
            <v>-144.97</v>
          </cell>
        </row>
        <row r="6439">
          <cell r="C6439" t="str">
            <v>推广订单扣款</v>
          </cell>
        </row>
        <row r="6439">
          <cell r="H6439" t="str">
            <v>东海店</v>
          </cell>
          <cell r="I6439">
            <v>46096</v>
          </cell>
          <cell r="J6439">
            <v>-73.73</v>
          </cell>
        </row>
        <row r="6440">
          <cell r="C6440" t="str">
            <v>推广账户自动充值</v>
          </cell>
        </row>
        <row r="6440">
          <cell r="H6440" t="str">
            <v>东海店</v>
          </cell>
          <cell r="I6440">
            <v>46095</v>
          </cell>
          <cell r="J6440">
            <v>200</v>
          </cell>
        </row>
        <row r="6441">
          <cell r="C6441" t="str">
            <v>推广订单扣款</v>
          </cell>
        </row>
        <row r="6441">
          <cell r="H6441" t="str">
            <v>东海店</v>
          </cell>
          <cell r="I6441">
            <v>46095</v>
          </cell>
          <cell r="J6441">
            <v>-66.27</v>
          </cell>
        </row>
        <row r="6442">
          <cell r="C6442" t="str">
            <v>推广订单扣款</v>
          </cell>
        </row>
        <row r="6442">
          <cell r="H6442" t="str">
            <v>东海店</v>
          </cell>
          <cell r="I6442">
            <v>46094</v>
          </cell>
          <cell r="J6442">
            <v>-56.83</v>
          </cell>
        </row>
        <row r="6443">
          <cell r="C6443" t="str">
            <v>推广订单扣款</v>
          </cell>
        </row>
        <row r="6443">
          <cell r="H6443" t="str">
            <v>文灶店</v>
          </cell>
          <cell r="I6443">
            <v>46096</v>
          </cell>
          <cell r="J6443">
            <v>-36.48</v>
          </cell>
        </row>
        <row r="6444">
          <cell r="C6444" t="str">
            <v>推广订单扣款</v>
          </cell>
        </row>
        <row r="6444">
          <cell r="H6444" t="str">
            <v>文灶店</v>
          </cell>
          <cell r="I6444">
            <v>46095</v>
          </cell>
          <cell r="J6444">
            <v>-38.89</v>
          </cell>
        </row>
        <row r="6445">
          <cell r="C6445" t="str">
            <v>推广账户自动充值</v>
          </cell>
        </row>
        <row r="6445">
          <cell r="H6445" t="str">
            <v>文灶店</v>
          </cell>
          <cell r="I6445">
            <v>46094</v>
          </cell>
          <cell r="J6445">
            <v>200</v>
          </cell>
        </row>
        <row r="6446">
          <cell r="C6446" t="str">
            <v>推广订单扣款</v>
          </cell>
        </row>
        <row r="6446">
          <cell r="H6446" t="str">
            <v>文灶店</v>
          </cell>
          <cell r="I6446">
            <v>46094</v>
          </cell>
          <cell r="J6446">
            <v>-23.48</v>
          </cell>
        </row>
        <row r="6447">
          <cell r="C6447" t="str">
            <v>推广账户自动充值</v>
          </cell>
        </row>
        <row r="6447">
          <cell r="H6447" t="str">
            <v>滨江店</v>
          </cell>
          <cell r="I6447">
            <v>46096</v>
          </cell>
          <cell r="J6447">
            <v>200</v>
          </cell>
        </row>
        <row r="6448">
          <cell r="C6448" t="str">
            <v>推广订单扣款</v>
          </cell>
        </row>
        <row r="6448">
          <cell r="H6448" t="str">
            <v>滨江店</v>
          </cell>
          <cell r="I6448">
            <v>46096</v>
          </cell>
          <cell r="J6448">
            <v>-166.08</v>
          </cell>
        </row>
        <row r="6449">
          <cell r="C6449" t="str">
            <v>推广订单扣款</v>
          </cell>
        </row>
        <row r="6449">
          <cell r="H6449" t="str">
            <v>滨江店</v>
          </cell>
          <cell r="I6449">
            <v>46095</v>
          </cell>
          <cell r="J6449">
            <v>-168.14</v>
          </cell>
        </row>
        <row r="6450">
          <cell r="C6450" t="str">
            <v>推广账户自动充值</v>
          </cell>
        </row>
        <row r="6450">
          <cell r="H6450" t="str">
            <v>滨江店</v>
          </cell>
          <cell r="I6450">
            <v>46094</v>
          </cell>
          <cell r="J6450">
            <v>200</v>
          </cell>
        </row>
        <row r="6451">
          <cell r="C6451" t="str">
            <v>推广订单扣款</v>
          </cell>
        </row>
        <row r="6451">
          <cell r="H6451" t="str">
            <v>滨江店</v>
          </cell>
          <cell r="I6451">
            <v>46094</v>
          </cell>
          <cell r="J6451">
            <v>-193.23</v>
          </cell>
        </row>
        <row r="6452">
          <cell r="C6452" t="str">
            <v>推广账户自动充值</v>
          </cell>
        </row>
        <row r="6452">
          <cell r="H6452" t="str">
            <v>下沙店</v>
          </cell>
          <cell r="I6452">
            <v>46096</v>
          </cell>
          <cell r="J6452">
            <v>100</v>
          </cell>
        </row>
        <row r="6453">
          <cell r="C6453" t="str">
            <v>推广订单扣款</v>
          </cell>
        </row>
        <row r="6453">
          <cell r="H6453" t="str">
            <v>下沙店</v>
          </cell>
          <cell r="I6453">
            <v>46096</v>
          </cell>
          <cell r="J6453">
            <v>-297.84</v>
          </cell>
        </row>
        <row r="6454">
          <cell r="C6454" t="str">
            <v>推广账户自动充值</v>
          </cell>
        </row>
        <row r="6454">
          <cell r="H6454" t="str">
            <v>下沙店</v>
          </cell>
          <cell r="I6454">
            <v>46095</v>
          </cell>
          <cell r="J6454">
            <v>100</v>
          </cell>
        </row>
        <row r="6455">
          <cell r="C6455" t="str">
            <v>推广账户自动充值</v>
          </cell>
        </row>
        <row r="6455">
          <cell r="H6455" t="str">
            <v>下沙店</v>
          </cell>
          <cell r="I6455">
            <v>46095</v>
          </cell>
          <cell r="J6455">
            <v>100</v>
          </cell>
        </row>
        <row r="6456">
          <cell r="C6456" t="str">
            <v>推广账户自动充值</v>
          </cell>
        </row>
        <row r="6456">
          <cell r="H6456" t="str">
            <v>下沙店</v>
          </cell>
          <cell r="I6456">
            <v>46095</v>
          </cell>
          <cell r="J6456">
            <v>100</v>
          </cell>
        </row>
        <row r="6457">
          <cell r="C6457" t="str">
            <v>推广订单扣款</v>
          </cell>
        </row>
        <row r="6457">
          <cell r="H6457" t="str">
            <v>下沙店</v>
          </cell>
          <cell r="I6457">
            <v>46095</v>
          </cell>
          <cell r="J6457">
            <v>-299.26</v>
          </cell>
        </row>
        <row r="6458">
          <cell r="C6458" t="str">
            <v>推广账户自动充值</v>
          </cell>
        </row>
        <row r="6458">
          <cell r="H6458" t="str">
            <v>下沙店</v>
          </cell>
          <cell r="I6458">
            <v>46094</v>
          </cell>
          <cell r="J6458">
            <v>100</v>
          </cell>
        </row>
        <row r="6459">
          <cell r="C6459" t="str">
            <v>推广账户自动充值</v>
          </cell>
        </row>
        <row r="6459">
          <cell r="H6459" t="str">
            <v>下沙店</v>
          </cell>
          <cell r="I6459">
            <v>46094</v>
          </cell>
          <cell r="J6459">
            <v>100</v>
          </cell>
        </row>
        <row r="6460">
          <cell r="C6460" t="str">
            <v>推广订单扣款</v>
          </cell>
        </row>
        <row r="6460">
          <cell r="H6460" t="str">
            <v>下沙店</v>
          </cell>
          <cell r="I6460">
            <v>46094</v>
          </cell>
          <cell r="J6460">
            <v>-299.87</v>
          </cell>
        </row>
        <row r="6461">
          <cell r="C6461" t="str">
            <v>推广账户自动充值</v>
          </cell>
        </row>
        <row r="6461">
          <cell r="H6461" t="str">
            <v>下沙店</v>
          </cell>
          <cell r="I6461">
            <v>46094</v>
          </cell>
          <cell r="J6461">
            <v>100</v>
          </cell>
        </row>
        <row r="6462">
          <cell r="C6462" t="str">
            <v>推广订单扣款</v>
          </cell>
        </row>
        <row r="6462">
          <cell r="H6462" t="str">
            <v>湖里店</v>
          </cell>
          <cell r="I6462">
            <v>46097</v>
          </cell>
          <cell r="J6462">
            <v>-144.97</v>
          </cell>
        </row>
        <row r="6463">
          <cell r="C6463" t="str">
            <v>推广账户自动充值</v>
          </cell>
        </row>
        <row r="6463">
          <cell r="H6463" t="str">
            <v>东新店</v>
          </cell>
          <cell r="I6463">
            <v>46097</v>
          </cell>
          <cell r="J6463">
            <v>200</v>
          </cell>
        </row>
        <row r="6464">
          <cell r="C6464" t="str">
            <v>推广订单扣款</v>
          </cell>
        </row>
        <row r="6464">
          <cell r="H6464" t="str">
            <v>东新店</v>
          </cell>
          <cell r="I6464">
            <v>46097</v>
          </cell>
          <cell r="J6464">
            <v>-115.42</v>
          </cell>
        </row>
        <row r="6465">
          <cell r="C6465" t="str">
            <v>推广账户自动充值</v>
          </cell>
        </row>
        <row r="6465">
          <cell r="H6465" t="str">
            <v>泉秀店</v>
          </cell>
          <cell r="I6465">
            <v>46097</v>
          </cell>
          <cell r="J6465">
            <v>200</v>
          </cell>
        </row>
        <row r="6466">
          <cell r="C6466" t="str">
            <v>推广订单扣款</v>
          </cell>
        </row>
        <row r="6466">
          <cell r="H6466" t="str">
            <v>泉秀店</v>
          </cell>
          <cell r="I6466">
            <v>46097</v>
          </cell>
          <cell r="J6466">
            <v>-166.59</v>
          </cell>
        </row>
        <row r="6467">
          <cell r="C6467" t="str">
            <v>推广账户自动充值</v>
          </cell>
        </row>
        <row r="6467">
          <cell r="H6467" t="str">
            <v>启点店</v>
          </cell>
          <cell r="I6467">
            <v>46097</v>
          </cell>
          <cell r="J6467">
            <v>200</v>
          </cell>
        </row>
        <row r="6468">
          <cell r="C6468" t="str">
            <v>推广订单扣款</v>
          </cell>
        </row>
        <row r="6468">
          <cell r="H6468" t="str">
            <v>启点店</v>
          </cell>
          <cell r="I6468">
            <v>46097</v>
          </cell>
          <cell r="J6468">
            <v>-23.49</v>
          </cell>
        </row>
        <row r="6469">
          <cell r="C6469" t="str">
            <v>推广订单扣款</v>
          </cell>
        </row>
        <row r="6469">
          <cell r="H6469" t="str">
            <v>高新店</v>
          </cell>
          <cell r="I6469">
            <v>46097</v>
          </cell>
          <cell r="J6469">
            <v>-46.05</v>
          </cell>
        </row>
        <row r="6470">
          <cell r="C6470" t="str">
            <v>推广订单扣款</v>
          </cell>
        </row>
        <row r="6470">
          <cell r="H6470" t="str">
            <v>成华店</v>
          </cell>
          <cell r="I6470">
            <v>46097</v>
          </cell>
          <cell r="J6470">
            <v>-40.29</v>
          </cell>
        </row>
        <row r="6471">
          <cell r="C6471" t="str">
            <v>推广订单扣款</v>
          </cell>
        </row>
        <row r="6471">
          <cell r="H6471" t="str">
            <v>金牛店</v>
          </cell>
          <cell r="I6471">
            <v>46097</v>
          </cell>
          <cell r="J6471">
            <v>-51.74</v>
          </cell>
        </row>
        <row r="6472">
          <cell r="C6472" t="str">
            <v>推广订单扣款</v>
          </cell>
        </row>
        <row r="6472">
          <cell r="H6472" t="str">
            <v>西山店</v>
          </cell>
          <cell r="I6472">
            <v>46097</v>
          </cell>
          <cell r="J6472">
            <v>-86.57</v>
          </cell>
        </row>
        <row r="6473">
          <cell r="C6473" t="str">
            <v>推广订单扣款</v>
          </cell>
        </row>
        <row r="6473">
          <cell r="H6473" t="str">
            <v>沙坪坝店</v>
          </cell>
          <cell r="I6473">
            <v>46097</v>
          </cell>
          <cell r="J6473">
            <v>-158.31</v>
          </cell>
        </row>
        <row r="6474">
          <cell r="C6474" t="str">
            <v>推广订单扣款</v>
          </cell>
        </row>
        <row r="6474">
          <cell r="H6474" t="str">
            <v>凤城二路店</v>
          </cell>
          <cell r="I6474">
            <v>46097</v>
          </cell>
          <cell r="J6474">
            <v>-115.94</v>
          </cell>
        </row>
        <row r="6475">
          <cell r="C6475" t="str">
            <v>推广订单扣款</v>
          </cell>
        </row>
        <row r="6475">
          <cell r="H6475" t="str">
            <v>大坪店</v>
          </cell>
          <cell r="I6475">
            <v>46097</v>
          </cell>
          <cell r="J6475">
            <v>-86.85</v>
          </cell>
        </row>
        <row r="6476">
          <cell r="C6476" t="str">
            <v>推广订单扣款</v>
          </cell>
        </row>
        <row r="6476">
          <cell r="H6476" t="str">
            <v>五华店</v>
          </cell>
          <cell r="I6476">
            <v>46097</v>
          </cell>
          <cell r="J6476">
            <v>-98.35</v>
          </cell>
        </row>
        <row r="6477">
          <cell r="C6477" t="str">
            <v>推广订单扣款</v>
          </cell>
        </row>
        <row r="6477">
          <cell r="H6477" t="str">
            <v>官渡店</v>
          </cell>
          <cell r="I6477">
            <v>46097</v>
          </cell>
          <cell r="J6477">
            <v>-73.59</v>
          </cell>
        </row>
        <row r="6478">
          <cell r="C6478" t="str">
            <v>推广订单扣款</v>
          </cell>
        </row>
        <row r="6478">
          <cell r="H6478" t="str">
            <v>百捷店</v>
          </cell>
          <cell r="I6478">
            <v>46097</v>
          </cell>
          <cell r="J6478">
            <v>-162.58</v>
          </cell>
        </row>
        <row r="6479">
          <cell r="C6479" t="str">
            <v>推广订单扣款</v>
          </cell>
        </row>
        <row r="6479">
          <cell r="H6479" t="str">
            <v>济南店</v>
          </cell>
          <cell r="I6479">
            <v>46097</v>
          </cell>
          <cell r="J6479">
            <v>-157.71</v>
          </cell>
        </row>
        <row r="6480">
          <cell r="C6480" t="str">
            <v>推广订单扣款</v>
          </cell>
        </row>
        <row r="6480">
          <cell r="H6480" t="str">
            <v>观音桥店</v>
          </cell>
          <cell r="I6480">
            <v>46097</v>
          </cell>
          <cell r="J6480">
            <v>-119.59</v>
          </cell>
        </row>
        <row r="6481">
          <cell r="C6481" t="str">
            <v>推广订单扣款</v>
          </cell>
        </row>
        <row r="6481">
          <cell r="H6481" t="str">
            <v>长沙店</v>
          </cell>
          <cell r="I6481">
            <v>46097</v>
          </cell>
          <cell r="J6481">
            <v>-67.01</v>
          </cell>
        </row>
        <row r="6482">
          <cell r="C6482" t="str">
            <v>推广订单扣款</v>
          </cell>
        </row>
        <row r="6482">
          <cell r="H6482" t="str">
            <v>洛江店</v>
          </cell>
          <cell r="I6482">
            <v>46097</v>
          </cell>
          <cell r="J6482">
            <v>-120.86</v>
          </cell>
        </row>
        <row r="6483">
          <cell r="C6483" t="str">
            <v>推广订单扣款</v>
          </cell>
        </row>
        <row r="6483">
          <cell r="H6483" t="str">
            <v>五路口店</v>
          </cell>
          <cell r="I6483">
            <v>46097</v>
          </cell>
          <cell r="J6483">
            <v>-106.58</v>
          </cell>
        </row>
        <row r="6484">
          <cell r="C6484" t="str">
            <v>推广订单扣款</v>
          </cell>
        </row>
        <row r="6484">
          <cell r="H6484" t="str">
            <v>青羊店</v>
          </cell>
          <cell r="I6484">
            <v>46097</v>
          </cell>
          <cell r="J6484">
            <v>-22.65</v>
          </cell>
        </row>
        <row r="6485">
          <cell r="C6485" t="str">
            <v>推广订单扣款</v>
          </cell>
        </row>
        <row r="6485">
          <cell r="H6485" t="str">
            <v>武侯店</v>
          </cell>
          <cell r="I6485">
            <v>46097</v>
          </cell>
          <cell r="J6485">
            <v>-55.65</v>
          </cell>
        </row>
        <row r="6486">
          <cell r="C6486" t="str">
            <v>推广订单扣款</v>
          </cell>
        </row>
        <row r="6486">
          <cell r="H6486" t="str">
            <v>鼓楼店</v>
          </cell>
          <cell r="I6486">
            <v>46097</v>
          </cell>
          <cell r="J6486">
            <v>-198.94</v>
          </cell>
        </row>
        <row r="6487">
          <cell r="C6487" t="str">
            <v>推广订单扣款</v>
          </cell>
        </row>
        <row r="6487">
          <cell r="H6487" t="str">
            <v>黄雁村店</v>
          </cell>
          <cell r="I6487">
            <v>46097</v>
          </cell>
          <cell r="J6487">
            <v>-102.67</v>
          </cell>
        </row>
        <row r="6488">
          <cell r="C6488" t="str">
            <v>推广订单扣款</v>
          </cell>
        </row>
        <row r="6488">
          <cell r="H6488" t="str">
            <v>西湖店</v>
          </cell>
          <cell r="I6488">
            <v>46097</v>
          </cell>
          <cell r="J6488">
            <v>-124.5</v>
          </cell>
        </row>
        <row r="6489">
          <cell r="C6489" t="str">
            <v>推广订单扣款</v>
          </cell>
        </row>
        <row r="6489">
          <cell r="H6489" t="str">
            <v>百丈店</v>
          </cell>
          <cell r="I6489">
            <v>46097</v>
          </cell>
          <cell r="J6489">
            <v>-164.74</v>
          </cell>
        </row>
        <row r="6490">
          <cell r="C6490" t="str">
            <v>推广订单扣款</v>
          </cell>
        </row>
        <row r="6490">
          <cell r="H6490" t="str">
            <v>文昌店</v>
          </cell>
          <cell r="I6490">
            <v>46097</v>
          </cell>
          <cell r="J6490">
            <v>-151.76</v>
          </cell>
        </row>
        <row r="6491">
          <cell r="C6491" t="str">
            <v>推广订单扣款</v>
          </cell>
        </row>
        <row r="6491">
          <cell r="H6491" t="str">
            <v>观桥店</v>
          </cell>
          <cell r="I6491">
            <v>46097</v>
          </cell>
          <cell r="J6491">
            <v>-146.19</v>
          </cell>
        </row>
        <row r="6492">
          <cell r="C6492" t="str">
            <v>推广订单扣款</v>
          </cell>
        </row>
        <row r="6492">
          <cell r="H6492" t="str">
            <v>海口店</v>
          </cell>
          <cell r="I6492">
            <v>46097</v>
          </cell>
          <cell r="J6492">
            <v>-294.02</v>
          </cell>
        </row>
        <row r="6493">
          <cell r="C6493" t="str">
            <v>推广订单扣款</v>
          </cell>
        </row>
        <row r="6493">
          <cell r="H6493" t="str">
            <v>南安店</v>
          </cell>
          <cell r="I6493">
            <v>46097</v>
          </cell>
          <cell r="J6493">
            <v>-22.37</v>
          </cell>
        </row>
        <row r="6494">
          <cell r="C6494" t="str">
            <v>推广订单扣款</v>
          </cell>
        </row>
        <row r="6494">
          <cell r="H6494" t="str">
            <v>诚毅店</v>
          </cell>
          <cell r="I6494">
            <v>46097</v>
          </cell>
          <cell r="J6494">
            <v>-136.68</v>
          </cell>
        </row>
        <row r="6495">
          <cell r="C6495" t="str">
            <v>推广订单扣款</v>
          </cell>
        </row>
        <row r="6495">
          <cell r="H6495" t="str">
            <v>首山店</v>
          </cell>
          <cell r="I6495">
            <v>46097</v>
          </cell>
          <cell r="J6495">
            <v>-64.3</v>
          </cell>
        </row>
        <row r="6496">
          <cell r="C6496" t="str">
            <v>推广订单扣款</v>
          </cell>
        </row>
        <row r="6496">
          <cell r="H6496" t="str">
            <v>首南店</v>
          </cell>
          <cell r="I6496">
            <v>46097</v>
          </cell>
          <cell r="J6496">
            <v>-147.6</v>
          </cell>
        </row>
        <row r="6497">
          <cell r="C6497" t="str">
            <v>推广订单扣款</v>
          </cell>
        </row>
        <row r="6497">
          <cell r="H6497" t="str">
            <v>余杭店</v>
          </cell>
          <cell r="I6497">
            <v>46097</v>
          </cell>
          <cell r="J6497">
            <v>-172.24</v>
          </cell>
        </row>
        <row r="6498">
          <cell r="C6498" t="str">
            <v>推广订单扣款</v>
          </cell>
        </row>
        <row r="6498">
          <cell r="H6498" t="str">
            <v>东海店</v>
          </cell>
          <cell r="I6498">
            <v>46097</v>
          </cell>
          <cell r="J6498">
            <v>-47.95</v>
          </cell>
        </row>
        <row r="6499">
          <cell r="C6499" t="str">
            <v>推广订单扣款</v>
          </cell>
        </row>
        <row r="6499">
          <cell r="H6499" t="str">
            <v>文灶店</v>
          </cell>
          <cell r="I6499">
            <v>46097</v>
          </cell>
          <cell r="J6499">
            <v>-63.43</v>
          </cell>
        </row>
        <row r="6500">
          <cell r="C6500" t="str">
            <v>推广订单扣款</v>
          </cell>
        </row>
        <row r="6500">
          <cell r="H6500" t="str">
            <v>滨江店</v>
          </cell>
          <cell r="I6500">
            <v>46097</v>
          </cell>
          <cell r="J6500">
            <v>-168.6</v>
          </cell>
        </row>
        <row r="6501">
          <cell r="C6501" t="str">
            <v>推广账户自动充值</v>
          </cell>
        </row>
        <row r="6501">
          <cell r="H6501" t="str">
            <v>下沙店</v>
          </cell>
          <cell r="I6501">
            <v>46097</v>
          </cell>
          <cell r="J6501">
            <v>100</v>
          </cell>
        </row>
        <row r="6502">
          <cell r="C6502" t="str">
            <v>推广订单扣款</v>
          </cell>
        </row>
        <row r="6502">
          <cell r="H6502" t="str">
            <v>下沙店</v>
          </cell>
          <cell r="I6502">
            <v>46097</v>
          </cell>
          <cell r="J6502">
            <v>-299.15</v>
          </cell>
        </row>
        <row r="6503">
          <cell r="C6503" t="str">
            <v>推广订单扣款</v>
          </cell>
        </row>
        <row r="6503">
          <cell r="H6503" t="str">
            <v>华信店</v>
          </cell>
          <cell r="I6503">
            <v>46097</v>
          </cell>
          <cell r="J6503">
            <v>-160</v>
          </cell>
        </row>
        <row r="6504">
          <cell r="C6504" t="str">
            <v>推广订单扣款</v>
          </cell>
        </row>
        <row r="6504">
          <cell r="H6504" t="str">
            <v>槐荫店</v>
          </cell>
          <cell r="I6504">
            <v>46097</v>
          </cell>
          <cell r="J6504">
            <v>-135</v>
          </cell>
        </row>
        <row r="6505">
          <cell r="C6505" t="str">
            <v>推广订单扣款</v>
          </cell>
        </row>
        <row r="6505">
          <cell r="H6505" t="str">
            <v>湖里店</v>
          </cell>
          <cell r="I6505">
            <v>46098</v>
          </cell>
          <cell r="J6505">
            <v>-140.3</v>
          </cell>
        </row>
        <row r="6506">
          <cell r="C6506" t="str">
            <v>推广订单扣款</v>
          </cell>
        </row>
        <row r="6506">
          <cell r="H6506" t="str">
            <v>东新店</v>
          </cell>
          <cell r="I6506">
            <v>46098</v>
          </cell>
          <cell r="J6506">
            <v>-98.04</v>
          </cell>
        </row>
        <row r="6507">
          <cell r="C6507" t="str">
            <v>推广账户自动充值</v>
          </cell>
        </row>
        <row r="6507">
          <cell r="H6507" t="str">
            <v>泉秀店</v>
          </cell>
          <cell r="I6507">
            <v>46098</v>
          </cell>
          <cell r="J6507">
            <v>200</v>
          </cell>
        </row>
        <row r="6508">
          <cell r="C6508" t="str">
            <v>推广订单扣款</v>
          </cell>
        </row>
        <row r="6508">
          <cell r="H6508" t="str">
            <v>泉秀店</v>
          </cell>
          <cell r="I6508">
            <v>46098</v>
          </cell>
          <cell r="J6508">
            <v>-200</v>
          </cell>
        </row>
        <row r="6509">
          <cell r="C6509" t="str">
            <v>推广订单扣款</v>
          </cell>
        </row>
        <row r="6509">
          <cell r="H6509" t="str">
            <v>启点店</v>
          </cell>
          <cell r="I6509">
            <v>46098</v>
          </cell>
          <cell r="J6509">
            <v>-83.87</v>
          </cell>
        </row>
        <row r="6510">
          <cell r="C6510" t="str">
            <v>推广订单扣款</v>
          </cell>
        </row>
        <row r="6510">
          <cell r="H6510" t="str">
            <v>高新店</v>
          </cell>
          <cell r="I6510">
            <v>46098</v>
          </cell>
          <cell r="J6510">
            <v>-39.59</v>
          </cell>
        </row>
        <row r="6511">
          <cell r="C6511" t="str">
            <v>推广订单扣款</v>
          </cell>
        </row>
        <row r="6511">
          <cell r="H6511" t="str">
            <v>成华店</v>
          </cell>
          <cell r="I6511">
            <v>46098</v>
          </cell>
          <cell r="J6511">
            <v>-71.51</v>
          </cell>
        </row>
        <row r="6512">
          <cell r="C6512" t="str">
            <v>推广订单扣款</v>
          </cell>
        </row>
        <row r="6512">
          <cell r="H6512" t="str">
            <v>金牛店</v>
          </cell>
          <cell r="I6512">
            <v>46098</v>
          </cell>
          <cell r="J6512">
            <v>-45.18</v>
          </cell>
        </row>
        <row r="6513">
          <cell r="C6513" t="str">
            <v>推广订单扣款</v>
          </cell>
        </row>
        <row r="6513">
          <cell r="H6513" t="str">
            <v>西山店</v>
          </cell>
          <cell r="I6513">
            <v>46098</v>
          </cell>
          <cell r="J6513">
            <v>-80.92</v>
          </cell>
        </row>
        <row r="6514">
          <cell r="C6514" t="str">
            <v>推广订单扣款</v>
          </cell>
        </row>
        <row r="6514">
          <cell r="H6514" t="str">
            <v>沙坪坝店</v>
          </cell>
          <cell r="I6514">
            <v>46098</v>
          </cell>
          <cell r="J6514">
            <v>-121.65</v>
          </cell>
        </row>
        <row r="6515">
          <cell r="C6515" t="str">
            <v>推广订单扣款</v>
          </cell>
        </row>
        <row r="6515">
          <cell r="H6515" t="str">
            <v>凤城二路店</v>
          </cell>
          <cell r="I6515">
            <v>46098</v>
          </cell>
          <cell r="J6515">
            <v>-149.7</v>
          </cell>
        </row>
        <row r="6516">
          <cell r="C6516" t="str">
            <v>推广订单扣款</v>
          </cell>
        </row>
        <row r="6516">
          <cell r="H6516" t="str">
            <v>大坪店</v>
          </cell>
          <cell r="I6516">
            <v>46098</v>
          </cell>
          <cell r="J6516">
            <v>-109.15</v>
          </cell>
        </row>
        <row r="6517">
          <cell r="C6517" t="str">
            <v>推广订单扣款</v>
          </cell>
        </row>
        <row r="6517">
          <cell r="H6517" t="str">
            <v>五华店</v>
          </cell>
          <cell r="I6517">
            <v>46098</v>
          </cell>
          <cell r="J6517">
            <v>-128.8</v>
          </cell>
        </row>
        <row r="6518">
          <cell r="C6518" t="str">
            <v>推广订单扣款</v>
          </cell>
        </row>
        <row r="6518">
          <cell r="H6518" t="str">
            <v>官渡店</v>
          </cell>
          <cell r="I6518">
            <v>46098</v>
          </cell>
          <cell r="J6518">
            <v>-123.05</v>
          </cell>
        </row>
        <row r="6519">
          <cell r="C6519" t="str">
            <v>推广订单扣款</v>
          </cell>
        </row>
        <row r="6519">
          <cell r="H6519" t="str">
            <v>百捷店</v>
          </cell>
          <cell r="I6519">
            <v>46098</v>
          </cell>
          <cell r="J6519">
            <v>-175.35</v>
          </cell>
        </row>
        <row r="6520">
          <cell r="C6520" t="str">
            <v>推广账户自动充值</v>
          </cell>
        </row>
        <row r="6520">
          <cell r="H6520" t="str">
            <v>济南店</v>
          </cell>
          <cell r="I6520">
            <v>46098</v>
          </cell>
          <cell r="J6520">
            <v>200</v>
          </cell>
        </row>
        <row r="6521">
          <cell r="C6521" t="str">
            <v>推广订单扣款</v>
          </cell>
        </row>
        <row r="6521">
          <cell r="H6521" t="str">
            <v>济南店</v>
          </cell>
          <cell r="I6521">
            <v>46098</v>
          </cell>
          <cell r="J6521">
            <v>-148.86</v>
          </cell>
        </row>
        <row r="6522">
          <cell r="C6522" t="str">
            <v>推广订单扣款</v>
          </cell>
        </row>
        <row r="6522">
          <cell r="H6522" t="str">
            <v>观音桥店</v>
          </cell>
          <cell r="I6522">
            <v>46098</v>
          </cell>
          <cell r="J6522">
            <v>-109.04</v>
          </cell>
        </row>
        <row r="6523">
          <cell r="C6523" t="str">
            <v>推广订单扣款</v>
          </cell>
        </row>
        <row r="6523">
          <cell r="H6523" t="str">
            <v>长沙店</v>
          </cell>
          <cell r="I6523">
            <v>46098</v>
          </cell>
          <cell r="J6523">
            <v>-95</v>
          </cell>
        </row>
        <row r="6524">
          <cell r="C6524" t="str">
            <v>推广订单扣款</v>
          </cell>
        </row>
        <row r="6524">
          <cell r="H6524" t="str">
            <v>洛江店</v>
          </cell>
          <cell r="I6524">
            <v>46098</v>
          </cell>
          <cell r="J6524">
            <v>-107.9</v>
          </cell>
        </row>
        <row r="6525">
          <cell r="C6525" t="str">
            <v>推广订单扣款</v>
          </cell>
        </row>
        <row r="6525">
          <cell r="H6525" t="str">
            <v>五路口店</v>
          </cell>
          <cell r="I6525">
            <v>46098</v>
          </cell>
          <cell r="J6525">
            <v>-110.71</v>
          </cell>
        </row>
        <row r="6526">
          <cell r="C6526" t="str">
            <v>推广订单扣款</v>
          </cell>
        </row>
        <row r="6526">
          <cell r="H6526" t="str">
            <v>青羊店</v>
          </cell>
          <cell r="I6526">
            <v>46098</v>
          </cell>
          <cell r="J6526">
            <v>-24.04</v>
          </cell>
        </row>
        <row r="6527">
          <cell r="C6527" t="str">
            <v>推广订单扣款</v>
          </cell>
        </row>
        <row r="6527">
          <cell r="H6527" t="str">
            <v>武侯店</v>
          </cell>
          <cell r="I6527">
            <v>46098</v>
          </cell>
          <cell r="J6527">
            <v>-92.05</v>
          </cell>
        </row>
        <row r="6528">
          <cell r="C6528" t="str">
            <v>推广订单扣款</v>
          </cell>
        </row>
        <row r="6528">
          <cell r="H6528" t="str">
            <v>鼓楼店</v>
          </cell>
          <cell r="I6528">
            <v>46098</v>
          </cell>
          <cell r="J6528">
            <v>-200</v>
          </cell>
        </row>
        <row r="6529">
          <cell r="C6529" t="str">
            <v>推广订单扣款</v>
          </cell>
        </row>
        <row r="6529">
          <cell r="H6529" t="str">
            <v>黄雁村店</v>
          </cell>
          <cell r="I6529">
            <v>46098</v>
          </cell>
          <cell r="J6529">
            <v>-150.85</v>
          </cell>
        </row>
        <row r="6530">
          <cell r="C6530" t="str">
            <v>推广订单扣款</v>
          </cell>
        </row>
        <row r="6530">
          <cell r="H6530" t="str">
            <v>西湖店</v>
          </cell>
          <cell r="I6530">
            <v>46098</v>
          </cell>
          <cell r="J6530">
            <v>-129.98</v>
          </cell>
        </row>
        <row r="6531">
          <cell r="C6531" t="str">
            <v>推广账户自动充值</v>
          </cell>
        </row>
        <row r="6531">
          <cell r="H6531" t="str">
            <v>西湖店</v>
          </cell>
          <cell r="I6531">
            <v>46098</v>
          </cell>
          <cell r="J6531">
            <v>200</v>
          </cell>
        </row>
        <row r="6532">
          <cell r="C6532" t="str">
            <v>推广订单扣款</v>
          </cell>
        </row>
        <row r="6532">
          <cell r="H6532" t="str">
            <v>百丈店</v>
          </cell>
          <cell r="I6532">
            <v>46098</v>
          </cell>
          <cell r="J6532">
            <v>-164.71</v>
          </cell>
        </row>
        <row r="6533">
          <cell r="C6533" t="str">
            <v>推广订单扣款</v>
          </cell>
        </row>
        <row r="6533">
          <cell r="H6533" t="str">
            <v>文昌店</v>
          </cell>
          <cell r="I6533">
            <v>46098</v>
          </cell>
          <cell r="J6533">
            <v>-111.85</v>
          </cell>
        </row>
        <row r="6534">
          <cell r="C6534" t="str">
            <v>推广订单扣款</v>
          </cell>
        </row>
        <row r="6534">
          <cell r="H6534" t="str">
            <v>观桥店</v>
          </cell>
          <cell r="I6534">
            <v>46098</v>
          </cell>
          <cell r="J6534">
            <v>-195.73</v>
          </cell>
        </row>
        <row r="6535">
          <cell r="C6535" t="str">
            <v>推广订单扣款</v>
          </cell>
        </row>
        <row r="6535">
          <cell r="H6535" t="str">
            <v>海口店</v>
          </cell>
          <cell r="I6535">
            <v>46098</v>
          </cell>
          <cell r="J6535">
            <v>-300</v>
          </cell>
        </row>
        <row r="6536">
          <cell r="C6536" t="str">
            <v>推广订单扣款</v>
          </cell>
        </row>
        <row r="6536">
          <cell r="H6536" t="str">
            <v>南安店</v>
          </cell>
          <cell r="I6536">
            <v>46098</v>
          </cell>
          <cell r="J6536">
            <v>-21.2</v>
          </cell>
        </row>
        <row r="6537">
          <cell r="C6537" t="str">
            <v>推广订单扣款</v>
          </cell>
        </row>
        <row r="6537">
          <cell r="H6537" t="str">
            <v>诚毅店</v>
          </cell>
          <cell r="I6537">
            <v>46098</v>
          </cell>
          <cell r="J6537">
            <v>-113.51</v>
          </cell>
        </row>
        <row r="6538">
          <cell r="C6538" t="str">
            <v>推广订单扣款</v>
          </cell>
        </row>
        <row r="6538">
          <cell r="H6538" t="str">
            <v>首山店</v>
          </cell>
          <cell r="I6538">
            <v>46098</v>
          </cell>
          <cell r="J6538">
            <v>-94.55</v>
          </cell>
        </row>
        <row r="6539">
          <cell r="C6539" t="str">
            <v>推广订单扣款</v>
          </cell>
        </row>
        <row r="6539">
          <cell r="H6539" t="str">
            <v>首南店</v>
          </cell>
          <cell r="I6539">
            <v>46098</v>
          </cell>
          <cell r="J6539">
            <v>-174.46</v>
          </cell>
        </row>
        <row r="6540">
          <cell r="C6540" t="str">
            <v>推广订单扣款</v>
          </cell>
        </row>
        <row r="6540">
          <cell r="H6540" t="str">
            <v>余杭店</v>
          </cell>
          <cell r="I6540">
            <v>46098</v>
          </cell>
          <cell r="J6540">
            <v>-132.11</v>
          </cell>
        </row>
        <row r="6541">
          <cell r="C6541" t="str">
            <v>推广订单扣款</v>
          </cell>
        </row>
        <row r="6541">
          <cell r="H6541" t="str">
            <v>东海店</v>
          </cell>
          <cell r="I6541">
            <v>46098</v>
          </cell>
          <cell r="J6541">
            <v>-59.55</v>
          </cell>
        </row>
        <row r="6542">
          <cell r="C6542" t="str">
            <v>推广订单扣款</v>
          </cell>
        </row>
        <row r="6542">
          <cell r="H6542" t="str">
            <v>文灶店</v>
          </cell>
          <cell r="I6542">
            <v>46098</v>
          </cell>
          <cell r="J6542">
            <v>-34.27</v>
          </cell>
        </row>
        <row r="6543">
          <cell r="C6543" t="str">
            <v>推广订单扣款</v>
          </cell>
        </row>
        <row r="6543">
          <cell r="H6543" t="str">
            <v>滨江店</v>
          </cell>
          <cell r="I6543">
            <v>46098</v>
          </cell>
          <cell r="J6543">
            <v>-200</v>
          </cell>
        </row>
        <row r="6544">
          <cell r="C6544" t="str">
            <v>推广账户自动充值</v>
          </cell>
        </row>
        <row r="6544">
          <cell r="H6544" t="str">
            <v>下沙店</v>
          </cell>
          <cell r="I6544">
            <v>46098</v>
          </cell>
          <cell r="J6544">
            <v>100</v>
          </cell>
        </row>
        <row r="6545">
          <cell r="C6545" t="str">
            <v>推广订单扣款</v>
          </cell>
        </row>
        <row r="6545">
          <cell r="H6545" t="str">
            <v>下沙店</v>
          </cell>
          <cell r="I6545">
            <v>46098</v>
          </cell>
          <cell r="J6545">
            <v>-200</v>
          </cell>
        </row>
        <row r="6546">
          <cell r="C6546" t="str">
            <v>推广订单扣款</v>
          </cell>
        </row>
        <row r="6546">
          <cell r="H6546" t="str">
            <v>华信店</v>
          </cell>
          <cell r="I6546">
            <v>46098</v>
          </cell>
          <cell r="J6546">
            <v>-160</v>
          </cell>
        </row>
        <row r="6547">
          <cell r="C6547" t="str">
            <v>推广订单扣款</v>
          </cell>
        </row>
        <row r="6547">
          <cell r="H6547" t="str">
            <v>槐荫店</v>
          </cell>
          <cell r="I6547">
            <v>46098</v>
          </cell>
          <cell r="J6547">
            <v>-135</v>
          </cell>
        </row>
        <row r="6548">
          <cell r="C6548" t="str">
            <v>推广订单扣款</v>
          </cell>
        </row>
        <row r="6548">
          <cell r="H6548" t="str">
            <v>湖里店</v>
          </cell>
          <cell r="I6548">
            <v>46099</v>
          </cell>
          <cell r="J6548">
            <v>-140.61</v>
          </cell>
        </row>
        <row r="6549">
          <cell r="C6549" t="str">
            <v>推广订单扣款</v>
          </cell>
        </row>
        <row r="6549">
          <cell r="H6549" t="str">
            <v>东新店</v>
          </cell>
          <cell r="I6549">
            <v>46099</v>
          </cell>
          <cell r="J6549">
            <v>-128.15</v>
          </cell>
        </row>
        <row r="6550">
          <cell r="C6550" t="str">
            <v>推广订单扣款</v>
          </cell>
        </row>
        <row r="6550">
          <cell r="H6550" t="str">
            <v>泉秀店</v>
          </cell>
          <cell r="I6550">
            <v>46099</v>
          </cell>
          <cell r="J6550">
            <v>-177.51</v>
          </cell>
        </row>
        <row r="6551">
          <cell r="C6551" t="str">
            <v>推广订单扣款</v>
          </cell>
        </row>
        <row r="6551">
          <cell r="H6551" t="str">
            <v>启点店</v>
          </cell>
          <cell r="I6551">
            <v>46099</v>
          </cell>
          <cell r="J6551">
            <v>-119.49</v>
          </cell>
        </row>
        <row r="6552">
          <cell r="C6552" t="str">
            <v>推广订单扣款</v>
          </cell>
        </row>
        <row r="6552">
          <cell r="H6552" t="str">
            <v>高新店</v>
          </cell>
          <cell r="I6552">
            <v>46099</v>
          </cell>
          <cell r="J6552">
            <v>-86.36</v>
          </cell>
        </row>
        <row r="6553">
          <cell r="C6553" t="str">
            <v>推广订单扣款</v>
          </cell>
        </row>
        <row r="6553">
          <cell r="H6553" t="str">
            <v>成华店</v>
          </cell>
          <cell r="I6553">
            <v>46099</v>
          </cell>
          <cell r="J6553">
            <v>-51.89</v>
          </cell>
        </row>
        <row r="6554">
          <cell r="C6554" t="str">
            <v>推广订单扣款</v>
          </cell>
        </row>
        <row r="6554">
          <cell r="H6554" t="str">
            <v>金牛店</v>
          </cell>
          <cell r="I6554">
            <v>46099</v>
          </cell>
          <cell r="J6554">
            <v>-36.33</v>
          </cell>
        </row>
        <row r="6555">
          <cell r="C6555" t="str">
            <v>推广订单扣款</v>
          </cell>
        </row>
        <row r="6555">
          <cell r="H6555" t="str">
            <v>西山店</v>
          </cell>
          <cell r="I6555">
            <v>46099</v>
          </cell>
          <cell r="J6555">
            <v>-69.07</v>
          </cell>
        </row>
        <row r="6556">
          <cell r="C6556" t="str">
            <v>推广账户自动充值</v>
          </cell>
        </row>
        <row r="6556">
          <cell r="H6556" t="str">
            <v>沙坪坝店</v>
          </cell>
          <cell r="I6556">
            <v>46099</v>
          </cell>
          <cell r="J6556">
            <v>200</v>
          </cell>
        </row>
        <row r="6557">
          <cell r="C6557" t="str">
            <v>推广订单扣款</v>
          </cell>
        </row>
        <row r="6557">
          <cell r="H6557" t="str">
            <v>沙坪坝店</v>
          </cell>
          <cell r="I6557">
            <v>46099</v>
          </cell>
          <cell r="J6557">
            <v>-136.43</v>
          </cell>
        </row>
        <row r="6558">
          <cell r="C6558" t="str">
            <v>推广账户自动充值</v>
          </cell>
        </row>
        <row r="6558">
          <cell r="H6558" t="str">
            <v>凤城二路店</v>
          </cell>
          <cell r="I6558">
            <v>46099</v>
          </cell>
          <cell r="J6558">
            <v>200</v>
          </cell>
        </row>
        <row r="6559">
          <cell r="C6559" t="str">
            <v>推广订单扣款</v>
          </cell>
        </row>
        <row r="6559">
          <cell r="H6559" t="str">
            <v>凤城二路店</v>
          </cell>
          <cell r="I6559">
            <v>46099</v>
          </cell>
          <cell r="J6559">
            <v>-152.58</v>
          </cell>
        </row>
        <row r="6560">
          <cell r="C6560" t="str">
            <v>推广订单扣款</v>
          </cell>
        </row>
        <row r="6560">
          <cell r="H6560" t="str">
            <v>大坪店</v>
          </cell>
          <cell r="I6560">
            <v>46099</v>
          </cell>
          <cell r="J6560">
            <v>-115.43</v>
          </cell>
        </row>
        <row r="6561">
          <cell r="C6561" t="str">
            <v>推广订单扣款</v>
          </cell>
        </row>
        <row r="6561">
          <cell r="H6561" t="str">
            <v>五华店</v>
          </cell>
          <cell r="I6561">
            <v>46099</v>
          </cell>
          <cell r="J6561">
            <v>-148.7</v>
          </cell>
        </row>
        <row r="6562">
          <cell r="C6562" t="str">
            <v>推广账户自动充值</v>
          </cell>
        </row>
        <row r="6562">
          <cell r="H6562" t="str">
            <v>五华店</v>
          </cell>
          <cell r="I6562">
            <v>46099</v>
          </cell>
          <cell r="J6562">
            <v>200</v>
          </cell>
        </row>
        <row r="6563">
          <cell r="C6563" t="str">
            <v>推广订单扣款</v>
          </cell>
        </row>
        <row r="6563">
          <cell r="H6563" t="str">
            <v>官渡店</v>
          </cell>
          <cell r="I6563">
            <v>46099</v>
          </cell>
          <cell r="J6563">
            <v>-117.07</v>
          </cell>
        </row>
        <row r="6564">
          <cell r="C6564" t="str">
            <v>推广订单扣款</v>
          </cell>
        </row>
        <row r="6564">
          <cell r="H6564" t="str">
            <v>百捷店</v>
          </cell>
          <cell r="I6564">
            <v>46099</v>
          </cell>
          <cell r="J6564">
            <v>-164.92</v>
          </cell>
        </row>
        <row r="6565">
          <cell r="C6565" t="str">
            <v>推广订单扣款</v>
          </cell>
        </row>
        <row r="6565">
          <cell r="H6565" t="str">
            <v>济南店</v>
          </cell>
          <cell r="I6565">
            <v>46099</v>
          </cell>
          <cell r="J6565">
            <v>-124.08</v>
          </cell>
        </row>
        <row r="6566">
          <cell r="C6566" t="str">
            <v>推广订单扣款</v>
          </cell>
        </row>
        <row r="6566">
          <cell r="H6566" t="str">
            <v>观音桥店</v>
          </cell>
          <cell r="I6566">
            <v>46099</v>
          </cell>
          <cell r="J6566">
            <v>-71.21</v>
          </cell>
        </row>
        <row r="6567">
          <cell r="C6567" t="str">
            <v>推广订单扣款</v>
          </cell>
        </row>
        <row r="6567">
          <cell r="H6567" t="str">
            <v>长沙店</v>
          </cell>
          <cell r="I6567">
            <v>46099</v>
          </cell>
          <cell r="J6567">
            <v>-60.59</v>
          </cell>
        </row>
        <row r="6568">
          <cell r="C6568" t="str">
            <v>推广订单扣款</v>
          </cell>
        </row>
        <row r="6568">
          <cell r="H6568" t="str">
            <v>洛江店</v>
          </cell>
          <cell r="I6568">
            <v>46099</v>
          </cell>
          <cell r="J6568">
            <v>-96.58</v>
          </cell>
        </row>
        <row r="6569">
          <cell r="C6569" t="str">
            <v>推广订单扣款</v>
          </cell>
        </row>
        <row r="6569">
          <cell r="H6569" t="str">
            <v>五路口店</v>
          </cell>
          <cell r="I6569">
            <v>46099</v>
          </cell>
          <cell r="J6569">
            <v>-96.57</v>
          </cell>
        </row>
        <row r="6570">
          <cell r="C6570" t="str">
            <v>推广订单扣款</v>
          </cell>
        </row>
        <row r="6570">
          <cell r="H6570" t="str">
            <v>青羊店</v>
          </cell>
          <cell r="I6570">
            <v>46099</v>
          </cell>
          <cell r="J6570">
            <v>-37.79</v>
          </cell>
        </row>
        <row r="6571">
          <cell r="C6571" t="str">
            <v>推广订单扣款</v>
          </cell>
        </row>
        <row r="6571">
          <cell r="H6571" t="str">
            <v>武侯店</v>
          </cell>
          <cell r="I6571">
            <v>46099</v>
          </cell>
          <cell r="J6571">
            <v>-86.93</v>
          </cell>
        </row>
        <row r="6572">
          <cell r="C6572" t="str">
            <v>推广订单扣款</v>
          </cell>
        </row>
        <row r="6572">
          <cell r="H6572" t="str">
            <v>鼓楼店</v>
          </cell>
          <cell r="I6572">
            <v>46099</v>
          </cell>
          <cell r="J6572">
            <v>-200</v>
          </cell>
        </row>
        <row r="6573">
          <cell r="C6573" t="str">
            <v>推广订单扣款</v>
          </cell>
        </row>
        <row r="6573">
          <cell r="H6573" t="str">
            <v>黄雁村店</v>
          </cell>
          <cell r="I6573">
            <v>46099</v>
          </cell>
          <cell r="J6573">
            <v>-130.66</v>
          </cell>
        </row>
        <row r="6574">
          <cell r="C6574" t="str">
            <v>推广订单扣款</v>
          </cell>
        </row>
        <row r="6574">
          <cell r="H6574" t="str">
            <v>西湖店</v>
          </cell>
          <cell r="I6574">
            <v>46099</v>
          </cell>
          <cell r="J6574">
            <v>-159.66</v>
          </cell>
        </row>
        <row r="6575">
          <cell r="C6575" t="str">
            <v>推广订单扣款</v>
          </cell>
        </row>
        <row r="6575">
          <cell r="H6575" t="str">
            <v>百丈店</v>
          </cell>
          <cell r="I6575">
            <v>46099</v>
          </cell>
          <cell r="J6575">
            <v>-161.96</v>
          </cell>
        </row>
        <row r="6576">
          <cell r="C6576" t="str">
            <v>推广订单扣款</v>
          </cell>
        </row>
        <row r="6576">
          <cell r="H6576" t="str">
            <v>文昌店</v>
          </cell>
          <cell r="I6576">
            <v>46099</v>
          </cell>
          <cell r="J6576">
            <v>-94.56</v>
          </cell>
        </row>
        <row r="6577">
          <cell r="C6577" t="str">
            <v>推广订单扣款</v>
          </cell>
        </row>
        <row r="6577">
          <cell r="H6577" t="str">
            <v>观桥店</v>
          </cell>
          <cell r="I6577">
            <v>46099</v>
          </cell>
          <cell r="J6577">
            <v>-200</v>
          </cell>
        </row>
        <row r="6578">
          <cell r="C6578" t="str">
            <v>推广订单扣款</v>
          </cell>
        </row>
        <row r="6578">
          <cell r="H6578" t="str">
            <v>海口店</v>
          </cell>
          <cell r="I6578">
            <v>46099</v>
          </cell>
          <cell r="J6578">
            <v>-300</v>
          </cell>
        </row>
        <row r="6579">
          <cell r="C6579" t="str">
            <v>推广订单扣款</v>
          </cell>
        </row>
        <row r="6579">
          <cell r="H6579" t="str">
            <v>诚毅店</v>
          </cell>
          <cell r="I6579">
            <v>46099</v>
          </cell>
          <cell r="J6579">
            <v>-179.62</v>
          </cell>
        </row>
        <row r="6580">
          <cell r="C6580" t="str">
            <v>推广订单扣款</v>
          </cell>
        </row>
        <row r="6580">
          <cell r="H6580" t="str">
            <v>首山店</v>
          </cell>
          <cell r="I6580">
            <v>46099</v>
          </cell>
          <cell r="J6580">
            <v>-88.59</v>
          </cell>
        </row>
        <row r="6581">
          <cell r="C6581" t="str">
            <v>推广订单扣款</v>
          </cell>
        </row>
        <row r="6581">
          <cell r="H6581" t="str">
            <v>首南店</v>
          </cell>
          <cell r="I6581">
            <v>46099</v>
          </cell>
          <cell r="J6581">
            <v>-163.33</v>
          </cell>
        </row>
        <row r="6582">
          <cell r="C6582" t="str">
            <v>推广订单扣款</v>
          </cell>
        </row>
        <row r="6582">
          <cell r="H6582" t="str">
            <v>余杭店</v>
          </cell>
          <cell r="I6582">
            <v>46099</v>
          </cell>
          <cell r="J6582">
            <v>-154.84</v>
          </cell>
        </row>
        <row r="6583">
          <cell r="C6583" t="str">
            <v>推广订单扣款</v>
          </cell>
        </row>
        <row r="6583">
          <cell r="H6583" t="str">
            <v>东海店</v>
          </cell>
          <cell r="I6583">
            <v>46099</v>
          </cell>
          <cell r="J6583">
            <v>-57.06</v>
          </cell>
        </row>
        <row r="6584">
          <cell r="C6584" t="str">
            <v>推广订单扣款</v>
          </cell>
        </row>
        <row r="6584">
          <cell r="H6584" t="str">
            <v>文灶店</v>
          </cell>
          <cell r="I6584">
            <v>46099</v>
          </cell>
          <cell r="J6584">
            <v>-42.56</v>
          </cell>
        </row>
        <row r="6585">
          <cell r="C6585" t="str">
            <v>推广订单扣款</v>
          </cell>
        </row>
        <row r="6585">
          <cell r="H6585" t="str">
            <v>滨江店</v>
          </cell>
          <cell r="I6585">
            <v>46099</v>
          </cell>
          <cell r="J6585">
            <v>-200</v>
          </cell>
        </row>
        <row r="6586">
          <cell r="C6586" t="str">
            <v>推广账户自动充值</v>
          </cell>
        </row>
        <row r="6586">
          <cell r="H6586" t="str">
            <v>下沙店</v>
          </cell>
          <cell r="I6586">
            <v>46099</v>
          </cell>
          <cell r="J6586">
            <v>100</v>
          </cell>
        </row>
        <row r="6587">
          <cell r="C6587" t="str">
            <v>推广订单扣款</v>
          </cell>
        </row>
        <row r="6587">
          <cell r="H6587" t="str">
            <v>下沙店</v>
          </cell>
          <cell r="I6587">
            <v>46099</v>
          </cell>
          <cell r="J6587">
            <v>-200</v>
          </cell>
        </row>
        <row r="6588">
          <cell r="C6588" t="str">
            <v>推广订单扣款</v>
          </cell>
        </row>
        <row r="6588">
          <cell r="H6588" t="str">
            <v>华信店</v>
          </cell>
          <cell r="I6588">
            <v>46099</v>
          </cell>
          <cell r="J6588">
            <v>-160</v>
          </cell>
        </row>
        <row r="6589">
          <cell r="C6589" t="str">
            <v>推广订单扣款</v>
          </cell>
        </row>
        <row r="6589">
          <cell r="H6589" t="str">
            <v>槐荫店</v>
          </cell>
          <cell r="I6589">
            <v>46099</v>
          </cell>
          <cell r="J6589">
            <v>-135</v>
          </cell>
        </row>
        <row r="6590">
          <cell r="C6590" t="str">
            <v>推广账户自动充值</v>
          </cell>
        </row>
        <row r="6590">
          <cell r="H6590" t="str">
            <v>湖里店</v>
          </cell>
          <cell r="I6590">
            <v>46100</v>
          </cell>
          <cell r="J6590">
            <v>200</v>
          </cell>
        </row>
        <row r="6591">
          <cell r="C6591" t="str">
            <v>推广订单扣款</v>
          </cell>
        </row>
        <row r="6591">
          <cell r="H6591" t="str">
            <v>湖里店</v>
          </cell>
          <cell r="I6591">
            <v>46100</v>
          </cell>
          <cell r="J6591">
            <v>-115.35</v>
          </cell>
        </row>
        <row r="6592">
          <cell r="C6592" t="str">
            <v>推广订单扣款</v>
          </cell>
        </row>
        <row r="6592">
          <cell r="H6592" t="str">
            <v>东新店</v>
          </cell>
          <cell r="I6592">
            <v>46100</v>
          </cell>
          <cell r="J6592">
            <v>-111.01</v>
          </cell>
        </row>
        <row r="6593">
          <cell r="C6593" t="str">
            <v>推广账户自动充值</v>
          </cell>
        </row>
        <row r="6593">
          <cell r="H6593" t="str">
            <v>泉秀店</v>
          </cell>
          <cell r="I6593">
            <v>46100</v>
          </cell>
          <cell r="J6593">
            <v>200</v>
          </cell>
        </row>
        <row r="6594">
          <cell r="C6594" t="str">
            <v>推广订单扣款</v>
          </cell>
        </row>
        <row r="6594">
          <cell r="H6594" t="str">
            <v>泉秀店</v>
          </cell>
          <cell r="I6594">
            <v>46100</v>
          </cell>
          <cell r="J6594">
            <v>-200</v>
          </cell>
        </row>
        <row r="6595">
          <cell r="C6595" t="str">
            <v>推广订单扣款</v>
          </cell>
        </row>
        <row r="6595">
          <cell r="H6595" t="str">
            <v>启点店</v>
          </cell>
          <cell r="I6595">
            <v>46100</v>
          </cell>
          <cell r="J6595">
            <v>-108.77</v>
          </cell>
        </row>
        <row r="6596">
          <cell r="C6596" t="str">
            <v>推广订单扣款</v>
          </cell>
        </row>
        <row r="6596">
          <cell r="H6596" t="str">
            <v>高新店</v>
          </cell>
          <cell r="I6596">
            <v>46100</v>
          </cell>
          <cell r="J6596">
            <v>-57.95</v>
          </cell>
        </row>
        <row r="6597">
          <cell r="C6597" t="str">
            <v>推广订单扣款</v>
          </cell>
        </row>
        <row r="6597">
          <cell r="H6597" t="str">
            <v>成华店</v>
          </cell>
          <cell r="I6597">
            <v>46100</v>
          </cell>
          <cell r="J6597">
            <v>-25.94</v>
          </cell>
        </row>
        <row r="6598">
          <cell r="C6598" t="str">
            <v>推广订单扣款</v>
          </cell>
        </row>
        <row r="6598">
          <cell r="H6598" t="str">
            <v>金牛店</v>
          </cell>
          <cell r="I6598">
            <v>46100</v>
          </cell>
          <cell r="J6598">
            <v>-37.08</v>
          </cell>
        </row>
        <row r="6599">
          <cell r="C6599" t="str">
            <v>推广订单扣款</v>
          </cell>
        </row>
        <row r="6599">
          <cell r="H6599" t="str">
            <v>西山店</v>
          </cell>
          <cell r="I6599">
            <v>46100</v>
          </cell>
          <cell r="J6599">
            <v>-99.56</v>
          </cell>
        </row>
        <row r="6600">
          <cell r="C6600" t="str">
            <v>推广订单扣款</v>
          </cell>
        </row>
        <row r="6600">
          <cell r="H6600" t="str">
            <v>沙坪坝店</v>
          </cell>
          <cell r="I6600">
            <v>46100</v>
          </cell>
          <cell r="J6600">
            <v>-137.37</v>
          </cell>
        </row>
        <row r="6601">
          <cell r="C6601" t="str">
            <v>推广订单扣款</v>
          </cell>
        </row>
        <row r="6601">
          <cell r="H6601" t="str">
            <v>凤城二路店</v>
          </cell>
          <cell r="I6601">
            <v>46100</v>
          </cell>
          <cell r="J6601">
            <v>-139.69</v>
          </cell>
        </row>
        <row r="6602">
          <cell r="C6602" t="str">
            <v>推广订单扣款</v>
          </cell>
        </row>
        <row r="6602">
          <cell r="H6602" t="str">
            <v>大坪店</v>
          </cell>
          <cell r="I6602">
            <v>46100</v>
          </cell>
          <cell r="J6602">
            <v>-104.71</v>
          </cell>
        </row>
        <row r="6603">
          <cell r="C6603" t="str">
            <v>推广订单扣款</v>
          </cell>
        </row>
        <row r="6603">
          <cell r="H6603" t="str">
            <v>五华店</v>
          </cell>
          <cell r="I6603">
            <v>46100</v>
          </cell>
          <cell r="J6603">
            <v>-158.14</v>
          </cell>
        </row>
        <row r="6604">
          <cell r="C6604" t="str">
            <v>推广订单扣款</v>
          </cell>
        </row>
        <row r="6604">
          <cell r="H6604" t="str">
            <v>官渡店</v>
          </cell>
          <cell r="I6604">
            <v>46100</v>
          </cell>
          <cell r="J6604">
            <v>-141.8</v>
          </cell>
        </row>
        <row r="6605">
          <cell r="C6605" t="str">
            <v>推广订单扣款</v>
          </cell>
        </row>
        <row r="6605">
          <cell r="H6605" t="str">
            <v>百捷店</v>
          </cell>
          <cell r="I6605">
            <v>46100</v>
          </cell>
          <cell r="J6605">
            <v>-169.04</v>
          </cell>
        </row>
        <row r="6606">
          <cell r="C6606" t="str">
            <v>推广订单扣款</v>
          </cell>
        </row>
        <row r="6606">
          <cell r="H6606" t="str">
            <v>济南店</v>
          </cell>
          <cell r="I6606">
            <v>46100</v>
          </cell>
          <cell r="J6606">
            <v>-144.25</v>
          </cell>
        </row>
        <row r="6607">
          <cell r="C6607" t="str">
            <v>推广账户自动充值</v>
          </cell>
        </row>
        <row r="6607">
          <cell r="H6607" t="str">
            <v>观音桥店</v>
          </cell>
          <cell r="I6607">
            <v>46100</v>
          </cell>
          <cell r="J6607">
            <v>200</v>
          </cell>
        </row>
        <row r="6608">
          <cell r="C6608" t="str">
            <v>推广订单扣款</v>
          </cell>
        </row>
        <row r="6608">
          <cell r="H6608" t="str">
            <v>观音桥店</v>
          </cell>
          <cell r="I6608">
            <v>46100</v>
          </cell>
          <cell r="J6608">
            <v>-88.99</v>
          </cell>
        </row>
        <row r="6609">
          <cell r="C6609" t="str">
            <v>推广账户自动充值</v>
          </cell>
        </row>
        <row r="6609">
          <cell r="H6609" t="str">
            <v>长沙店</v>
          </cell>
          <cell r="I6609">
            <v>46100</v>
          </cell>
          <cell r="J6609">
            <v>200</v>
          </cell>
        </row>
        <row r="6610">
          <cell r="C6610" t="str">
            <v>推广订单扣款</v>
          </cell>
        </row>
        <row r="6610">
          <cell r="H6610" t="str">
            <v>长沙店</v>
          </cell>
          <cell r="I6610">
            <v>46100</v>
          </cell>
          <cell r="J6610">
            <v>-120.02</v>
          </cell>
        </row>
        <row r="6611">
          <cell r="C6611" t="str">
            <v>推广订单扣款</v>
          </cell>
        </row>
        <row r="6611">
          <cell r="H6611" t="str">
            <v>洛江店</v>
          </cell>
          <cell r="I6611">
            <v>46100</v>
          </cell>
          <cell r="J6611">
            <v>-96.83</v>
          </cell>
        </row>
        <row r="6612">
          <cell r="C6612" t="str">
            <v>推广订单扣款</v>
          </cell>
        </row>
        <row r="6612">
          <cell r="H6612" t="str">
            <v>五路口店</v>
          </cell>
          <cell r="I6612">
            <v>46100</v>
          </cell>
          <cell r="J6612">
            <v>-102.13</v>
          </cell>
        </row>
        <row r="6613">
          <cell r="C6613" t="str">
            <v>推广订单扣款</v>
          </cell>
        </row>
        <row r="6613">
          <cell r="H6613" t="str">
            <v>青羊店</v>
          </cell>
          <cell r="I6613">
            <v>46100</v>
          </cell>
          <cell r="J6613">
            <v>-27.35</v>
          </cell>
        </row>
        <row r="6614">
          <cell r="C6614" t="str">
            <v>推广订单扣款</v>
          </cell>
        </row>
        <row r="6614">
          <cell r="H6614" t="str">
            <v>武侯店</v>
          </cell>
          <cell r="I6614">
            <v>46100</v>
          </cell>
          <cell r="J6614">
            <v>-54.07</v>
          </cell>
        </row>
        <row r="6615">
          <cell r="C6615" t="str">
            <v>推广订单扣款</v>
          </cell>
        </row>
        <row r="6615">
          <cell r="H6615" t="str">
            <v>鼓楼店</v>
          </cell>
          <cell r="I6615">
            <v>46100</v>
          </cell>
          <cell r="J6615">
            <v>-200</v>
          </cell>
        </row>
        <row r="6616">
          <cell r="C6616" t="str">
            <v>推广订单扣款</v>
          </cell>
        </row>
        <row r="6616">
          <cell r="H6616" t="str">
            <v>黄雁村店</v>
          </cell>
          <cell r="I6616">
            <v>46100</v>
          </cell>
          <cell r="J6616">
            <v>-120.16</v>
          </cell>
        </row>
        <row r="6617">
          <cell r="C6617" t="str">
            <v>推广订单扣款</v>
          </cell>
        </row>
        <row r="6617">
          <cell r="H6617" t="str">
            <v>西湖店</v>
          </cell>
          <cell r="I6617">
            <v>46100</v>
          </cell>
          <cell r="J6617">
            <v>-137.61</v>
          </cell>
        </row>
        <row r="6618">
          <cell r="C6618" t="str">
            <v>推广账户自动充值</v>
          </cell>
        </row>
        <row r="6618">
          <cell r="H6618" t="str">
            <v>百丈店</v>
          </cell>
          <cell r="I6618">
            <v>46100</v>
          </cell>
          <cell r="J6618">
            <v>200</v>
          </cell>
        </row>
        <row r="6619">
          <cell r="C6619" t="str">
            <v>推广订单扣款</v>
          </cell>
        </row>
        <row r="6619">
          <cell r="H6619" t="str">
            <v>百丈店</v>
          </cell>
          <cell r="I6619">
            <v>46100</v>
          </cell>
          <cell r="J6619">
            <v>-159.33</v>
          </cell>
        </row>
        <row r="6620">
          <cell r="C6620" t="str">
            <v>推广账户自动充值</v>
          </cell>
        </row>
        <row r="6620">
          <cell r="H6620" t="str">
            <v>文昌店</v>
          </cell>
          <cell r="I6620">
            <v>46100</v>
          </cell>
          <cell r="J6620">
            <v>200</v>
          </cell>
        </row>
        <row r="6621">
          <cell r="C6621" t="str">
            <v>推广订单扣款</v>
          </cell>
        </row>
        <row r="6621">
          <cell r="H6621" t="str">
            <v>文昌店</v>
          </cell>
          <cell r="I6621">
            <v>46100</v>
          </cell>
          <cell r="J6621">
            <v>-152.35</v>
          </cell>
        </row>
        <row r="6622">
          <cell r="C6622" t="str">
            <v>推广订单扣款</v>
          </cell>
        </row>
        <row r="6622">
          <cell r="H6622" t="str">
            <v>观桥店</v>
          </cell>
          <cell r="I6622">
            <v>46100</v>
          </cell>
          <cell r="J6622">
            <v>-93.95</v>
          </cell>
        </row>
        <row r="6623">
          <cell r="C6623" t="str">
            <v>推广订单扣款</v>
          </cell>
        </row>
        <row r="6623">
          <cell r="H6623" t="str">
            <v>海口店</v>
          </cell>
          <cell r="I6623">
            <v>46100</v>
          </cell>
          <cell r="J6623">
            <v>-300</v>
          </cell>
        </row>
        <row r="6624">
          <cell r="C6624" t="str">
            <v>推广订单扣款</v>
          </cell>
        </row>
        <row r="6624">
          <cell r="H6624" t="str">
            <v>南安店</v>
          </cell>
          <cell r="I6624">
            <v>46100</v>
          </cell>
          <cell r="J6624">
            <v>-21.89</v>
          </cell>
        </row>
        <row r="6625">
          <cell r="C6625" t="str">
            <v>推广账户自动充值</v>
          </cell>
        </row>
        <row r="6625">
          <cell r="H6625" t="str">
            <v>诚毅店</v>
          </cell>
          <cell r="I6625">
            <v>46100</v>
          </cell>
          <cell r="J6625">
            <v>200</v>
          </cell>
        </row>
        <row r="6626">
          <cell r="C6626" t="str">
            <v>推广订单扣款</v>
          </cell>
        </row>
        <row r="6626">
          <cell r="H6626" t="str">
            <v>诚毅店</v>
          </cell>
          <cell r="I6626">
            <v>46100</v>
          </cell>
          <cell r="J6626">
            <v>-136.54</v>
          </cell>
        </row>
        <row r="6627">
          <cell r="C6627" t="str">
            <v>推广订单扣款</v>
          </cell>
        </row>
        <row r="6627">
          <cell r="H6627" t="str">
            <v>首山店</v>
          </cell>
          <cell r="I6627">
            <v>46100</v>
          </cell>
          <cell r="J6627">
            <v>-76.05</v>
          </cell>
        </row>
        <row r="6628">
          <cell r="C6628" t="str">
            <v>推广订单扣款</v>
          </cell>
        </row>
        <row r="6628">
          <cell r="H6628" t="str">
            <v>首南店</v>
          </cell>
          <cell r="I6628">
            <v>46100</v>
          </cell>
          <cell r="J6628">
            <v>-158.79</v>
          </cell>
        </row>
        <row r="6629">
          <cell r="C6629" t="str">
            <v>推广订单扣款</v>
          </cell>
        </row>
        <row r="6629">
          <cell r="H6629" t="str">
            <v>余杭店</v>
          </cell>
          <cell r="I6629">
            <v>46100</v>
          </cell>
          <cell r="J6629">
            <v>-166.3</v>
          </cell>
        </row>
        <row r="6630">
          <cell r="C6630" t="str">
            <v>推广订单扣款</v>
          </cell>
        </row>
        <row r="6630">
          <cell r="H6630" t="str">
            <v>东海店</v>
          </cell>
          <cell r="I6630">
            <v>46100</v>
          </cell>
          <cell r="J6630">
            <v>-66.93</v>
          </cell>
        </row>
        <row r="6631">
          <cell r="C6631" t="str">
            <v>推广订单扣款</v>
          </cell>
        </row>
        <row r="6631">
          <cell r="H6631" t="str">
            <v>文灶店</v>
          </cell>
          <cell r="I6631">
            <v>46100</v>
          </cell>
          <cell r="J6631">
            <v>-37.3</v>
          </cell>
        </row>
        <row r="6632">
          <cell r="C6632" t="str">
            <v>推广订单扣款</v>
          </cell>
        </row>
        <row r="6632">
          <cell r="H6632" t="str">
            <v>滨江店</v>
          </cell>
          <cell r="I6632">
            <v>46100</v>
          </cell>
          <cell r="J6632">
            <v>-193.4</v>
          </cell>
        </row>
        <row r="6633">
          <cell r="C6633" t="str">
            <v>推广账户自动充值</v>
          </cell>
        </row>
        <row r="6633">
          <cell r="H6633" t="str">
            <v>下沙店</v>
          </cell>
          <cell r="I6633">
            <v>46100</v>
          </cell>
          <cell r="J6633">
            <v>100</v>
          </cell>
        </row>
        <row r="6634">
          <cell r="C6634" t="str">
            <v>推广订单扣款</v>
          </cell>
        </row>
        <row r="6634">
          <cell r="H6634" t="str">
            <v>下沙店</v>
          </cell>
          <cell r="I6634">
            <v>46100</v>
          </cell>
          <cell r="J6634">
            <v>-184.26</v>
          </cell>
        </row>
        <row r="6635">
          <cell r="C6635" t="str">
            <v>推广订单扣款</v>
          </cell>
        </row>
        <row r="6635">
          <cell r="H6635" t="str">
            <v>华信店</v>
          </cell>
          <cell r="I6635">
            <v>46100</v>
          </cell>
          <cell r="J6635">
            <v>-160</v>
          </cell>
        </row>
        <row r="6636">
          <cell r="C6636" t="str">
            <v>推广订单扣款</v>
          </cell>
        </row>
        <row r="6636">
          <cell r="H6636" t="str">
            <v>槐荫店</v>
          </cell>
          <cell r="I6636">
            <v>46100</v>
          </cell>
          <cell r="J6636">
            <v>-135</v>
          </cell>
        </row>
        <row r="6637">
          <cell r="C6637" t="str">
            <v>推广订单扣款</v>
          </cell>
        </row>
        <row r="6637">
          <cell r="H6637" t="str">
            <v>华信店</v>
          </cell>
          <cell r="I6637">
            <v>46103</v>
          </cell>
          <cell r="J6637">
            <v>-160</v>
          </cell>
        </row>
        <row r="6638">
          <cell r="C6638" t="str">
            <v>推广账户自动充值</v>
          </cell>
        </row>
        <row r="6638">
          <cell r="H6638" t="str">
            <v>华信店</v>
          </cell>
          <cell r="I6638">
            <v>46102</v>
          </cell>
          <cell r="J6638">
            <v>200</v>
          </cell>
        </row>
        <row r="6639">
          <cell r="C6639" t="str">
            <v>推广订单扣款</v>
          </cell>
        </row>
        <row r="6639">
          <cell r="H6639" t="str">
            <v>华信店</v>
          </cell>
          <cell r="I6639">
            <v>46102</v>
          </cell>
          <cell r="J6639">
            <v>-160</v>
          </cell>
        </row>
        <row r="6640">
          <cell r="C6640" t="str">
            <v>推广账户自动充值</v>
          </cell>
        </row>
        <row r="6640">
          <cell r="H6640" t="str">
            <v>华信店</v>
          </cell>
          <cell r="I6640">
            <v>46101</v>
          </cell>
          <cell r="J6640">
            <v>200</v>
          </cell>
        </row>
        <row r="6641">
          <cell r="C6641" t="str">
            <v>推广订单扣款</v>
          </cell>
        </row>
        <row r="6641">
          <cell r="H6641" t="str">
            <v>华信店</v>
          </cell>
          <cell r="I6641">
            <v>46101</v>
          </cell>
          <cell r="J6641">
            <v>-160</v>
          </cell>
        </row>
        <row r="6642">
          <cell r="C6642" t="str">
            <v>推广订单扣款</v>
          </cell>
        </row>
        <row r="6642">
          <cell r="H6642" t="str">
            <v>槐荫店</v>
          </cell>
          <cell r="I6642">
            <v>46103</v>
          </cell>
          <cell r="J6642">
            <v>-135</v>
          </cell>
        </row>
        <row r="6643">
          <cell r="C6643" t="str">
            <v>推广订单扣款</v>
          </cell>
        </row>
        <row r="6643">
          <cell r="H6643" t="str">
            <v>槐荫店</v>
          </cell>
          <cell r="I6643">
            <v>46102</v>
          </cell>
          <cell r="J6643">
            <v>-135</v>
          </cell>
        </row>
        <row r="6644">
          <cell r="C6644" t="str">
            <v>推广账户自动充值</v>
          </cell>
        </row>
        <row r="6644">
          <cell r="H6644" t="str">
            <v>槐荫店</v>
          </cell>
          <cell r="I6644">
            <v>46101</v>
          </cell>
          <cell r="J6644">
            <v>200</v>
          </cell>
        </row>
        <row r="6645">
          <cell r="C6645" t="str">
            <v>推广订单扣款</v>
          </cell>
        </row>
        <row r="6645">
          <cell r="H6645" t="str">
            <v>槐荫店</v>
          </cell>
          <cell r="I6645">
            <v>46101</v>
          </cell>
          <cell r="J6645">
            <v>-135</v>
          </cell>
        </row>
        <row r="6646">
          <cell r="C6646" t="str">
            <v>推广订单扣款</v>
          </cell>
        </row>
        <row r="6646">
          <cell r="H6646" t="str">
            <v>湖里店</v>
          </cell>
          <cell r="I6646">
            <v>46103</v>
          </cell>
          <cell r="J6646">
            <v>-128.6</v>
          </cell>
        </row>
        <row r="6647">
          <cell r="C6647" t="str">
            <v>推广订单扣款</v>
          </cell>
        </row>
        <row r="6647">
          <cell r="H6647" t="str">
            <v>湖里店</v>
          </cell>
          <cell r="I6647">
            <v>46102</v>
          </cell>
          <cell r="J6647">
            <v>-134.23</v>
          </cell>
        </row>
        <row r="6648">
          <cell r="C6648" t="str">
            <v>推广账户自动充值</v>
          </cell>
        </row>
        <row r="6648">
          <cell r="H6648" t="str">
            <v>湖里店</v>
          </cell>
          <cell r="I6648">
            <v>46101</v>
          </cell>
          <cell r="J6648">
            <v>200</v>
          </cell>
        </row>
        <row r="6649">
          <cell r="C6649" t="str">
            <v>推广订单扣款</v>
          </cell>
        </row>
        <row r="6649">
          <cell r="H6649" t="str">
            <v>湖里店</v>
          </cell>
          <cell r="I6649">
            <v>46101</v>
          </cell>
          <cell r="J6649">
            <v>-99.25</v>
          </cell>
        </row>
        <row r="6650">
          <cell r="C6650" t="str">
            <v>推广订单扣款</v>
          </cell>
        </row>
        <row r="6650">
          <cell r="H6650" t="str">
            <v>东新店</v>
          </cell>
          <cell r="I6650">
            <v>46103</v>
          </cell>
          <cell r="J6650">
            <v>-112.89</v>
          </cell>
        </row>
        <row r="6651">
          <cell r="C6651" t="str">
            <v>推广账户自动充值</v>
          </cell>
        </row>
        <row r="6651">
          <cell r="H6651" t="str">
            <v>东新店</v>
          </cell>
          <cell r="I6651">
            <v>46102</v>
          </cell>
          <cell r="J6651">
            <v>200</v>
          </cell>
        </row>
        <row r="6652">
          <cell r="C6652" t="str">
            <v>推广订单扣款</v>
          </cell>
        </row>
        <row r="6652">
          <cell r="H6652" t="str">
            <v>东新店</v>
          </cell>
          <cell r="I6652">
            <v>46102</v>
          </cell>
          <cell r="J6652">
            <v>-105.12</v>
          </cell>
        </row>
        <row r="6653">
          <cell r="C6653" t="str">
            <v>推广订单扣款</v>
          </cell>
        </row>
        <row r="6653">
          <cell r="H6653" t="str">
            <v>东新店</v>
          </cell>
          <cell r="I6653">
            <v>46101</v>
          </cell>
          <cell r="J6653">
            <v>-78.71</v>
          </cell>
        </row>
        <row r="6654">
          <cell r="C6654" t="str">
            <v>推广订单扣款</v>
          </cell>
        </row>
        <row r="6654">
          <cell r="H6654" t="str">
            <v>泉秀店</v>
          </cell>
          <cell r="I6654">
            <v>46103</v>
          </cell>
          <cell r="J6654">
            <v>-158.33</v>
          </cell>
        </row>
        <row r="6655">
          <cell r="C6655" t="str">
            <v>推广账户自动充值</v>
          </cell>
        </row>
        <row r="6655">
          <cell r="H6655" t="str">
            <v>泉秀店</v>
          </cell>
          <cell r="I6655">
            <v>46102</v>
          </cell>
          <cell r="J6655">
            <v>200</v>
          </cell>
        </row>
        <row r="6656">
          <cell r="C6656" t="str">
            <v>推广订单扣款</v>
          </cell>
        </row>
        <row r="6656">
          <cell r="H6656" t="str">
            <v>泉秀店</v>
          </cell>
          <cell r="I6656">
            <v>46102</v>
          </cell>
          <cell r="J6656">
            <v>-200</v>
          </cell>
        </row>
        <row r="6657">
          <cell r="C6657" t="str">
            <v>推广账户自动充值</v>
          </cell>
        </row>
        <row r="6657">
          <cell r="H6657" t="str">
            <v>泉秀店</v>
          </cell>
          <cell r="I6657">
            <v>46101</v>
          </cell>
          <cell r="J6657">
            <v>200</v>
          </cell>
        </row>
        <row r="6658">
          <cell r="C6658" t="str">
            <v>推广订单扣款</v>
          </cell>
        </row>
        <row r="6658">
          <cell r="H6658" t="str">
            <v>泉秀店</v>
          </cell>
          <cell r="I6658">
            <v>46101</v>
          </cell>
          <cell r="J6658">
            <v>-200</v>
          </cell>
        </row>
        <row r="6659">
          <cell r="C6659" t="str">
            <v>推广订单扣款</v>
          </cell>
        </row>
        <row r="6659">
          <cell r="H6659" t="str">
            <v>启点店</v>
          </cell>
          <cell r="I6659">
            <v>46103</v>
          </cell>
          <cell r="J6659">
            <v>-93.43</v>
          </cell>
        </row>
        <row r="6660">
          <cell r="C6660" t="str">
            <v>推广账户自动充值</v>
          </cell>
        </row>
        <row r="6660">
          <cell r="H6660" t="str">
            <v>启点店</v>
          </cell>
          <cell r="I6660">
            <v>46102</v>
          </cell>
          <cell r="J6660">
            <v>200</v>
          </cell>
        </row>
        <row r="6661">
          <cell r="C6661" t="str">
            <v>推广订单扣款</v>
          </cell>
        </row>
        <row r="6661">
          <cell r="H6661" t="str">
            <v>启点店</v>
          </cell>
          <cell r="I6661">
            <v>46102</v>
          </cell>
          <cell r="J6661">
            <v>-106.39</v>
          </cell>
        </row>
        <row r="6662">
          <cell r="C6662" t="str">
            <v>推广订单扣款</v>
          </cell>
        </row>
        <row r="6662">
          <cell r="H6662" t="str">
            <v>启点店</v>
          </cell>
          <cell r="I6662">
            <v>46101</v>
          </cell>
          <cell r="J6662">
            <v>-89.89</v>
          </cell>
        </row>
        <row r="6663">
          <cell r="C6663" t="str">
            <v>推广订单扣款</v>
          </cell>
        </row>
        <row r="6663">
          <cell r="H6663" t="str">
            <v>高新店</v>
          </cell>
          <cell r="I6663">
            <v>46103</v>
          </cell>
          <cell r="J6663">
            <v>-38.25</v>
          </cell>
        </row>
        <row r="6664">
          <cell r="C6664" t="str">
            <v>推广账户自动充值</v>
          </cell>
        </row>
        <row r="6664">
          <cell r="H6664" t="str">
            <v>高新店</v>
          </cell>
          <cell r="I6664">
            <v>46102</v>
          </cell>
          <cell r="J6664">
            <v>200</v>
          </cell>
        </row>
        <row r="6665">
          <cell r="C6665" t="str">
            <v>推广订单扣款</v>
          </cell>
        </row>
        <row r="6665">
          <cell r="H6665" t="str">
            <v>高新店</v>
          </cell>
          <cell r="I6665">
            <v>46102</v>
          </cell>
          <cell r="J6665">
            <v>-47.72</v>
          </cell>
        </row>
        <row r="6666">
          <cell r="C6666" t="str">
            <v>推广订单扣款</v>
          </cell>
        </row>
        <row r="6666">
          <cell r="H6666" t="str">
            <v>高新店</v>
          </cell>
          <cell r="I6666">
            <v>46101</v>
          </cell>
          <cell r="J6666">
            <v>-52.75</v>
          </cell>
        </row>
        <row r="6667">
          <cell r="C6667" t="str">
            <v>推广订单扣款</v>
          </cell>
        </row>
        <row r="6667">
          <cell r="H6667" t="str">
            <v>成华店</v>
          </cell>
          <cell r="I6667">
            <v>46103</v>
          </cell>
          <cell r="J6667">
            <v>-25.74</v>
          </cell>
        </row>
        <row r="6668">
          <cell r="C6668" t="str">
            <v>推广订单扣款</v>
          </cell>
        </row>
        <row r="6668">
          <cell r="H6668" t="str">
            <v>成华店</v>
          </cell>
          <cell r="I6668">
            <v>46102</v>
          </cell>
          <cell r="J6668">
            <v>-52.18</v>
          </cell>
        </row>
        <row r="6669">
          <cell r="C6669" t="str">
            <v>推广订单扣款</v>
          </cell>
        </row>
        <row r="6669">
          <cell r="H6669" t="str">
            <v>成华店</v>
          </cell>
          <cell r="I6669">
            <v>46101</v>
          </cell>
          <cell r="J6669">
            <v>-30.45</v>
          </cell>
        </row>
        <row r="6670">
          <cell r="C6670" t="str">
            <v>推广订单扣款</v>
          </cell>
        </row>
        <row r="6670">
          <cell r="H6670" t="str">
            <v>金牛店</v>
          </cell>
          <cell r="I6670">
            <v>46103</v>
          </cell>
          <cell r="J6670">
            <v>-36.29</v>
          </cell>
        </row>
        <row r="6671">
          <cell r="C6671" t="str">
            <v>推广订单扣款</v>
          </cell>
        </row>
        <row r="6671">
          <cell r="H6671" t="str">
            <v>金牛店</v>
          </cell>
          <cell r="I6671">
            <v>46102</v>
          </cell>
          <cell r="J6671">
            <v>-44.63</v>
          </cell>
        </row>
        <row r="6672">
          <cell r="C6672" t="str">
            <v>推广订单扣款</v>
          </cell>
        </row>
        <row r="6672">
          <cell r="H6672" t="str">
            <v>金牛店</v>
          </cell>
          <cell r="I6672">
            <v>46101</v>
          </cell>
          <cell r="J6672">
            <v>-41.35</v>
          </cell>
        </row>
        <row r="6673">
          <cell r="C6673" t="str">
            <v>推广订单扣款</v>
          </cell>
        </row>
        <row r="6673">
          <cell r="H6673" t="str">
            <v>西山店</v>
          </cell>
          <cell r="I6673">
            <v>46103</v>
          </cell>
          <cell r="J6673">
            <v>-77.83</v>
          </cell>
        </row>
        <row r="6674">
          <cell r="C6674" t="str">
            <v>推广订单扣款</v>
          </cell>
        </row>
        <row r="6674">
          <cell r="H6674" t="str">
            <v>西山店</v>
          </cell>
          <cell r="I6674">
            <v>46102</v>
          </cell>
          <cell r="J6674">
            <v>-100</v>
          </cell>
        </row>
        <row r="6675">
          <cell r="C6675" t="str">
            <v>推广订单扣款</v>
          </cell>
        </row>
        <row r="6675">
          <cell r="H6675" t="str">
            <v>西山店</v>
          </cell>
          <cell r="I6675">
            <v>46101</v>
          </cell>
          <cell r="J6675">
            <v>-100</v>
          </cell>
        </row>
        <row r="6676">
          <cell r="C6676" t="str">
            <v>推广订单扣款</v>
          </cell>
        </row>
        <row r="6676">
          <cell r="H6676" t="str">
            <v>沙坪坝店</v>
          </cell>
          <cell r="I6676">
            <v>46103</v>
          </cell>
          <cell r="J6676">
            <v>-133.03</v>
          </cell>
        </row>
        <row r="6677">
          <cell r="C6677" t="str">
            <v>推广账户自动充值</v>
          </cell>
        </row>
        <row r="6677">
          <cell r="H6677" t="str">
            <v>沙坪坝店</v>
          </cell>
          <cell r="I6677">
            <v>46102</v>
          </cell>
          <cell r="J6677">
            <v>200</v>
          </cell>
        </row>
        <row r="6678">
          <cell r="C6678" t="str">
            <v>推广订单扣款</v>
          </cell>
        </row>
        <row r="6678">
          <cell r="H6678" t="str">
            <v>沙坪坝店</v>
          </cell>
          <cell r="I6678">
            <v>46102</v>
          </cell>
          <cell r="J6678">
            <v>-130.72</v>
          </cell>
        </row>
        <row r="6679">
          <cell r="C6679" t="str">
            <v>推广订单扣款</v>
          </cell>
        </row>
        <row r="6679">
          <cell r="H6679" t="str">
            <v>沙坪坝店</v>
          </cell>
          <cell r="I6679">
            <v>46101</v>
          </cell>
          <cell r="J6679">
            <v>-116.78</v>
          </cell>
        </row>
        <row r="6680">
          <cell r="C6680" t="str">
            <v>推广订单扣款</v>
          </cell>
        </row>
        <row r="6680">
          <cell r="H6680" t="str">
            <v>凤城二路店</v>
          </cell>
          <cell r="I6680">
            <v>46103</v>
          </cell>
          <cell r="J6680">
            <v>-128.07</v>
          </cell>
        </row>
        <row r="6681">
          <cell r="C6681" t="str">
            <v>推广账户自动充值</v>
          </cell>
        </row>
        <row r="6681">
          <cell r="H6681" t="str">
            <v>凤城二路店</v>
          </cell>
          <cell r="I6681">
            <v>46102</v>
          </cell>
          <cell r="J6681">
            <v>200</v>
          </cell>
        </row>
        <row r="6682">
          <cell r="C6682" t="str">
            <v>推广订单扣款</v>
          </cell>
        </row>
        <row r="6682">
          <cell r="H6682" t="str">
            <v>凤城二路店</v>
          </cell>
          <cell r="I6682">
            <v>46102</v>
          </cell>
          <cell r="J6682">
            <v>-114.89</v>
          </cell>
        </row>
        <row r="6683">
          <cell r="C6683" t="str">
            <v>推广订单扣款</v>
          </cell>
        </row>
        <row r="6683">
          <cell r="H6683" t="str">
            <v>凤城二路店</v>
          </cell>
          <cell r="I6683">
            <v>46101</v>
          </cell>
          <cell r="J6683">
            <v>-95.05</v>
          </cell>
        </row>
        <row r="6684">
          <cell r="C6684" t="str">
            <v>推广订单扣款</v>
          </cell>
        </row>
        <row r="6684">
          <cell r="H6684" t="str">
            <v>大坪店</v>
          </cell>
          <cell r="I6684">
            <v>46103</v>
          </cell>
          <cell r="J6684">
            <v>-100.76</v>
          </cell>
        </row>
        <row r="6685">
          <cell r="C6685" t="str">
            <v>推广账户自动充值</v>
          </cell>
        </row>
        <row r="6685">
          <cell r="H6685" t="str">
            <v>大坪店</v>
          </cell>
          <cell r="I6685">
            <v>46102</v>
          </cell>
          <cell r="J6685">
            <v>200</v>
          </cell>
        </row>
        <row r="6686">
          <cell r="C6686" t="str">
            <v>推广订单扣款</v>
          </cell>
        </row>
        <row r="6686">
          <cell r="H6686" t="str">
            <v>大坪店</v>
          </cell>
          <cell r="I6686">
            <v>46102</v>
          </cell>
          <cell r="J6686">
            <v>-100.8</v>
          </cell>
        </row>
        <row r="6687">
          <cell r="C6687" t="str">
            <v>推广订单扣款</v>
          </cell>
        </row>
        <row r="6687">
          <cell r="H6687" t="str">
            <v>大坪店</v>
          </cell>
          <cell r="I6687">
            <v>46101</v>
          </cell>
          <cell r="J6687">
            <v>-127.98</v>
          </cell>
        </row>
        <row r="6688">
          <cell r="C6688" t="str">
            <v>推广订单扣款</v>
          </cell>
        </row>
        <row r="6688">
          <cell r="H6688" t="str">
            <v>五华店</v>
          </cell>
          <cell r="I6688">
            <v>46103</v>
          </cell>
          <cell r="J6688">
            <v>-139.46</v>
          </cell>
        </row>
        <row r="6689">
          <cell r="C6689" t="str">
            <v>推广账户自动充值</v>
          </cell>
        </row>
        <row r="6689">
          <cell r="H6689" t="str">
            <v>五华店</v>
          </cell>
          <cell r="I6689">
            <v>46102</v>
          </cell>
          <cell r="J6689">
            <v>200</v>
          </cell>
        </row>
        <row r="6690">
          <cell r="C6690" t="str">
            <v>推广订单扣款</v>
          </cell>
        </row>
        <row r="6690">
          <cell r="H6690" t="str">
            <v>五华店</v>
          </cell>
          <cell r="I6690">
            <v>46102</v>
          </cell>
          <cell r="J6690">
            <v>-129.46</v>
          </cell>
        </row>
        <row r="6691">
          <cell r="C6691" t="str">
            <v>推广订单扣款</v>
          </cell>
        </row>
        <row r="6691">
          <cell r="H6691" t="str">
            <v>五华店</v>
          </cell>
          <cell r="I6691">
            <v>46101</v>
          </cell>
          <cell r="J6691">
            <v>-114.76</v>
          </cell>
        </row>
        <row r="6692">
          <cell r="C6692" t="str">
            <v>推广订单扣款</v>
          </cell>
        </row>
        <row r="6692">
          <cell r="H6692" t="str">
            <v>官渡店</v>
          </cell>
          <cell r="I6692">
            <v>46103</v>
          </cell>
          <cell r="J6692">
            <v>-111.43</v>
          </cell>
        </row>
        <row r="6693">
          <cell r="C6693" t="str">
            <v>推广账户自动充值</v>
          </cell>
        </row>
        <row r="6693">
          <cell r="H6693" t="str">
            <v>官渡店</v>
          </cell>
          <cell r="I6693">
            <v>46102</v>
          </cell>
          <cell r="J6693">
            <v>200</v>
          </cell>
        </row>
        <row r="6694">
          <cell r="C6694" t="str">
            <v>推广订单扣款</v>
          </cell>
        </row>
        <row r="6694">
          <cell r="H6694" t="str">
            <v>官渡店</v>
          </cell>
          <cell r="I6694">
            <v>46102</v>
          </cell>
          <cell r="J6694">
            <v>-104.89</v>
          </cell>
        </row>
        <row r="6695">
          <cell r="C6695" t="str">
            <v>推广订单扣款</v>
          </cell>
        </row>
        <row r="6695">
          <cell r="H6695" t="str">
            <v>官渡店</v>
          </cell>
          <cell r="I6695">
            <v>46101</v>
          </cell>
          <cell r="J6695">
            <v>-126.92</v>
          </cell>
        </row>
        <row r="6696">
          <cell r="C6696" t="str">
            <v>推广账户自动充值</v>
          </cell>
        </row>
        <row r="6696">
          <cell r="H6696" t="str">
            <v>百捷店</v>
          </cell>
          <cell r="I6696">
            <v>46103</v>
          </cell>
          <cell r="J6696">
            <v>200</v>
          </cell>
        </row>
        <row r="6697">
          <cell r="C6697" t="str">
            <v>推广订单扣款</v>
          </cell>
        </row>
        <row r="6697">
          <cell r="H6697" t="str">
            <v>百捷店</v>
          </cell>
          <cell r="I6697">
            <v>46103</v>
          </cell>
          <cell r="J6697">
            <v>-100.34</v>
          </cell>
        </row>
        <row r="6698">
          <cell r="C6698" t="str">
            <v>推广订单扣款</v>
          </cell>
        </row>
        <row r="6698">
          <cell r="H6698" t="str">
            <v>百捷店</v>
          </cell>
          <cell r="I6698">
            <v>46102</v>
          </cell>
          <cell r="J6698">
            <v>-138.58</v>
          </cell>
        </row>
        <row r="6699">
          <cell r="C6699" t="str">
            <v>推广账户自动充值</v>
          </cell>
        </row>
        <row r="6699">
          <cell r="H6699" t="str">
            <v>百捷店</v>
          </cell>
          <cell r="I6699">
            <v>46101</v>
          </cell>
          <cell r="J6699">
            <v>200</v>
          </cell>
        </row>
        <row r="6700">
          <cell r="C6700" t="str">
            <v>推广订单扣款</v>
          </cell>
        </row>
        <row r="6700">
          <cell r="H6700" t="str">
            <v>百捷店</v>
          </cell>
          <cell r="I6700">
            <v>46101</v>
          </cell>
          <cell r="J6700">
            <v>-143.85</v>
          </cell>
        </row>
        <row r="6701">
          <cell r="C6701" t="str">
            <v>推广订单扣款</v>
          </cell>
        </row>
        <row r="6701">
          <cell r="H6701" t="str">
            <v>济南店</v>
          </cell>
          <cell r="I6701">
            <v>46103</v>
          </cell>
          <cell r="J6701">
            <v>-118.48</v>
          </cell>
        </row>
        <row r="6702">
          <cell r="C6702" t="str">
            <v>推广账户自动充值</v>
          </cell>
        </row>
        <row r="6702">
          <cell r="H6702" t="str">
            <v>济南店</v>
          </cell>
          <cell r="I6702">
            <v>46102</v>
          </cell>
          <cell r="J6702">
            <v>200</v>
          </cell>
        </row>
        <row r="6703">
          <cell r="C6703" t="str">
            <v>推广订单扣款</v>
          </cell>
        </row>
        <row r="6703">
          <cell r="H6703" t="str">
            <v>济南店</v>
          </cell>
          <cell r="I6703">
            <v>46102</v>
          </cell>
          <cell r="J6703">
            <v>-146.1</v>
          </cell>
        </row>
        <row r="6704">
          <cell r="C6704" t="str">
            <v>推广账户自动充值</v>
          </cell>
        </row>
        <row r="6704">
          <cell r="H6704" t="str">
            <v>济南店</v>
          </cell>
          <cell r="I6704">
            <v>46101</v>
          </cell>
          <cell r="J6704">
            <v>200</v>
          </cell>
        </row>
        <row r="6705">
          <cell r="C6705" t="str">
            <v>推广订单扣款</v>
          </cell>
        </row>
        <row r="6705">
          <cell r="H6705" t="str">
            <v>济南店</v>
          </cell>
          <cell r="I6705">
            <v>46101</v>
          </cell>
          <cell r="J6705">
            <v>-125.72</v>
          </cell>
        </row>
        <row r="6706">
          <cell r="C6706" t="str">
            <v>推广订单扣款</v>
          </cell>
        </row>
        <row r="6706">
          <cell r="H6706" t="str">
            <v>观音桥店</v>
          </cell>
          <cell r="I6706">
            <v>46103</v>
          </cell>
          <cell r="J6706">
            <v>-77.55</v>
          </cell>
        </row>
        <row r="6707">
          <cell r="C6707" t="str">
            <v>推广账户自动充值</v>
          </cell>
        </row>
        <row r="6707">
          <cell r="H6707" t="str">
            <v>观音桥店</v>
          </cell>
          <cell r="I6707">
            <v>46102</v>
          </cell>
          <cell r="J6707">
            <v>200</v>
          </cell>
        </row>
        <row r="6708">
          <cell r="C6708" t="str">
            <v>推广订单扣款</v>
          </cell>
        </row>
        <row r="6708">
          <cell r="H6708" t="str">
            <v>观音桥店</v>
          </cell>
          <cell r="I6708">
            <v>46102</v>
          </cell>
          <cell r="J6708">
            <v>-79.74</v>
          </cell>
        </row>
        <row r="6709">
          <cell r="C6709" t="str">
            <v>推广订单扣款</v>
          </cell>
        </row>
        <row r="6709">
          <cell r="H6709" t="str">
            <v>观音桥店</v>
          </cell>
          <cell r="I6709">
            <v>46101</v>
          </cell>
          <cell r="J6709">
            <v>-100.77</v>
          </cell>
        </row>
        <row r="6710">
          <cell r="C6710" t="str">
            <v>推广订单扣款</v>
          </cell>
        </row>
        <row r="6710">
          <cell r="H6710" t="str">
            <v>长沙店</v>
          </cell>
          <cell r="I6710">
            <v>46103</v>
          </cell>
          <cell r="J6710">
            <v>-49.43</v>
          </cell>
        </row>
        <row r="6711">
          <cell r="C6711" t="str">
            <v>推广账户自动充值</v>
          </cell>
        </row>
        <row r="6711">
          <cell r="H6711" t="str">
            <v>长沙店</v>
          </cell>
          <cell r="I6711">
            <v>46102</v>
          </cell>
          <cell r="J6711">
            <v>200</v>
          </cell>
        </row>
        <row r="6712">
          <cell r="C6712" t="str">
            <v>推广订单扣款</v>
          </cell>
        </row>
        <row r="6712">
          <cell r="H6712" t="str">
            <v>长沙店</v>
          </cell>
          <cell r="I6712">
            <v>46102</v>
          </cell>
          <cell r="J6712">
            <v>-68.35</v>
          </cell>
        </row>
        <row r="6713">
          <cell r="C6713" t="str">
            <v>推广订单扣款</v>
          </cell>
        </row>
        <row r="6713">
          <cell r="H6713" t="str">
            <v>长沙店</v>
          </cell>
          <cell r="I6713">
            <v>46101</v>
          </cell>
          <cell r="J6713">
            <v>-107.61</v>
          </cell>
        </row>
        <row r="6714">
          <cell r="C6714" t="str">
            <v>推广订单扣款</v>
          </cell>
        </row>
        <row r="6714">
          <cell r="H6714" t="str">
            <v>洛江店</v>
          </cell>
          <cell r="I6714">
            <v>46101</v>
          </cell>
          <cell r="J6714">
            <v>-92.03</v>
          </cell>
        </row>
        <row r="6715">
          <cell r="C6715" t="str">
            <v>推广账户自动充值</v>
          </cell>
        </row>
        <row r="6715">
          <cell r="H6715" t="str">
            <v>五路口店</v>
          </cell>
          <cell r="I6715">
            <v>46103</v>
          </cell>
          <cell r="J6715">
            <v>200</v>
          </cell>
        </row>
        <row r="6716">
          <cell r="C6716" t="str">
            <v>推广订单扣款</v>
          </cell>
        </row>
        <row r="6716">
          <cell r="H6716" t="str">
            <v>五路口店</v>
          </cell>
          <cell r="I6716">
            <v>46103</v>
          </cell>
          <cell r="J6716">
            <v>-74.9</v>
          </cell>
        </row>
        <row r="6717">
          <cell r="C6717" t="str">
            <v>推广订单扣款</v>
          </cell>
        </row>
        <row r="6717">
          <cell r="H6717" t="str">
            <v>五路口店</v>
          </cell>
          <cell r="I6717">
            <v>46102</v>
          </cell>
          <cell r="J6717">
            <v>-73.1</v>
          </cell>
        </row>
        <row r="6718">
          <cell r="C6718" t="str">
            <v>推广订单扣款</v>
          </cell>
        </row>
        <row r="6718">
          <cell r="H6718" t="str">
            <v>五路口店</v>
          </cell>
          <cell r="I6718">
            <v>46101</v>
          </cell>
          <cell r="J6718">
            <v>-73.9</v>
          </cell>
        </row>
        <row r="6719">
          <cell r="C6719" t="str">
            <v>推广订单扣款</v>
          </cell>
        </row>
        <row r="6719">
          <cell r="H6719" t="str">
            <v>青羊店</v>
          </cell>
          <cell r="I6719">
            <v>46103</v>
          </cell>
          <cell r="J6719">
            <v>-11.56</v>
          </cell>
        </row>
        <row r="6720">
          <cell r="C6720" t="str">
            <v>推广订单扣款</v>
          </cell>
        </row>
        <row r="6720">
          <cell r="H6720" t="str">
            <v>青羊店</v>
          </cell>
          <cell r="I6720">
            <v>46102</v>
          </cell>
          <cell r="J6720">
            <v>-28.13</v>
          </cell>
        </row>
        <row r="6721">
          <cell r="C6721" t="str">
            <v>推广账户自动充值</v>
          </cell>
        </row>
        <row r="6721">
          <cell r="H6721" t="str">
            <v>青羊店</v>
          </cell>
          <cell r="I6721">
            <v>46101</v>
          </cell>
          <cell r="J6721">
            <v>200</v>
          </cell>
        </row>
        <row r="6722">
          <cell r="C6722" t="str">
            <v>推广订单扣款</v>
          </cell>
        </row>
        <row r="6722">
          <cell r="H6722" t="str">
            <v>青羊店</v>
          </cell>
          <cell r="I6722">
            <v>46101</v>
          </cell>
          <cell r="J6722">
            <v>-26.88</v>
          </cell>
        </row>
        <row r="6723">
          <cell r="C6723" t="str">
            <v>推广订单扣款</v>
          </cell>
        </row>
        <row r="6723">
          <cell r="H6723" t="str">
            <v>武侯店</v>
          </cell>
          <cell r="I6723">
            <v>46103</v>
          </cell>
          <cell r="J6723">
            <v>-39.89</v>
          </cell>
        </row>
        <row r="6724">
          <cell r="C6724" t="str">
            <v>推广订单扣款</v>
          </cell>
        </row>
        <row r="6724">
          <cell r="H6724" t="str">
            <v>武侯店</v>
          </cell>
          <cell r="I6724">
            <v>46102</v>
          </cell>
          <cell r="J6724">
            <v>-41.02</v>
          </cell>
        </row>
        <row r="6725">
          <cell r="C6725" t="str">
            <v>推广订单扣款</v>
          </cell>
        </row>
        <row r="6725">
          <cell r="H6725" t="str">
            <v>武侯店</v>
          </cell>
          <cell r="I6725">
            <v>46101</v>
          </cell>
          <cell r="J6725">
            <v>-64.03</v>
          </cell>
        </row>
        <row r="6726">
          <cell r="C6726" t="str">
            <v>推广订单扣款</v>
          </cell>
        </row>
        <row r="6726">
          <cell r="H6726" t="str">
            <v>鼓楼店</v>
          </cell>
          <cell r="I6726">
            <v>46103</v>
          </cell>
          <cell r="J6726">
            <v>-199</v>
          </cell>
        </row>
        <row r="6727">
          <cell r="C6727" t="str">
            <v>推广账户自动充值</v>
          </cell>
        </row>
        <row r="6727">
          <cell r="H6727" t="str">
            <v>鼓楼店</v>
          </cell>
          <cell r="I6727">
            <v>46102</v>
          </cell>
          <cell r="J6727">
            <v>200</v>
          </cell>
        </row>
        <row r="6728">
          <cell r="C6728" t="str">
            <v>推广订单扣款</v>
          </cell>
        </row>
        <row r="6728">
          <cell r="H6728" t="str">
            <v>鼓楼店</v>
          </cell>
          <cell r="I6728">
            <v>46102</v>
          </cell>
          <cell r="J6728">
            <v>-189.88</v>
          </cell>
        </row>
        <row r="6729">
          <cell r="C6729" t="str">
            <v>推广账户自动充值</v>
          </cell>
        </row>
        <row r="6729">
          <cell r="H6729" t="str">
            <v>鼓楼店</v>
          </cell>
          <cell r="I6729">
            <v>46101</v>
          </cell>
          <cell r="J6729">
            <v>200</v>
          </cell>
        </row>
        <row r="6730">
          <cell r="C6730" t="str">
            <v>推广订单扣款</v>
          </cell>
        </row>
        <row r="6730">
          <cell r="H6730" t="str">
            <v>鼓楼店</v>
          </cell>
          <cell r="I6730">
            <v>46101</v>
          </cell>
          <cell r="J6730">
            <v>-182.09</v>
          </cell>
        </row>
        <row r="6731">
          <cell r="C6731" t="str">
            <v>推广订单扣款</v>
          </cell>
        </row>
        <row r="6731">
          <cell r="H6731" t="str">
            <v>黄雁村店</v>
          </cell>
          <cell r="I6731">
            <v>46103</v>
          </cell>
          <cell r="J6731">
            <v>-96.17</v>
          </cell>
        </row>
        <row r="6732">
          <cell r="C6732" t="str">
            <v>推广账户自动充值</v>
          </cell>
        </row>
        <row r="6732">
          <cell r="H6732" t="str">
            <v>黄雁村店</v>
          </cell>
          <cell r="I6732">
            <v>46102</v>
          </cell>
          <cell r="J6732">
            <v>200</v>
          </cell>
        </row>
        <row r="6733">
          <cell r="C6733" t="str">
            <v>推广订单扣款</v>
          </cell>
        </row>
        <row r="6733">
          <cell r="H6733" t="str">
            <v>黄雁村店</v>
          </cell>
          <cell r="I6733">
            <v>46102</v>
          </cell>
          <cell r="J6733">
            <v>-106.02</v>
          </cell>
        </row>
        <row r="6734">
          <cell r="C6734" t="str">
            <v>推广订单扣款</v>
          </cell>
        </row>
        <row r="6734">
          <cell r="H6734" t="str">
            <v>黄雁村店</v>
          </cell>
          <cell r="I6734">
            <v>46101</v>
          </cell>
          <cell r="J6734">
            <v>-102.13</v>
          </cell>
        </row>
        <row r="6735">
          <cell r="C6735" t="str">
            <v>推广订单扣款</v>
          </cell>
        </row>
        <row r="6735">
          <cell r="H6735" t="str">
            <v>西湖店</v>
          </cell>
          <cell r="I6735">
            <v>46103</v>
          </cell>
          <cell r="J6735">
            <v>-136.22</v>
          </cell>
        </row>
        <row r="6736">
          <cell r="C6736" t="str">
            <v>推广账户自动充值</v>
          </cell>
        </row>
        <row r="6736">
          <cell r="H6736" t="str">
            <v>西湖店</v>
          </cell>
          <cell r="I6736">
            <v>46102</v>
          </cell>
          <cell r="J6736">
            <v>200</v>
          </cell>
        </row>
        <row r="6737">
          <cell r="C6737" t="str">
            <v>推广订单扣款</v>
          </cell>
        </row>
        <row r="6737">
          <cell r="H6737" t="str">
            <v>西湖店</v>
          </cell>
          <cell r="I6737">
            <v>46102</v>
          </cell>
          <cell r="J6737">
            <v>-100.15</v>
          </cell>
        </row>
        <row r="6738">
          <cell r="C6738" t="str">
            <v>推广订单扣款</v>
          </cell>
        </row>
        <row r="6738">
          <cell r="H6738" t="str">
            <v>西湖店</v>
          </cell>
          <cell r="I6738">
            <v>46101</v>
          </cell>
          <cell r="J6738">
            <v>-129.04</v>
          </cell>
        </row>
        <row r="6739">
          <cell r="C6739" t="str">
            <v>推广订单扣款</v>
          </cell>
        </row>
        <row r="6739">
          <cell r="H6739" t="str">
            <v>百丈店</v>
          </cell>
          <cell r="I6739">
            <v>46103</v>
          </cell>
          <cell r="J6739">
            <v>-165.3</v>
          </cell>
        </row>
        <row r="6740">
          <cell r="C6740" t="str">
            <v>推广账户自动充值</v>
          </cell>
        </row>
        <row r="6740">
          <cell r="H6740" t="str">
            <v>百丈店</v>
          </cell>
          <cell r="I6740">
            <v>46102</v>
          </cell>
          <cell r="J6740">
            <v>200</v>
          </cell>
        </row>
        <row r="6741">
          <cell r="C6741" t="str">
            <v>推广订单扣款</v>
          </cell>
        </row>
        <row r="6741">
          <cell r="H6741" t="str">
            <v>百丈店</v>
          </cell>
          <cell r="I6741">
            <v>46102</v>
          </cell>
          <cell r="J6741">
            <v>-162.3</v>
          </cell>
        </row>
        <row r="6742">
          <cell r="C6742" t="str">
            <v>推广账户自动充值</v>
          </cell>
        </row>
        <row r="6742">
          <cell r="H6742" t="str">
            <v>百丈店</v>
          </cell>
          <cell r="I6742">
            <v>46101</v>
          </cell>
          <cell r="J6742">
            <v>200</v>
          </cell>
        </row>
        <row r="6743">
          <cell r="C6743" t="str">
            <v>推广订单扣款</v>
          </cell>
        </row>
        <row r="6743">
          <cell r="H6743" t="str">
            <v>百丈店</v>
          </cell>
          <cell r="I6743">
            <v>46101</v>
          </cell>
          <cell r="J6743">
            <v>-164.57</v>
          </cell>
        </row>
        <row r="6744">
          <cell r="C6744" t="str">
            <v>推广订单扣款</v>
          </cell>
        </row>
        <row r="6744">
          <cell r="H6744" t="str">
            <v>文昌店</v>
          </cell>
          <cell r="I6744">
            <v>46103</v>
          </cell>
          <cell r="J6744">
            <v>-94</v>
          </cell>
        </row>
        <row r="6745">
          <cell r="C6745" t="str">
            <v>推广订单扣款</v>
          </cell>
        </row>
        <row r="6745">
          <cell r="H6745" t="str">
            <v>文昌店</v>
          </cell>
          <cell r="I6745">
            <v>46102</v>
          </cell>
          <cell r="J6745">
            <v>-103.88</v>
          </cell>
        </row>
        <row r="6746">
          <cell r="C6746" t="str">
            <v>推广账户自动充值</v>
          </cell>
        </row>
        <row r="6746">
          <cell r="H6746" t="str">
            <v>文昌店</v>
          </cell>
          <cell r="I6746">
            <v>46101</v>
          </cell>
          <cell r="J6746">
            <v>200</v>
          </cell>
        </row>
        <row r="6747">
          <cell r="C6747" t="str">
            <v>推广订单扣款</v>
          </cell>
        </row>
        <row r="6747">
          <cell r="H6747" t="str">
            <v>文昌店</v>
          </cell>
          <cell r="I6747">
            <v>46101</v>
          </cell>
          <cell r="J6747">
            <v>-137.81</v>
          </cell>
        </row>
        <row r="6748">
          <cell r="C6748" t="str">
            <v>推广账户自动充值</v>
          </cell>
        </row>
        <row r="6748">
          <cell r="H6748" t="str">
            <v>观桥店</v>
          </cell>
          <cell r="I6748">
            <v>46103</v>
          </cell>
          <cell r="J6748">
            <v>200</v>
          </cell>
        </row>
        <row r="6749">
          <cell r="C6749" t="str">
            <v>推广订单扣款</v>
          </cell>
        </row>
        <row r="6749">
          <cell r="H6749" t="str">
            <v>观桥店</v>
          </cell>
          <cell r="I6749">
            <v>46103</v>
          </cell>
          <cell r="J6749">
            <v>-100.95</v>
          </cell>
        </row>
        <row r="6750">
          <cell r="C6750" t="str">
            <v>推广订单扣款</v>
          </cell>
        </row>
        <row r="6750">
          <cell r="H6750" t="str">
            <v>观桥店</v>
          </cell>
          <cell r="I6750">
            <v>46102</v>
          </cell>
          <cell r="J6750">
            <v>-162.64</v>
          </cell>
        </row>
        <row r="6751">
          <cell r="C6751" t="str">
            <v>推广账户自动充值</v>
          </cell>
        </row>
        <row r="6751">
          <cell r="H6751" t="str">
            <v>观桥店</v>
          </cell>
          <cell r="I6751">
            <v>46101</v>
          </cell>
          <cell r="J6751">
            <v>200</v>
          </cell>
        </row>
        <row r="6752">
          <cell r="C6752" t="str">
            <v>推广订单扣款</v>
          </cell>
        </row>
        <row r="6752">
          <cell r="H6752" t="str">
            <v>观桥店</v>
          </cell>
          <cell r="I6752">
            <v>46101</v>
          </cell>
          <cell r="J6752">
            <v>-113.35</v>
          </cell>
        </row>
        <row r="6753">
          <cell r="C6753" t="str">
            <v>推广订单扣款</v>
          </cell>
        </row>
        <row r="6753">
          <cell r="H6753" t="str">
            <v>海口店</v>
          </cell>
          <cell r="I6753">
            <v>46103</v>
          </cell>
          <cell r="J6753">
            <v>-231.28</v>
          </cell>
        </row>
        <row r="6754">
          <cell r="C6754" t="str">
            <v>推广订单扣款</v>
          </cell>
        </row>
        <row r="6754">
          <cell r="H6754" t="str">
            <v>海口店</v>
          </cell>
          <cell r="I6754">
            <v>46102</v>
          </cell>
          <cell r="J6754">
            <v>-250</v>
          </cell>
        </row>
        <row r="6755">
          <cell r="C6755" t="str">
            <v>推广订单扣款</v>
          </cell>
        </row>
        <row r="6755">
          <cell r="H6755" t="str">
            <v>海口店</v>
          </cell>
          <cell r="I6755">
            <v>46101</v>
          </cell>
          <cell r="J6755">
            <v>-300</v>
          </cell>
        </row>
        <row r="6756">
          <cell r="C6756" t="str">
            <v>推广订单扣款</v>
          </cell>
        </row>
        <row r="6756">
          <cell r="H6756" t="str">
            <v>南安店</v>
          </cell>
          <cell r="I6756">
            <v>46103</v>
          </cell>
          <cell r="J6756">
            <v>-16.91</v>
          </cell>
        </row>
        <row r="6757">
          <cell r="C6757" t="str">
            <v>推广订单扣款</v>
          </cell>
        </row>
        <row r="6757">
          <cell r="H6757" t="str">
            <v>南安店</v>
          </cell>
          <cell r="I6757">
            <v>46102</v>
          </cell>
          <cell r="J6757">
            <v>-20.16</v>
          </cell>
        </row>
        <row r="6758">
          <cell r="C6758" t="str">
            <v>推广订单扣款</v>
          </cell>
        </row>
        <row r="6758">
          <cell r="H6758" t="str">
            <v>南安店</v>
          </cell>
          <cell r="I6758">
            <v>46101</v>
          </cell>
          <cell r="J6758">
            <v>-39.71</v>
          </cell>
        </row>
        <row r="6759">
          <cell r="C6759" t="str">
            <v>推广订单扣款</v>
          </cell>
        </row>
        <row r="6759">
          <cell r="H6759" t="str">
            <v>诚毅店</v>
          </cell>
          <cell r="I6759">
            <v>46103</v>
          </cell>
          <cell r="J6759">
            <v>-136.88</v>
          </cell>
        </row>
        <row r="6760">
          <cell r="C6760" t="str">
            <v>推广账户自动充值</v>
          </cell>
        </row>
        <row r="6760">
          <cell r="H6760" t="str">
            <v>诚毅店</v>
          </cell>
          <cell r="I6760">
            <v>46102</v>
          </cell>
          <cell r="J6760">
            <v>200</v>
          </cell>
        </row>
        <row r="6761">
          <cell r="C6761" t="str">
            <v>推广订单扣款</v>
          </cell>
        </row>
        <row r="6761">
          <cell r="H6761" t="str">
            <v>诚毅店</v>
          </cell>
          <cell r="I6761">
            <v>46102</v>
          </cell>
          <cell r="J6761">
            <v>-146.21</v>
          </cell>
        </row>
        <row r="6762">
          <cell r="C6762" t="str">
            <v>推广账户自动充值</v>
          </cell>
        </row>
        <row r="6762">
          <cell r="H6762" t="str">
            <v>诚毅店</v>
          </cell>
          <cell r="I6762">
            <v>46101</v>
          </cell>
          <cell r="J6762">
            <v>200</v>
          </cell>
        </row>
        <row r="6763">
          <cell r="C6763" t="str">
            <v>推广订单扣款</v>
          </cell>
        </row>
        <row r="6763">
          <cell r="H6763" t="str">
            <v>诚毅店</v>
          </cell>
          <cell r="I6763">
            <v>46101</v>
          </cell>
          <cell r="J6763">
            <v>-148.63</v>
          </cell>
        </row>
        <row r="6764">
          <cell r="C6764" t="str">
            <v>推广订单扣款</v>
          </cell>
        </row>
        <row r="6764">
          <cell r="H6764" t="str">
            <v>首山店</v>
          </cell>
          <cell r="I6764">
            <v>46103</v>
          </cell>
          <cell r="J6764">
            <v>-87.51</v>
          </cell>
        </row>
        <row r="6765">
          <cell r="C6765" t="str">
            <v>推广账户自动充值</v>
          </cell>
        </row>
        <row r="6765">
          <cell r="H6765" t="str">
            <v>首山店</v>
          </cell>
          <cell r="I6765">
            <v>46102</v>
          </cell>
          <cell r="J6765">
            <v>200</v>
          </cell>
        </row>
        <row r="6766">
          <cell r="C6766" t="str">
            <v>推广订单扣款</v>
          </cell>
        </row>
        <row r="6766">
          <cell r="H6766" t="str">
            <v>首山店</v>
          </cell>
          <cell r="I6766">
            <v>46102</v>
          </cell>
          <cell r="J6766">
            <v>-67.66</v>
          </cell>
        </row>
        <row r="6767">
          <cell r="C6767" t="str">
            <v>推广订单扣款</v>
          </cell>
        </row>
        <row r="6767">
          <cell r="H6767" t="str">
            <v>首山店</v>
          </cell>
          <cell r="I6767">
            <v>46101</v>
          </cell>
          <cell r="J6767">
            <v>-66.93</v>
          </cell>
        </row>
        <row r="6768">
          <cell r="C6768" t="str">
            <v>推广订单扣款</v>
          </cell>
        </row>
        <row r="6768">
          <cell r="H6768" t="str">
            <v>首南店</v>
          </cell>
          <cell r="I6768">
            <v>46103</v>
          </cell>
          <cell r="J6768">
            <v>-147.29</v>
          </cell>
        </row>
        <row r="6769">
          <cell r="C6769" t="str">
            <v>推广账户自动充值</v>
          </cell>
        </row>
        <row r="6769">
          <cell r="H6769" t="str">
            <v>首南店</v>
          </cell>
          <cell r="I6769">
            <v>46102</v>
          </cell>
          <cell r="J6769">
            <v>200</v>
          </cell>
        </row>
        <row r="6770">
          <cell r="C6770" t="str">
            <v>推广订单扣款</v>
          </cell>
        </row>
        <row r="6770">
          <cell r="H6770" t="str">
            <v>首南店</v>
          </cell>
          <cell r="I6770">
            <v>46102</v>
          </cell>
          <cell r="J6770">
            <v>-136.41</v>
          </cell>
        </row>
        <row r="6771">
          <cell r="C6771" t="str">
            <v>推广账户自动充值</v>
          </cell>
        </row>
        <row r="6771">
          <cell r="H6771" t="str">
            <v>首南店</v>
          </cell>
          <cell r="I6771">
            <v>46101</v>
          </cell>
          <cell r="J6771">
            <v>200</v>
          </cell>
        </row>
        <row r="6772">
          <cell r="C6772" t="str">
            <v>推广订单扣款</v>
          </cell>
        </row>
        <row r="6772">
          <cell r="H6772" t="str">
            <v>首南店</v>
          </cell>
          <cell r="I6772">
            <v>46101</v>
          </cell>
          <cell r="J6772">
            <v>-136.05</v>
          </cell>
        </row>
        <row r="6773">
          <cell r="C6773" t="str">
            <v>推广订单扣款</v>
          </cell>
        </row>
        <row r="6773">
          <cell r="H6773" t="str">
            <v>余杭店</v>
          </cell>
          <cell r="I6773">
            <v>46103</v>
          </cell>
          <cell r="J6773">
            <v>-154.65</v>
          </cell>
        </row>
        <row r="6774">
          <cell r="C6774" t="str">
            <v>推广账户自动充值</v>
          </cell>
        </row>
        <row r="6774">
          <cell r="H6774" t="str">
            <v>余杭店</v>
          </cell>
          <cell r="I6774">
            <v>46102</v>
          </cell>
          <cell r="J6774">
            <v>200</v>
          </cell>
        </row>
        <row r="6775">
          <cell r="C6775" t="str">
            <v>推广订单扣款</v>
          </cell>
        </row>
        <row r="6775">
          <cell r="H6775" t="str">
            <v>余杭店</v>
          </cell>
          <cell r="I6775">
            <v>46102</v>
          </cell>
          <cell r="J6775">
            <v>-129.56</v>
          </cell>
        </row>
        <row r="6776">
          <cell r="C6776" t="str">
            <v>推广订单扣款</v>
          </cell>
        </row>
        <row r="6776">
          <cell r="H6776" t="str">
            <v>余杭店</v>
          </cell>
          <cell r="I6776">
            <v>46101</v>
          </cell>
          <cell r="J6776">
            <v>-148.83</v>
          </cell>
        </row>
        <row r="6777">
          <cell r="C6777" t="str">
            <v>推广订单扣款</v>
          </cell>
        </row>
        <row r="6777">
          <cell r="H6777" t="str">
            <v>东海店</v>
          </cell>
          <cell r="I6777">
            <v>46103</v>
          </cell>
          <cell r="J6777">
            <v>-85.05</v>
          </cell>
        </row>
        <row r="6778">
          <cell r="C6778" t="str">
            <v>推广订单扣款</v>
          </cell>
        </row>
        <row r="6778">
          <cell r="H6778" t="str">
            <v>东海店</v>
          </cell>
          <cell r="I6778">
            <v>46102</v>
          </cell>
          <cell r="J6778">
            <v>-55.99</v>
          </cell>
        </row>
        <row r="6779">
          <cell r="C6779" t="str">
            <v>推广账户自动充值</v>
          </cell>
        </row>
        <row r="6779">
          <cell r="H6779" t="str">
            <v>东海店</v>
          </cell>
          <cell r="I6779">
            <v>46101</v>
          </cell>
          <cell r="J6779">
            <v>200</v>
          </cell>
        </row>
        <row r="6780">
          <cell r="C6780" t="str">
            <v>推广订单扣款</v>
          </cell>
        </row>
        <row r="6780">
          <cell r="H6780" t="str">
            <v>东海店</v>
          </cell>
          <cell r="I6780">
            <v>46101</v>
          </cell>
          <cell r="J6780">
            <v>-83.74</v>
          </cell>
        </row>
        <row r="6781">
          <cell r="C6781" t="str">
            <v>推广订单扣款</v>
          </cell>
        </row>
        <row r="6781">
          <cell r="H6781" t="str">
            <v>文灶店</v>
          </cell>
          <cell r="I6781">
            <v>46103</v>
          </cell>
          <cell r="J6781">
            <v>-55.48</v>
          </cell>
        </row>
        <row r="6782">
          <cell r="C6782" t="str">
            <v>推广订单扣款</v>
          </cell>
        </row>
        <row r="6782">
          <cell r="H6782" t="str">
            <v>文灶店</v>
          </cell>
          <cell r="I6782">
            <v>46102</v>
          </cell>
          <cell r="J6782">
            <v>-37.16</v>
          </cell>
        </row>
        <row r="6783">
          <cell r="C6783" t="str">
            <v>推广订单扣款</v>
          </cell>
        </row>
        <row r="6783">
          <cell r="H6783" t="str">
            <v>文灶店</v>
          </cell>
          <cell r="I6783">
            <v>46101</v>
          </cell>
          <cell r="J6783">
            <v>-40.57</v>
          </cell>
        </row>
        <row r="6784">
          <cell r="C6784" t="str">
            <v>推广订单扣款</v>
          </cell>
        </row>
        <row r="6784">
          <cell r="H6784" t="str">
            <v>滨江店</v>
          </cell>
          <cell r="I6784">
            <v>46103</v>
          </cell>
          <cell r="J6784">
            <v>-184.04</v>
          </cell>
        </row>
        <row r="6785">
          <cell r="C6785" t="str">
            <v>推广账户自动充值</v>
          </cell>
        </row>
        <row r="6785">
          <cell r="H6785" t="str">
            <v>滨江店</v>
          </cell>
          <cell r="I6785">
            <v>46102</v>
          </cell>
          <cell r="J6785">
            <v>200</v>
          </cell>
        </row>
        <row r="6786">
          <cell r="C6786" t="str">
            <v>推广订单扣款</v>
          </cell>
        </row>
        <row r="6786">
          <cell r="H6786" t="str">
            <v>滨江店</v>
          </cell>
          <cell r="I6786">
            <v>46102</v>
          </cell>
          <cell r="J6786">
            <v>-163.72</v>
          </cell>
        </row>
        <row r="6787">
          <cell r="C6787" t="str">
            <v>推广账户自动充值</v>
          </cell>
        </row>
        <row r="6787">
          <cell r="H6787" t="str">
            <v>滨江店</v>
          </cell>
          <cell r="I6787">
            <v>46101</v>
          </cell>
          <cell r="J6787">
            <v>200</v>
          </cell>
        </row>
        <row r="6788">
          <cell r="C6788" t="str">
            <v>推广订单扣款</v>
          </cell>
        </row>
        <row r="6788">
          <cell r="H6788" t="str">
            <v>滨江店</v>
          </cell>
          <cell r="I6788">
            <v>46101</v>
          </cell>
          <cell r="J6788">
            <v>-171.04</v>
          </cell>
        </row>
        <row r="6789">
          <cell r="C6789" t="str">
            <v>推广账户自动充值</v>
          </cell>
        </row>
        <row r="6789">
          <cell r="H6789" t="str">
            <v>下沙店</v>
          </cell>
          <cell r="I6789">
            <v>46103</v>
          </cell>
          <cell r="J6789">
            <v>100</v>
          </cell>
        </row>
        <row r="6790">
          <cell r="C6790" t="str">
            <v>推广订单扣款</v>
          </cell>
        </row>
        <row r="6790">
          <cell r="H6790" t="str">
            <v>下沙店</v>
          </cell>
          <cell r="I6790">
            <v>46103</v>
          </cell>
          <cell r="J6790">
            <v>-200</v>
          </cell>
        </row>
        <row r="6791">
          <cell r="C6791" t="str">
            <v>推广账户自动充值</v>
          </cell>
        </row>
        <row r="6791">
          <cell r="H6791" t="str">
            <v>下沙店</v>
          </cell>
          <cell r="I6791">
            <v>46102</v>
          </cell>
          <cell r="J6791">
            <v>100</v>
          </cell>
        </row>
        <row r="6792">
          <cell r="C6792" t="str">
            <v>推广账户自动充值</v>
          </cell>
        </row>
        <row r="6792">
          <cell r="H6792" t="str">
            <v>下沙店</v>
          </cell>
          <cell r="I6792">
            <v>46102</v>
          </cell>
          <cell r="J6792">
            <v>100</v>
          </cell>
        </row>
        <row r="6793">
          <cell r="C6793" t="str">
            <v>推广订单扣款</v>
          </cell>
        </row>
        <row r="6793">
          <cell r="H6793" t="str">
            <v>下沙店</v>
          </cell>
          <cell r="I6793">
            <v>46102</v>
          </cell>
          <cell r="J6793">
            <v>-200</v>
          </cell>
        </row>
        <row r="6794">
          <cell r="C6794" t="str">
            <v>推广账户自动充值</v>
          </cell>
        </row>
        <row r="6794">
          <cell r="H6794" t="str">
            <v>下沙店</v>
          </cell>
          <cell r="I6794">
            <v>46101</v>
          </cell>
          <cell r="J6794">
            <v>100</v>
          </cell>
        </row>
        <row r="6795">
          <cell r="C6795" t="str">
            <v>推广账户自动充值</v>
          </cell>
        </row>
        <row r="6795">
          <cell r="H6795" t="str">
            <v>下沙店</v>
          </cell>
          <cell r="I6795">
            <v>46101</v>
          </cell>
          <cell r="J6795">
            <v>100</v>
          </cell>
        </row>
        <row r="6796">
          <cell r="C6796" t="str">
            <v>推广订单扣款</v>
          </cell>
        </row>
        <row r="6796">
          <cell r="H6796" t="str">
            <v>下沙店</v>
          </cell>
          <cell r="I6796">
            <v>46101</v>
          </cell>
          <cell r="J6796">
            <v>-177.13</v>
          </cell>
        </row>
        <row r="6797">
          <cell r="C6797" t="str">
            <v>推广订单扣款</v>
          </cell>
        </row>
        <row r="6797">
          <cell r="H6797" t="str">
            <v>湖里店</v>
          </cell>
          <cell r="I6797">
            <v>46104</v>
          </cell>
          <cell r="J6797">
            <v>-118.68</v>
          </cell>
        </row>
        <row r="6798">
          <cell r="C6798" t="str">
            <v>推广订单扣款</v>
          </cell>
        </row>
        <row r="6798">
          <cell r="H6798" t="str">
            <v>东新店</v>
          </cell>
          <cell r="I6798">
            <v>46104</v>
          </cell>
          <cell r="J6798">
            <v>-96.91</v>
          </cell>
        </row>
        <row r="6799">
          <cell r="C6799" t="str">
            <v>推广订单扣款</v>
          </cell>
        </row>
        <row r="6799">
          <cell r="H6799" t="str">
            <v>泉秀店</v>
          </cell>
          <cell r="I6799">
            <v>46104</v>
          </cell>
          <cell r="J6799">
            <v>-161.34</v>
          </cell>
        </row>
        <row r="6800">
          <cell r="C6800" t="str">
            <v>推广订单扣款</v>
          </cell>
        </row>
        <row r="6800">
          <cell r="H6800" t="str">
            <v>启点店</v>
          </cell>
          <cell r="I6800">
            <v>46104</v>
          </cell>
          <cell r="J6800">
            <v>-99.51</v>
          </cell>
        </row>
        <row r="6801">
          <cell r="C6801" t="str">
            <v>推广订单扣款</v>
          </cell>
        </row>
        <row r="6801">
          <cell r="H6801" t="str">
            <v>高新店</v>
          </cell>
          <cell r="I6801">
            <v>46104</v>
          </cell>
          <cell r="J6801">
            <v>-55</v>
          </cell>
        </row>
        <row r="6802">
          <cell r="C6802" t="str">
            <v>推广订单扣款</v>
          </cell>
        </row>
        <row r="6802">
          <cell r="H6802" t="str">
            <v>成华店</v>
          </cell>
          <cell r="I6802">
            <v>46104</v>
          </cell>
          <cell r="J6802">
            <v>-48.04</v>
          </cell>
        </row>
        <row r="6803">
          <cell r="C6803" t="str">
            <v>推广订单扣款</v>
          </cell>
        </row>
        <row r="6803">
          <cell r="H6803" t="str">
            <v>金牛店</v>
          </cell>
          <cell r="I6803">
            <v>46104</v>
          </cell>
          <cell r="J6803">
            <v>-29.04</v>
          </cell>
        </row>
        <row r="6804">
          <cell r="C6804" t="str">
            <v>推广订单扣款</v>
          </cell>
        </row>
        <row r="6804">
          <cell r="H6804" t="str">
            <v>西山店</v>
          </cell>
          <cell r="I6804">
            <v>46104</v>
          </cell>
          <cell r="J6804">
            <v>-73.84</v>
          </cell>
        </row>
        <row r="6805">
          <cell r="C6805" t="str">
            <v>推广订单扣款</v>
          </cell>
        </row>
        <row r="6805">
          <cell r="H6805" t="str">
            <v>沙坪坝店</v>
          </cell>
          <cell r="I6805">
            <v>46104</v>
          </cell>
          <cell r="J6805">
            <v>-120.51</v>
          </cell>
        </row>
        <row r="6806">
          <cell r="C6806" t="str">
            <v>推广订单扣款</v>
          </cell>
        </row>
        <row r="6806">
          <cell r="H6806" t="str">
            <v>凤城二路店</v>
          </cell>
          <cell r="I6806">
            <v>46104</v>
          </cell>
          <cell r="J6806">
            <v>-102.84</v>
          </cell>
        </row>
        <row r="6807">
          <cell r="C6807" t="str">
            <v>推广订单扣款</v>
          </cell>
        </row>
        <row r="6807">
          <cell r="H6807" t="str">
            <v>大坪店</v>
          </cell>
          <cell r="I6807">
            <v>46104</v>
          </cell>
          <cell r="J6807">
            <v>-72.12</v>
          </cell>
        </row>
        <row r="6808">
          <cell r="C6808" t="str">
            <v>推广订单扣款</v>
          </cell>
        </row>
        <row r="6808">
          <cell r="H6808" t="str">
            <v>五华店</v>
          </cell>
          <cell r="I6808">
            <v>46104</v>
          </cell>
          <cell r="J6808">
            <v>-108.45</v>
          </cell>
        </row>
        <row r="6809">
          <cell r="C6809" t="str">
            <v>推广订单扣款</v>
          </cell>
        </row>
        <row r="6809">
          <cell r="H6809" t="str">
            <v>官渡店</v>
          </cell>
          <cell r="I6809">
            <v>46104</v>
          </cell>
          <cell r="J6809">
            <v>-119.72</v>
          </cell>
        </row>
        <row r="6810">
          <cell r="C6810" t="str">
            <v>推广订单扣款</v>
          </cell>
        </row>
        <row r="6810">
          <cell r="H6810" t="str">
            <v>百捷店</v>
          </cell>
          <cell r="I6810">
            <v>46104</v>
          </cell>
          <cell r="J6810">
            <v>-126.81</v>
          </cell>
        </row>
        <row r="6811">
          <cell r="C6811" t="str">
            <v>推广订单扣款</v>
          </cell>
        </row>
        <row r="6811">
          <cell r="H6811" t="str">
            <v>济南店</v>
          </cell>
          <cell r="I6811">
            <v>46104</v>
          </cell>
          <cell r="J6811">
            <v>-116.81</v>
          </cell>
        </row>
        <row r="6812">
          <cell r="C6812" t="str">
            <v>推广订单扣款</v>
          </cell>
        </row>
        <row r="6812">
          <cell r="H6812" t="str">
            <v>观音桥店</v>
          </cell>
          <cell r="I6812">
            <v>46104</v>
          </cell>
          <cell r="J6812">
            <v>-83.34</v>
          </cell>
        </row>
        <row r="6813">
          <cell r="C6813" t="str">
            <v>推广订单扣款</v>
          </cell>
        </row>
        <row r="6813">
          <cell r="H6813" t="str">
            <v>长沙店</v>
          </cell>
          <cell r="I6813">
            <v>46104</v>
          </cell>
          <cell r="J6813">
            <v>-59.32</v>
          </cell>
        </row>
        <row r="6814">
          <cell r="C6814" t="str">
            <v>推广订单扣款</v>
          </cell>
        </row>
        <row r="6814">
          <cell r="H6814" t="str">
            <v>洛江店</v>
          </cell>
          <cell r="I6814">
            <v>46104</v>
          </cell>
          <cell r="J6814">
            <v>-92.61</v>
          </cell>
        </row>
        <row r="6815">
          <cell r="C6815" t="str">
            <v>推广订单扣款</v>
          </cell>
        </row>
        <row r="6815">
          <cell r="H6815" t="str">
            <v>五路口店</v>
          </cell>
          <cell r="I6815">
            <v>46104</v>
          </cell>
          <cell r="J6815">
            <v>-62.3</v>
          </cell>
        </row>
        <row r="6816">
          <cell r="C6816" t="str">
            <v>推广订单扣款</v>
          </cell>
        </row>
        <row r="6816">
          <cell r="H6816" t="str">
            <v>青羊店</v>
          </cell>
          <cell r="I6816">
            <v>46104</v>
          </cell>
          <cell r="J6816">
            <v>-35.11</v>
          </cell>
        </row>
        <row r="6817">
          <cell r="C6817" t="str">
            <v>推广订单扣款</v>
          </cell>
        </row>
        <row r="6817">
          <cell r="H6817" t="str">
            <v>武侯店</v>
          </cell>
          <cell r="I6817">
            <v>46104</v>
          </cell>
          <cell r="J6817">
            <v>-42.67</v>
          </cell>
        </row>
        <row r="6818">
          <cell r="C6818" t="str">
            <v>推广订单扣款</v>
          </cell>
        </row>
        <row r="6818">
          <cell r="H6818" t="str">
            <v>鼓楼店</v>
          </cell>
          <cell r="I6818">
            <v>46104</v>
          </cell>
          <cell r="J6818">
            <v>-200</v>
          </cell>
        </row>
        <row r="6819">
          <cell r="C6819" t="str">
            <v>推广订单扣款</v>
          </cell>
        </row>
        <row r="6819">
          <cell r="H6819" t="str">
            <v>黄雁村店</v>
          </cell>
          <cell r="I6819">
            <v>46104</v>
          </cell>
          <cell r="J6819">
            <v>-137.78</v>
          </cell>
        </row>
        <row r="6820">
          <cell r="C6820" t="str">
            <v>推广订单扣款</v>
          </cell>
        </row>
        <row r="6820">
          <cell r="H6820" t="str">
            <v>西湖店</v>
          </cell>
          <cell r="I6820">
            <v>46104</v>
          </cell>
          <cell r="J6820">
            <v>-123.03</v>
          </cell>
        </row>
        <row r="6821">
          <cell r="C6821" t="str">
            <v>推广账户自动充值</v>
          </cell>
        </row>
        <row r="6821">
          <cell r="H6821" t="str">
            <v>百丈店</v>
          </cell>
          <cell r="I6821">
            <v>46104</v>
          </cell>
          <cell r="J6821">
            <v>200</v>
          </cell>
        </row>
        <row r="6822">
          <cell r="C6822" t="str">
            <v>推广订单扣款</v>
          </cell>
        </row>
        <row r="6822">
          <cell r="H6822" t="str">
            <v>百丈店</v>
          </cell>
          <cell r="I6822">
            <v>46104</v>
          </cell>
          <cell r="J6822">
            <v>-114.27</v>
          </cell>
        </row>
        <row r="6823">
          <cell r="C6823" t="str">
            <v>推广订单扣款</v>
          </cell>
        </row>
        <row r="6823">
          <cell r="H6823" t="str">
            <v>文昌店</v>
          </cell>
          <cell r="I6823">
            <v>46104</v>
          </cell>
          <cell r="J6823">
            <v>-122.17</v>
          </cell>
        </row>
        <row r="6824">
          <cell r="C6824" t="str">
            <v>推广订单扣款</v>
          </cell>
        </row>
        <row r="6824">
          <cell r="H6824" t="str">
            <v>观桥店</v>
          </cell>
          <cell r="I6824">
            <v>46104</v>
          </cell>
          <cell r="J6824">
            <v>-180.52</v>
          </cell>
        </row>
        <row r="6825">
          <cell r="C6825" t="str">
            <v>推广订单扣款</v>
          </cell>
        </row>
        <row r="6825">
          <cell r="H6825" t="str">
            <v>海口店</v>
          </cell>
          <cell r="I6825">
            <v>46104</v>
          </cell>
          <cell r="J6825">
            <v>-250</v>
          </cell>
        </row>
        <row r="6826">
          <cell r="C6826" t="str">
            <v>推广订单扣款</v>
          </cell>
        </row>
        <row r="6826">
          <cell r="H6826" t="str">
            <v>南安店</v>
          </cell>
          <cell r="I6826">
            <v>46104</v>
          </cell>
          <cell r="J6826">
            <v>-22.26</v>
          </cell>
        </row>
        <row r="6827">
          <cell r="C6827" t="str">
            <v>推广账户自动充值</v>
          </cell>
        </row>
        <row r="6827">
          <cell r="H6827" t="str">
            <v>诚毅店</v>
          </cell>
          <cell r="I6827">
            <v>46104</v>
          </cell>
          <cell r="J6827">
            <v>200</v>
          </cell>
        </row>
        <row r="6828">
          <cell r="C6828" t="str">
            <v>推广订单扣款</v>
          </cell>
        </row>
        <row r="6828">
          <cell r="H6828" t="str">
            <v>诚毅店</v>
          </cell>
          <cell r="I6828">
            <v>46104</v>
          </cell>
          <cell r="J6828">
            <v>-164.86</v>
          </cell>
        </row>
        <row r="6829">
          <cell r="C6829" t="str">
            <v>推广订单扣款</v>
          </cell>
        </row>
        <row r="6829">
          <cell r="H6829" t="str">
            <v>首山店</v>
          </cell>
          <cell r="I6829">
            <v>46104</v>
          </cell>
          <cell r="J6829">
            <v>-78.18</v>
          </cell>
        </row>
        <row r="6830">
          <cell r="C6830" t="str">
            <v>推广账户自动充值</v>
          </cell>
        </row>
        <row r="6830">
          <cell r="H6830" t="str">
            <v>首南店</v>
          </cell>
          <cell r="I6830">
            <v>46104</v>
          </cell>
          <cell r="J6830">
            <v>200</v>
          </cell>
        </row>
        <row r="6831">
          <cell r="C6831" t="str">
            <v>推广订单扣款</v>
          </cell>
        </row>
        <row r="6831">
          <cell r="H6831" t="str">
            <v>首南店</v>
          </cell>
          <cell r="I6831">
            <v>46104</v>
          </cell>
          <cell r="J6831">
            <v>-154.09</v>
          </cell>
        </row>
        <row r="6832">
          <cell r="C6832" t="str">
            <v>推广订单扣款</v>
          </cell>
        </row>
        <row r="6832">
          <cell r="H6832" t="str">
            <v>余杭店</v>
          </cell>
          <cell r="I6832">
            <v>46104</v>
          </cell>
          <cell r="J6832">
            <v>-127.51</v>
          </cell>
        </row>
        <row r="6833">
          <cell r="C6833" t="str">
            <v>推广订单扣款</v>
          </cell>
        </row>
        <row r="6833">
          <cell r="H6833" t="str">
            <v>东海店</v>
          </cell>
          <cell r="I6833">
            <v>46104</v>
          </cell>
          <cell r="J6833">
            <v>-97.78</v>
          </cell>
        </row>
        <row r="6834">
          <cell r="C6834" t="str">
            <v>推广订单扣款</v>
          </cell>
        </row>
        <row r="6834">
          <cell r="H6834" t="str">
            <v>文灶店</v>
          </cell>
          <cell r="I6834">
            <v>46104</v>
          </cell>
          <cell r="J6834">
            <v>-42.75</v>
          </cell>
        </row>
        <row r="6835">
          <cell r="C6835" t="str">
            <v>推广订单扣款</v>
          </cell>
        </row>
        <row r="6835">
          <cell r="H6835" t="str">
            <v>滨江店</v>
          </cell>
          <cell r="I6835">
            <v>46104</v>
          </cell>
          <cell r="J6835">
            <v>-172.42</v>
          </cell>
        </row>
        <row r="6836">
          <cell r="C6836" t="str">
            <v>推广账户自动充值</v>
          </cell>
        </row>
        <row r="6836">
          <cell r="H6836" t="str">
            <v>下沙店</v>
          </cell>
          <cell r="I6836">
            <v>46104</v>
          </cell>
          <cell r="J6836">
            <v>100</v>
          </cell>
        </row>
        <row r="6837">
          <cell r="C6837" t="str">
            <v>推广订单扣款</v>
          </cell>
        </row>
        <row r="6837">
          <cell r="H6837" t="str">
            <v>下沙店</v>
          </cell>
          <cell r="I6837">
            <v>46104</v>
          </cell>
          <cell r="J6837">
            <v>-200</v>
          </cell>
        </row>
        <row r="6838">
          <cell r="C6838" t="str">
            <v>推广订单扣款</v>
          </cell>
        </row>
        <row r="6838">
          <cell r="H6838" t="str">
            <v>华信店</v>
          </cell>
          <cell r="I6838">
            <v>46104</v>
          </cell>
          <cell r="J6838">
            <v>-160</v>
          </cell>
        </row>
        <row r="6839">
          <cell r="C6839" t="str">
            <v>推广订单扣款</v>
          </cell>
        </row>
        <row r="6839">
          <cell r="H6839" t="str">
            <v>槐荫店</v>
          </cell>
          <cell r="I6839">
            <v>46104</v>
          </cell>
          <cell r="J6839">
            <v>-135</v>
          </cell>
        </row>
        <row r="6840">
          <cell r="C6840" t="str">
            <v>推广账户自动充值</v>
          </cell>
        </row>
        <row r="6840">
          <cell r="H6840" t="str">
            <v>湖里店</v>
          </cell>
          <cell r="I6840">
            <v>46105</v>
          </cell>
          <cell r="J6840">
            <v>200</v>
          </cell>
        </row>
        <row r="6841">
          <cell r="C6841" t="str">
            <v>推广订单扣款</v>
          </cell>
        </row>
        <row r="6841">
          <cell r="H6841" t="str">
            <v>湖里店</v>
          </cell>
          <cell r="I6841">
            <v>46105</v>
          </cell>
          <cell r="J6841">
            <v>-118.05</v>
          </cell>
        </row>
        <row r="6842">
          <cell r="C6842" t="str">
            <v>推广订单扣款</v>
          </cell>
        </row>
        <row r="6842">
          <cell r="H6842" t="str">
            <v>东新店</v>
          </cell>
          <cell r="I6842">
            <v>46105</v>
          </cell>
          <cell r="J6842">
            <v>-104.8</v>
          </cell>
        </row>
        <row r="6843">
          <cell r="C6843" t="str">
            <v>推广账户自动充值</v>
          </cell>
        </row>
        <row r="6843">
          <cell r="H6843" t="str">
            <v>泉秀店</v>
          </cell>
          <cell r="I6843">
            <v>46105</v>
          </cell>
          <cell r="J6843">
            <v>200</v>
          </cell>
        </row>
        <row r="6844">
          <cell r="C6844" t="str">
            <v>推广订单扣款</v>
          </cell>
        </row>
        <row r="6844">
          <cell r="H6844" t="str">
            <v>泉秀店</v>
          </cell>
          <cell r="I6844">
            <v>46105</v>
          </cell>
          <cell r="J6844">
            <v>-136.23</v>
          </cell>
        </row>
        <row r="6845">
          <cell r="C6845" t="str">
            <v>推广账户自动充值</v>
          </cell>
        </row>
        <row r="6845">
          <cell r="H6845" t="str">
            <v>启点店</v>
          </cell>
          <cell r="I6845">
            <v>46105</v>
          </cell>
          <cell r="J6845">
            <v>200</v>
          </cell>
        </row>
        <row r="6846">
          <cell r="C6846" t="str">
            <v>推广订单扣款</v>
          </cell>
        </row>
        <row r="6846">
          <cell r="H6846" t="str">
            <v>启点店</v>
          </cell>
          <cell r="I6846">
            <v>46105</v>
          </cell>
          <cell r="J6846">
            <v>-84.13</v>
          </cell>
        </row>
        <row r="6847">
          <cell r="C6847" t="str">
            <v>推广订单扣款</v>
          </cell>
        </row>
        <row r="6847">
          <cell r="H6847" t="str">
            <v>高新店</v>
          </cell>
          <cell r="I6847">
            <v>46105</v>
          </cell>
          <cell r="J6847">
            <v>-52.76</v>
          </cell>
        </row>
        <row r="6848">
          <cell r="C6848" t="str">
            <v>推广账户自动充值</v>
          </cell>
        </row>
        <row r="6848">
          <cell r="H6848" t="str">
            <v>成华店</v>
          </cell>
          <cell r="I6848">
            <v>46105</v>
          </cell>
          <cell r="J6848">
            <v>200</v>
          </cell>
        </row>
        <row r="6849">
          <cell r="C6849" t="str">
            <v>推广订单扣款</v>
          </cell>
        </row>
        <row r="6849">
          <cell r="H6849" t="str">
            <v>成华店</v>
          </cell>
          <cell r="I6849">
            <v>46105</v>
          </cell>
          <cell r="J6849">
            <v>-41.11</v>
          </cell>
        </row>
        <row r="6850">
          <cell r="C6850" t="str">
            <v>推广订单扣款</v>
          </cell>
        </row>
        <row r="6850">
          <cell r="H6850" t="str">
            <v>金牛店</v>
          </cell>
          <cell r="I6850">
            <v>46105</v>
          </cell>
          <cell r="J6850">
            <v>-46.91</v>
          </cell>
        </row>
        <row r="6851">
          <cell r="C6851" t="str">
            <v>推广订单扣款</v>
          </cell>
        </row>
        <row r="6851">
          <cell r="H6851" t="str">
            <v>西山店</v>
          </cell>
          <cell r="I6851">
            <v>46105</v>
          </cell>
          <cell r="J6851">
            <v>-99.45</v>
          </cell>
        </row>
        <row r="6852">
          <cell r="C6852" t="str">
            <v>推广账户自动充值</v>
          </cell>
        </row>
        <row r="6852">
          <cell r="H6852" t="str">
            <v>沙坪坝店</v>
          </cell>
          <cell r="I6852">
            <v>46105</v>
          </cell>
          <cell r="J6852">
            <v>200</v>
          </cell>
        </row>
        <row r="6853">
          <cell r="C6853" t="str">
            <v>推广订单扣款</v>
          </cell>
        </row>
        <row r="6853">
          <cell r="H6853" t="str">
            <v>沙坪坝店</v>
          </cell>
          <cell r="I6853">
            <v>46105</v>
          </cell>
          <cell r="J6853">
            <v>-127.03</v>
          </cell>
        </row>
        <row r="6854">
          <cell r="C6854" t="str">
            <v>推广订单扣款</v>
          </cell>
        </row>
        <row r="6854">
          <cell r="H6854" t="str">
            <v>凤城二路店</v>
          </cell>
          <cell r="I6854">
            <v>46105</v>
          </cell>
          <cell r="J6854">
            <v>-145.57</v>
          </cell>
        </row>
        <row r="6855">
          <cell r="C6855" t="str">
            <v>推广账户自动充值</v>
          </cell>
        </row>
        <row r="6855">
          <cell r="H6855" t="str">
            <v>大坪店</v>
          </cell>
          <cell r="I6855">
            <v>46105</v>
          </cell>
          <cell r="J6855">
            <v>200</v>
          </cell>
        </row>
        <row r="6856">
          <cell r="C6856" t="str">
            <v>推广订单扣款</v>
          </cell>
        </row>
        <row r="6856">
          <cell r="H6856" t="str">
            <v>大坪店</v>
          </cell>
          <cell r="I6856">
            <v>46105</v>
          </cell>
          <cell r="J6856">
            <v>-73.21</v>
          </cell>
        </row>
        <row r="6857">
          <cell r="C6857" t="str">
            <v>推广订单扣款</v>
          </cell>
        </row>
        <row r="6857">
          <cell r="H6857" t="str">
            <v>五华店</v>
          </cell>
          <cell r="I6857">
            <v>46105</v>
          </cell>
          <cell r="J6857">
            <v>-159.76</v>
          </cell>
        </row>
        <row r="6858">
          <cell r="C6858" t="str">
            <v>推广订单扣款</v>
          </cell>
        </row>
        <row r="6858">
          <cell r="H6858" t="str">
            <v>官渡店</v>
          </cell>
          <cell r="I6858">
            <v>46105</v>
          </cell>
          <cell r="J6858">
            <v>-140.18</v>
          </cell>
        </row>
        <row r="6859">
          <cell r="C6859" t="str">
            <v>推广订单扣款</v>
          </cell>
        </row>
        <row r="6859">
          <cell r="H6859" t="str">
            <v>百捷店</v>
          </cell>
          <cell r="I6859">
            <v>46105</v>
          </cell>
          <cell r="J6859">
            <v>-150.3</v>
          </cell>
        </row>
        <row r="6860">
          <cell r="C6860" t="str">
            <v>推广订单扣款</v>
          </cell>
        </row>
        <row r="6860">
          <cell r="H6860" t="str">
            <v>济南店</v>
          </cell>
          <cell r="I6860">
            <v>46105</v>
          </cell>
          <cell r="J6860">
            <v>-134.3</v>
          </cell>
        </row>
        <row r="6861">
          <cell r="C6861" t="str">
            <v>推广订单扣款</v>
          </cell>
        </row>
        <row r="6861">
          <cell r="H6861" t="str">
            <v>观音桥店</v>
          </cell>
          <cell r="I6861">
            <v>46105</v>
          </cell>
          <cell r="J6861">
            <v>-102.7</v>
          </cell>
        </row>
        <row r="6862">
          <cell r="C6862" t="str">
            <v>推广订单扣款</v>
          </cell>
        </row>
        <row r="6862">
          <cell r="H6862" t="str">
            <v>长沙店</v>
          </cell>
          <cell r="I6862">
            <v>46105</v>
          </cell>
          <cell r="J6862">
            <v>-88.81</v>
          </cell>
        </row>
        <row r="6863">
          <cell r="C6863" t="str">
            <v>推广订单扣款</v>
          </cell>
        </row>
        <row r="6863">
          <cell r="H6863" t="str">
            <v>洛江店</v>
          </cell>
          <cell r="I6863">
            <v>46105</v>
          </cell>
          <cell r="J6863">
            <v>-124</v>
          </cell>
        </row>
        <row r="6864">
          <cell r="C6864" t="str">
            <v>推广账户自动充值</v>
          </cell>
        </row>
        <row r="6864">
          <cell r="H6864" t="str">
            <v>五路口店</v>
          </cell>
          <cell r="I6864">
            <v>46105</v>
          </cell>
          <cell r="J6864">
            <v>200</v>
          </cell>
        </row>
        <row r="6865">
          <cell r="C6865" t="str">
            <v>推广订单扣款</v>
          </cell>
        </row>
        <row r="6865">
          <cell r="H6865" t="str">
            <v>五路口店</v>
          </cell>
          <cell r="I6865">
            <v>46105</v>
          </cell>
          <cell r="J6865">
            <v>-131.27</v>
          </cell>
        </row>
        <row r="6866">
          <cell r="C6866" t="str">
            <v>推广订单扣款</v>
          </cell>
        </row>
        <row r="6866">
          <cell r="H6866" t="str">
            <v>青羊店</v>
          </cell>
          <cell r="I6866">
            <v>46105</v>
          </cell>
          <cell r="J6866">
            <v>-66.76</v>
          </cell>
        </row>
        <row r="6867">
          <cell r="C6867" t="str">
            <v>推广订单扣款</v>
          </cell>
        </row>
        <row r="6867">
          <cell r="H6867" t="str">
            <v>武侯店</v>
          </cell>
          <cell r="I6867">
            <v>46105</v>
          </cell>
          <cell r="J6867">
            <v>-27.02</v>
          </cell>
        </row>
        <row r="6868">
          <cell r="C6868" t="str">
            <v>推广订单扣款</v>
          </cell>
        </row>
        <row r="6868">
          <cell r="H6868" t="str">
            <v>鼓楼店</v>
          </cell>
          <cell r="I6868">
            <v>46105</v>
          </cell>
          <cell r="J6868">
            <v>-200</v>
          </cell>
        </row>
        <row r="6869">
          <cell r="C6869" t="str">
            <v>推广订单扣款</v>
          </cell>
        </row>
        <row r="6869">
          <cell r="H6869" t="str">
            <v>黄雁村店</v>
          </cell>
          <cell r="I6869">
            <v>46105</v>
          </cell>
          <cell r="J6869">
            <v>-100.79</v>
          </cell>
        </row>
        <row r="6870">
          <cell r="C6870" t="str">
            <v>推广账户自动充值</v>
          </cell>
        </row>
        <row r="6870">
          <cell r="H6870" t="str">
            <v>西湖店</v>
          </cell>
          <cell r="I6870">
            <v>46105</v>
          </cell>
          <cell r="J6870">
            <v>200</v>
          </cell>
        </row>
        <row r="6871">
          <cell r="C6871" t="str">
            <v>推广订单扣款</v>
          </cell>
        </row>
        <row r="6871">
          <cell r="H6871" t="str">
            <v>西湖店</v>
          </cell>
          <cell r="I6871">
            <v>46105</v>
          </cell>
          <cell r="J6871">
            <v>-159.92</v>
          </cell>
        </row>
        <row r="6872">
          <cell r="C6872" t="str">
            <v>推广账户自动充值</v>
          </cell>
        </row>
        <row r="6872">
          <cell r="H6872" t="str">
            <v>百丈店</v>
          </cell>
          <cell r="I6872">
            <v>46105</v>
          </cell>
          <cell r="J6872">
            <v>200</v>
          </cell>
        </row>
        <row r="6873">
          <cell r="C6873" t="str">
            <v>推广订单扣款</v>
          </cell>
        </row>
        <row r="6873">
          <cell r="H6873" t="str">
            <v>百丈店</v>
          </cell>
          <cell r="I6873">
            <v>46105</v>
          </cell>
          <cell r="J6873">
            <v>-149.1</v>
          </cell>
        </row>
        <row r="6874">
          <cell r="C6874" t="str">
            <v>推广账户自动充值</v>
          </cell>
        </row>
        <row r="6874">
          <cell r="H6874" t="str">
            <v>文昌店</v>
          </cell>
          <cell r="I6874">
            <v>46105</v>
          </cell>
          <cell r="J6874">
            <v>200</v>
          </cell>
        </row>
        <row r="6875">
          <cell r="C6875" t="str">
            <v>推广订单扣款</v>
          </cell>
        </row>
        <row r="6875">
          <cell r="H6875" t="str">
            <v>文昌店</v>
          </cell>
          <cell r="I6875">
            <v>46105</v>
          </cell>
          <cell r="J6875">
            <v>-126.54</v>
          </cell>
        </row>
        <row r="6876">
          <cell r="C6876" t="str">
            <v>推广订单扣款</v>
          </cell>
        </row>
        <row r="6876">
          <cell r="H6876" t="str">
            <v>观桥店</v>
          </cell>
          <cell r="I6876">
            <v>46105</v>
          </cell>
          <cell r="J6876">
            <v>-108.07</v>
          </cell>
        </row>
        <row r="6877">
          <cell r="C6877" t="str">
            <v>推广订单扣款</v>
          </cell>
        </row>
        <row r="6877">
          <cell r="H6877" t="str">
            <v>海口店</v>
          </cell>
          <cell r="I6877">
            <v>46105</v>
          </cell>
          <cell r="J6877">
            <v>-226.49</v>
          </cell>
        </row>
        <row r="6878">
          <cell r="C6878" t="str">
            <v>推广订单扣款</v>
          </cell>
        </row>
        <row r="6878">
          <cell r="H6878" t="str">
            <v>南安店</v>
          </cell>
          <cell r="I6878">
            <v>46105</v>
          </cell>
          <cell r="J6878">
            <v>-20.59</v>
          </cell>
        </row>
        <row r="6879">
          <cell r="C6879" t="str">
            <v>推广账户自动充值</v>
          </cell>
        </row>
        <row r="6879">
          <cell r="H6879" t="str">
            <v>诚毅店</v>
          </cell>
          <cell r="I6879">
            <v>46105</v>
          </cell>
          <cell r="J6879">
            <v>200</v>
          </cell>
        </row>
        <row r="6880">
          <cell r="C6880" t="str">
            <v>推广订单扣款</v>
          </cell>
        </row>
        <row r="6880">
          <cell r="H6880" t="str">
            <v>诚毅店</v>
          </cell>
          <cell r="I6880">
            <v>46105</v>
          </cell>
          <cell r="J6880">
            <v>-160.09</v>
          </cell>
        </row>
        <row r="6881">
          <cell r="C6881" t="str">
            <v>推广订单扣款</v>
          </cell>
        </row>
        <row r="6881">
          <cell r="H6881" t="str">
            <v>首山店</v>
          </cell>
          <cell r="I6881">
            <v>46105</v>
          </cell>
          <cell r="J6881">
            <v>-79.76</v>
          </cell>
        </row>
        <row r="6882">
          <cell r="C6882" t="str">
            <v>推广订单扣款</v>
          </cell>
        </row>
        <row r="6882">
          <cell r="H6882" t="str">
            <v>首南店</v>
          </cell>
          <cell r="I6882">
            <v>46105</v>
          </cell>
          <cell r="J6882">
            <v>-117.64</v>
          </cell>
        </row>
        <row r="6883">
          <cell r="C6883" t="str">
            <v>推广账户自动充值</v>
          </cell>
        </row>
        <row r="6883">
          <cell r="H6883" t="str">
            <v>余杭店</v>
          </cell>
          <cell r="I6883">
            <v>46105</v>
          </cell>
          <cell r="J6883">
            <v>200</v>
          </cell>
        </row>
        <row r="6884">
          <cell r="C6884" t="str">
            <v>推广订单扣款</v>
          </cell>
        </row>
        <row r="6884">
          <cell r="H6884" t="str">
            <v>余杭店</v>
          </cell>
          <cell r="I6884">
            <v>46105</v>
          </cell>
          <cell r="J6884">
            <v>-169.47</v>
          </cell>
        </row>
        <row r="6885">
          <cell r="C6885" t="str">
            <v>推广订单扣款</v>
          </cell>
        </row>
        <row r="6885">
          <cell r="H6885" t="str">
            <v>东海店</v>
          </cell>
          <cell r="I6885">
            <v>46105</v>
          </cell>
          <cell r="J6885">
            <v>-56.97</v>
          </cell>
        </row>
        <row r="6886">
          <cell r="C6886" t="str">
            <v>推广订单扣款</v>
          </cell>
        </row>
        <row r="6886">
          <cell r="H6886" t="str">
            <v>文灶店</v>
          </cell>
          <cell r="I6886">
            <v>46105</v>
          </cell>
          <cell r="J6886">
            <v>-39.75</v>
          </cell>
        </row>
        <row r="6887">
          <cell r="C6887" t="str">
            <v>推广订单扣款</v>
          </cell>
        </row>
        <row r="6887">
          <cell r="H6887" t="str">
            <v>滨江店</v>
          </cell>
          <cell r="I6887">
            <v>46105</v>
          </cell>
          <cell r="J6887">
            <v>-186.83</v>
          </cell>
        </row>
        <row r="6888">
          <cell r="C6888" t="str">
            <v>推广账户自动充值</v>
          </cell>
        </row>
        <row r="6888">
          <cell r="H6888" t="str">
            <v>下沙店</v>
          </cell>
          <cell r="I6888">
            <v>46105</v>
          </cell>
          <cell r="J6888">
            <v>100</v>
          </cell>
        </row>
        <row r="6889">
          <cell r="C6889" t="str">
            <v>推广订单扣款</v>
          </cell>
        </row>
        <row r="6889">
          <cell r="H6889" t="str">
            <v>下沙店</v>
          </cell>
          <cell r="I6889">
            <v>46105</v>
          </cell>
          <cell r="J6889">
            <v>-181.52</v>
          </cell>
        </row>
        <row r="6890">
          <cell r="C6890" t="str">
            <v>推广订单扣款</v>
          </cell>
        </row>
        <row r="6890">
          <cell r="H6890" t="str">
            <v>华信店</v>
          </cell>
          <cell r="I6890">
            <v>46105</v>
          </cell>
          <cell r="J6890">
            <v>-160</v>
          </cell>
        </row>
        <row r="6891">
          <cell r="C6891" t="str">
            <v>推广订单扣款</v>
          </cell>
        </row>
        <row r="6891">
          <cell r="H6891" t="str">
            <v>槐荫店</v>
          </cell>
          <cell r="I6891">
            <v>46105</v>
          </cell>
          <cell r="J6891">
            <v>-135</v>
          </cell>
        </row>
        <row r="6892">
          <cell r="C6892" t="str">
            <v>推广账户自动充值</v>
          </cell>
        </row>
        <row r="6892">
          <cell r="H6892" t="str">
            <v>华信店</v>
          </cell>
          <cell r="I6892">
            <v>46106</v>
          </cell>
          <cell r="J6892">
            <v>200</v>
          </cell>
        </row>
        <row r="6893">
          <cell r="C6893" t="str">
            <v>推广订单扣款</v>
          </cell>
        </row>
        <row r="6893">
          <cell r="H6893" t="str">
            <v>华信店</v>
          </cell>
          <cell r="I6893">
            <v>46106</v>
          </cell>
          <cell r="J6893">
            <v>-160</v>
          </cell>
        </row>
        <row r="6894">
          <cell r="C6894" t="str">
            <v>推广订单扣款</v>
          </cell>
        </row>
        <row r="6894">
          <cell r="H6894" t="str">
            <v>槐荫店</v>
          </cell>
          <cell r="I6894">
            <v>46106</v>
          </cell>
          <cell r="J6894">
            <v>-135</v>
          </cell>
        </row>
        <row r="6895">
          <cell r="C6895" t="str">
            <v>推广订单扣款</v>
          </cell>
        </row>
        <row r="6895">
          <cell r="H6895" t="str">
            <v>湖里店</v>
          </cell>
          <cell r="I6895">
            <v>46106</v>
          </cell>
          <cell r="J6895">
            <v>-142.12</v>
          </cell>
        </row>
        <row r="6896">
          <cell r="C6896" t="str">
            <v>推广订单扣款</v>
          </cell>
        </row>
        <row r="6896">
          <cell r="H6896" t="str">
            <v>东新店</v>
          </cell>
          <cell r="I6896">
            <v>46106</v>
          </cell>
          <cell r="J6896">
            <v>-87.43</v>
          </cell>
        </row>
        <row r="6897">
          <cell r="C6897" t="str">
            <v>推广订单扣款</v>
          </cell>
        </row>
        <row r="6897">
          <cell r="H6897" t="str">
            <v>泉秀店</v>
          </cell>
          <cell r="I6897">
            <v>46106</v>
          </cell>
          <cell r="J6897">
            <v>-151.32</v>
          </cell>
        </row>
        <row r="6898">
          <cell r="C6898" t="str">
            <v>推广订单扣款</v>
          </cell>
        </row>
        <row r="6898">
          <cell r="H6898" t="str">
            <v>启点店</v>
          </cell>
          <cell r="I6898">
            <v>46106</v>
          </cell>
          <cell r="J6898">
            <v>-102.41</v>
          </cell>
        </row>
        <row r="6899">
          <cell r="C6899" t="str">
            <v>推广订单扣款</v>
          </cell>
        </row>
        <row r="6899">
          <cell r="H6899" t="str">
            <v>高新店</v>
          </cell>
          <cell r="I6899">
            <v>46106</v>
          </cell>
          <cell r="J6899">
            <v>-49.05</v>
          </cell>
        </row>
        <row r="6900">
          <cell r="C6900" t="str">
            <v>推广订单扣款</v>
          </cell>
        </row>
        <row r="6900">
          <cell r="H6900" t="str">
            <v>成华店</v>
          </cell>
          <cell r="I6900">
            <v>46106</v>
          </cell>
          <cell r="J6900">
            <v>-67.23</v>
          </cell>
        </row>
        <row r="6901">
          <cell r="C6901" t="str">
            <v>推广订单扣款</v>
          </cell>
        </row>
        <row r="6901">
          <cell r="H6901" t="str">
            <v>金牛店</v>
          </cell>
          <cell r="I6901">
            <v>46106</v>
          </cell>
          <cell r="J6901">
            <v>-35.43</v>
          </cell>
        </row>
        <row r="6902">
          <cell r="C6902" t="str">
            <v>推广订单扣款</v>
          </cell>
        </row>
        <row r="6902">
          <cell r="H6902" t="str">
            <v>西山店</v>
          </cell>
          <cell r="I6902">
            <v>46106</v>
          </cell>
          <cell r="J6902">
            <v>-62.42</v>
          </cell>
        </row>
        <row r="6903">
          <cell r="C6903" t="str">
            <v>推广订单扣款</v>
          </cell>
        </row>
        <row r="6903">
          <cell r="H6903" t="str">
            <v>沙坪坝店</v>
          </cell>
          <cell r="I6903">
            <v>46106</v>
          </cell>
          <cell r="J6903">
            <v>-109.61</v>
          </cell>
        </row>
        <row r="6904">
          <cell r="C6904" t="str">
            <v>推广订单扣款</v>
          </cell>
        </row>
        <row r="6904">
          <cell r="H6904" t="str">
            <v>凤城二路店</v>
          </cell>
          <cell r="I6904">
            <v>46106</v>
          </cell>
          <cell r="J6904">
            <v>-124.92</v>
          </cell>
        </row>
        <row r="6905">
          <cell r="C6905" t="str">
            <v>推广订单扣款</v>
          </cell>
        </row>
        <row r="6905">
          <cell r="H6905" t="str">
            <v>大坪店</v>
          </cell>
          <cell r="I6905">
            <v>46106</v>
          </cell>
          <cell r="J6905">
            <v>-97.35</v>
          </cell>
        </row>
        <row r="6906">
          <cell r="C6906" t="str">
            <v>推广订单扣款</v>
          </cell>
        </row>
        <row r="6906">
          <cell r="H6906" t="str">
            <v>五华店</v>
          </cell>
          <cell r="I6906">
            <v>46106</v>
          </cell>
          <cell r="J6906">
            <v>-155.36</v>
          </cell>
        </row>
        <row r="6907">
          <cell r="C6907" t="str">
            <v>推广订单扣款</v>
          </cell>
        </row>
        <row r="6907">
          <cell r="H6907" t="str">
            <v>官渡店</v>
          </cell>
          <cell r="I6907">
            <v>46106</v>
          </cell>
          <cell r="J6907">
            <v>-106.41</v>
          </cell>
        </row>
        <row r="6908">
          <cell r="C6908" t="str">
            <v>推广订单扣款</v>
          </cell>
        </row>
        <row r="6908">
          <cell r="H6908" t="str">
            <v>百捷店</v>
          </cell>
          <cell r="I6908">
            <v>46106</v>
          </cell>
          <cell r="J6908">
            <v>-142.63</v>
          </cell>
        </row>
        <row r="6909">
          <cell r="C6909" t="str">
            <v>推广订单扣款</v>
          </cell>
        </row>
        <row r="6909">
          <cell r="H6909" t="str">
            <v>济南店</v>
          </cell>
          <cell r="I6909">
            <v>46106</v>
          </cell>
          <cell r="J6909">
            <v>-121.25</v>
          </cell>
        </row>
        <row r="6910">
          <cell r="C6910" t="str">
            <v>推广订单扣款</v>
          </cell>
        </row>
        <row r="6910">
          <cell r="H6910" t="str">
            <v>观音桥店</v>
          </cell>
          <cell r="I6910">
            <v>46106</v>
          </cell>
          <cell r="J6910">
            <v>-116.54</v>
          </cell>
        </row>
        <row r="6911">
          <cell r="C6911" t="str">
            <v>推广订单扣款</v>
          </cell>
        </row>
        <row r="6911">
          <cell r="H6911" t="str">
            <v>长沙店</v>
          </cell>
          <cell r="I6911">
            <v>46106</v>
          </cell>
          <cell r="J6911">
            <v>-84.4</v>
          </cell>
        </row>
        <row r="6912">
          <cell r="C6912" t="str">
            <v>推广订单扣款</v>
          </cell>
        </row>
        <row r="6912">
          <cell r="H6912" t="str">
            <v>洛江店</v>
          </cell>
          <cell r="I6912">
            <v>46106</v>
          </cell>
          <cell r="J6912">
            <v>-80.04</v>
          </cell>
        </row>
        <row r="6913">
          <cell r="C6913" t="str">
            <v>推广订单扣款</v>
          </cell>
        </row>
        <row r="6913">
          <cell r="H6913" t="str">
            <v>五路口店</v>
          </cell>
          <cell r="I6913">
            <v>46106</v>
          </cell>
          <cell r="J6913">
            <v>-138.98</v>
          </cell>
        </row>
        <row r="6914">
          <cell r="C6914" t="str">
            <v>推广订单扣款</v>
          </cell>
        </row>
        <row r="6914">
          <cell r="H6914" t="str">
            <v>青羊店</v>
          </cell>
          <cell r="I6914">
            <v>46106</v>
          </cell>
          <cell r="J6914">
            <v>-71.26</v>
          </cell>
        </row>
        <row r="6915">
          <cell r="C6915" t="str">
            <v>推广订单扣款</v>
          </cell>
        </row>
        <row r="6915">
          <cell r="H6915" t="str">
            <v>武侯店</v>
          </cell>
          <cell r="I6915">
            <v>46106</v>
          </cell>
          <cell r="J6915">
            <v>-36.37</v>
          </cell>
        </row>
        <row r="6916">
          <cell r="C6916" t="str">
            <v>推广订单扣款</v>
          </cell>
        </row>
        <row r="6916">
          <cell r="H6916" t="str">
            <v>鼓楼店</v>
          </cell>
          <cell r="I6916">
            <v>46106</v>
          </cell>
          <cell r="J6916">
            <v>-200</v>
          </cell>
        </row>
        <row r="6917">
          <cell r="C6917" t="str">
            <v>推广订单扣款</v>
          </cell>
        </row>
        <row r="6917">
          <cell r="H6917" t="str">
            <v>黄雁村店</v>
          </cell>
          <cell r="I6917">
            <v>46106</v>
          </cell>
          <cell r="J6917">
            <v>-124.98</v>
          </cell>
        </row>
        <row r="6918">
          <cell r="C6918" t="str">
            <v>推广订单扣款</v>
          </cell>
        </row>
        <row r="6918">
          <cell r="H6918" t="str">
            <v>西湖店</v>
          </cell>
          <cell r="I6918">
            <v>46106</v>
          </cell>
          <cell r="J6918">
            <v>-141</v>
          </cell>
        </row>
        <row r="6919">
          <cell r="C6919" t="str">
            <v>推广订单扣款</v>
          </cell>
        </row>
        <row r="6919">
          <cell r="H6919" t="str">
            <v>百丈店</v>
          </cell>
          <cell r="I6919">
            <v>46106</v>
          </cell>
          <cell r="J6919">
            <v>-146.18</v>
          </cell>
        </row>
        <row r="6920">
          <cell r="C6920" t="str">
            <v>推广订单扣款</v>
          </cell>
        </row>
        <row r="6920">
          <cell r="H6920" t="str">
            <v>文昌店</v>
          </cell>
          <cell r="I6920">
            <v>46106</v>
          </cell>
          <cell r="J6920">
            <v>-120.54</v>
          </cell>
        </row>
        <row r="6921">
          <cell r="C6921" t="str">
            <v>推广订单扣款</v>
          </cell>
        </row>
        <row r="6921">
          <cell r="H6921" t="str">
            <v>观桥店</v>
          </cell>
          <cell r="I6921">
            <v>46106</v>
          </cell>
          <cell r="J6921">
            <v>-145.04</v>
          </cell>
        </row>
        <row r="6922">
          <cell r="C6922" t="str">
            <v>推广订单扣款</v>
          </cell>
        </row>
        <row r="6922">
          <cell r="H6922" t="str">
            <v>海口店</v>
          </cell>
          <cell r="I6922">
            <v>46106</v>
          </cell>
          <cell r="J6922">
            <v>-222.15</v>
          </cell>
        </row>
        <row r="6923">
          <cell r="C6923" t="str">
            <v>推广订单扣款</v>
          </cell>
        </row>
        <row r="6923">
          <cell r="H6923" t="str">
            <v>南安店</v>
          </cell>
          <cell r="I6923">
            <v>46106</v>
          </cell>
          <cell r="J6923">
            <v>-20.69</v>
          </cell>
        </row>
        <row r="6924">
          <cell r="C6924" t="str">
            <v>推广订单扣款</v>
          </cell>
        </row>
        <row r="6924">
          <cell r="H6924" t="str">
            <v>诚毅店</v>
          </cell>
          <cell r="I6924">
            <v>46106</v>
          </cell>
          <cell r="J6924">
            <v>-167.13</v>
          </cell>
        </row>
        <row r="6925">
          <cell r="C6925" t="str">
            <v>推广订单扣款</v>
          </cell>
        </row>
        <row r="6925">
          <cell r="H6925" t="str">
            <v>首山店</v>
          </cell>
          <cell r="I6925">
            <v>46106</v>
          </cell>
          <cell r="J6925">
            <v>-55.69</v>
          </cell>
        </row>
        <row r="6926">
          <cell r="C6926" t="str">
            <v>推广订单扣款</v>
          </cell>
        </row>
        <row r="6926">
          <cell r="H6926" t="str">
            <v>首南店</v>
          </cell>
          <cell r="I6926">
            <v>46106</v>
          </cell>
          <cell r="J6926">
            <v>-145.31</v>
          </cell>
        </row>
        <row r="6927">
          <cell r="C6927" t="str">
            <v>推广订单扣款</v>
          </cell>
        </row>
        <row r="6927">
          <cell r="H6927" t="str">
            <v>余杭店</v>
          </cell>
          <cell r="I6927">
            <v>46106</v>
          </cell>
          <cell r="J6927">
            <v>-145</v>
          </cell>
        </row>
        <row r="6928">
          <cell r="C6928" t="str">
            <v>推广订单扣款</v>
          </cell>
        </row>
        <row r="6928">
          <cell r="H6928" t="str">
            <v>东海店</v>
          </cell>
          <cell r="I6928">
            <v>46106</v>
          </cell>
          <cell r="J6928">
            <v>-55.59</v>
          </cell>
        </row>
        <row r="6929">
          <cell r="C6929" t="str">
            <v>推广订单扣款</v>
          </cell>
        </row>
        <row r="6929">
          <cell r="H6929" t="str">
            <v>文灶店</v>
          </cell>
          <cell r="I6929">
            <v>46106</v>
          </cell>
          <cell r="J6929">
            <v>-38.27</v>
          </cell>
        </row>
        <row r="6930">
          <cell r="C6930" t="str">
            <v>推广账户自动充值</v>
          </cell>
        </row>
        <row r="6930">
          <cell r="H6930" t="str">
            <v>滨江店</v>
          </cell>
          <cell r="I6930">
            <v>46106</v>
          </cell>
          <cell r="J6930">
            <v>200</v>
          </cell>
        </row>
        <row r="6931">
          <cell r="C6931" t="str">
            <v>推广订单扣款</v>
          </cell>
        </row>
        <row r="6931">
          <cell r="H6931" t="str">
            <v>滨江店</v>
          </cell>
          <cell r="I6931">
            <v>46106</v>
          </cell>
          <cell r="J6931">
            <v>-171.97</v>
          </cell>
        </row>
        <row r="6932">
          <cell r="C6932" t="str">
            <v>推广订单扣款</v>
          </cell>
        </row>
        <row r="6932">
          <cell r="H6932" t="str">
            <v>下沙店</v>
          </cell>
          <cell r="I6932">
            <v>46106</v>
          </cell>
          <cell r="J6932">
            <v>-200</v>
          </cell>
        </row>
      </sheetData>
      <sheetData sheetId="9">
        <row r="1">
          <cell r="A1" t="str">
            <v>支出费用统计</v>
          </cell>
        </row>
        <row r="2">
          <cell r="A2" t="str">
            <v>门店</v>
          </cell>
          <cell r="B2" t="str">
            <v>省份</v>
          </cell>
          <cell r="C2" t="str">
            <v>城市</v>
          </cell>
          <cell r="D2" t="str">
            <v>人数</v>
          </cell>
          <cell r="E2" t="str">
            <v>话费/宽带</v>
          </cell>
          <cell r="F2" t="str">
            <v>话费</v>
          </cell>
          <cell r="G2" t="str">
            <v>电费</v>
          </cell>
          <cell r="H2" t="str">
            <v>水费/公摊费/物业费</v>
          </cell>
          <cell r="I2" t="str">
            <v>薪资</v>
          </cell>
          <cell r="J2" t="str">
            <v>房租</v>
          </cell>
          <cell r="K2" t="str">
            <v>区域经理费用</v>
          </cell>
          <cell r="L2" t="str">
            <v>合计</v>
          </cell>
          <cell r="M2" t="str">
            <v>xxx</v>
          </cell>
          <cell r="N2" t="str">
            <v>日均费用</v>
          </cell>
        </row>
        <row r="3">
          <cell r="A3" t="str">
            <v>鼓楼店</v>
          </cell>
          <cell r="B3" t="str">
            <v>福建</v>
          </cell>
          <cell r="C3" t="str">
            <v>福州</v>
          </cell>
          <cell r="D3" t="str">
            <v>2人</v>
          </cell>
        </row>
        <row r="3">
          <cell r="I3">
            <v>8700</v>
          </cell>
          <cell r="J3">
            <v>4000</v>
          </cell>
          <cell r="K3">
            <v>1000</v>
          </cell>
          <cell r="L3">
            <v>14191.2065333333</v>
          </cell>
          <cell r="M3">
            <v>14191.2065333333</v>
          </cell>
          <cell r="N3">
            <v>473.040217777778</v>
          </cell>
        </row>
        <row r="4">
          <cell r="A4" t="str">
            <v>首山店</v>
          </cell>
          <cell r="B4" t="str">
            <v>福建</v>
          </cell>
          <cell r="C4" t="str">
            <v>福州</v>
          </cell>
          <cell r="D4" t="str">
            <v>3人</v>
          </cell>
        </row>
        <row r="4">
          <cell r="I4">
            <v>13000</v>
          </cell>
          <cell r="J4">
            <v>4500</v>
          </cell>
          <cell r="K4">
            <v>1000</v>
          </cell>
          <cell r="L4">
            <v>19121.34</v>
          </cell>
          <cell r="M4">
            <v>19121.34</v>
          </cell>
          <cell r="N4">
            <v>637.378</v>
          </cell>
        </row>
        <row r="5">
          <cell r="A5" t="str">
            <v>观桥店</v>
          </cell>
          <cell r="B5" t="str">
            <v>福建</v>
          </cell>
          <cell r="C5" t="str">
            <v>莆田</v>
          </cell>
          <cell r="D5" t="str">
            <v>1人</v>
          </cell>
        </row>
        <row r="5">
          <cell r="I5">
            <v>3500</v>
          </cell>
          <cell r="J5">
            <v>3000</v>
          </cell>
          <cell r="K5">
            <v>1000</v>
          </cell>
          <cell r="L5">
            <v>7876.11111111111</v>
          </cell>
          <cell r="M5">
            <v>7876.11111111111</v>
          </cell>
          <cell r="N5">
            <v>262.537037037037</v>
          </cell>
        </row>
        <row r="6">
          <cell r="A6" t="str">
            <v>百捷店</v>
          </cell>
          <cell r="B6" t="str">
            <v>福建</v>
          </cell>
          <cell r="C6" t="str">
            <v>泉州</v>
          </cell>
          <cell r="D6" t="str">
            <v>2人</v>
          </cell>
        </row>
        <row r="6">
          <cell r="I6">
            <v>8500</v>
          </cell>
          <cell r="J6">
            <v>2400</v>
          </cell>
          <cell r="K6">
            <v>1000</v>
          </cell>
          <cell r="L6">
            <v>12311.2825833333</v>
          </cell>
          <cell r="M6">
            <v>12311.2825833333</v>
          </cell>
          <cell r="N6">
            <v>410.376086111111</v>
          </cell>
        </row>
        <row r="7">
          <cell r="A7" t="str">
            <v>洛江店</v>
          </cell>
          <cell r="B7" t="str">
            <v>福建</v>
          </cell>
          <cell r="C7" t="str">
            <v>泉州</v>
          </cell>
          <cell r="D7" t="str">
            <v>1人</v>
          </cell>
        </row>
        <row r="7">
          <cell r="I7">
            <v>3500</v>
          </cell>
          <cell r="J7">
            <v>3500</v>
          </cell>
          <cell r="K7">
            <v>1000</v>
          </cell>
          <cell r="L7">
            <v>8307.50388888889</v>
          </cell>
          <cell r="M7">
            <v>8307.50388888889</v>
          </cell>
          <cell r="N7">
            <v>276.916796296296</v>
          </cell>
        </row>
        <row r="8">
          <cell r="A8" t="str">
            <v>湖里店</v>
          </cell>
          <cell r="B8" t="str">
            <v>福建</v>
          </cell>
          <cell r="C8" t="str">
            <v>厦门</v>
          </cell>
          <cell r="D8" t="str">
            <v>3人</v>
          </cell>
        </row>
        <row r="8">
          <cell r="I8">
            <v>9000</v>
          </cell>
          <cell r="J8">
            <v>5500</v>
          </cell>
          <cell r="K8">
            <v>1000</v>
          </cell>
          <cell r="L8">
            <v>16043.0743</v>
          </cell>
          <cell r="M8">
            <v>16043.0743</v>
          </cell>
          <cell r="N8">
            <v>534.769143333333</v>
          </cell>
        </row>
        <row r="9">
          <cell r="A9" t="str">
            <v>诚毅店</v>
          </cell>
          <cell r="B9" t="str">
            <v>福建</v>
          </cell>
          <cell r="C9" t="str">
            <v>厦门</v>
          </cell>
          <cell r="D9" t="str">
            <v>2人</v>
          </cell>
        </row>
        <row r="9">
          <cell r="I9">
            <v>7000</v>
          </cell>
          <cell r="J9">
            <v>4600</v>
          </cell>
          <cell r="K9">
            <v>1000</v>
          </cell>
          <cell r="L9">
            <v>13047.5914</v>
          </cell>
          <cell r="M9">
            <v>13047.5914</v>
          </cell>
          <cell r="N9">
            <v>434.919713333333</v>
          </cell>
        </row>
        <row r="10">
          <cell r="A10" t="str">
            <v>文昌店</v>
          </cell>
          <cell r="B10" t="str">
            <v>福建</v>
          </cell>
          <cell r="C10" t="str">
            <v>漳州</v>
          </cell>
          <cell r="D10" t="str">
            <v>2人</v>
          </cell>
        </row>
        <row r="10">
          <cell r="I10">
            <v>7000</v>
          </cell>
          <cell r="J10">
            <v>2000</v>
          </cell>
          <cell r="K10">
            <v>1000</v>
          </cell>
          <cell r="L10">
            <v>10336.1836111111</v>
          </cell>
          <cell r="M10">
            <v>10336.1836111111</v>
          </cell>
          <cell r="N10">
            <v>344.539453703704</v>
          </cell>
        </row>
        <row r="11">
          <cell r="A11" t="str">
            <v>长沙店</v>
          </cell>
          <cell r="B11" t="str">
            <v>湖南</v>
          </cell>
          <cell r="C11" t="str">
            <v>长沙</v>
          </cell>
          <cell r="D11">
            <v>0</v>
          </cell>
        </row>
        <row r="11">
          <cell r="I11">
            <v>7500</v>
          </cell>
          <cell r="J11">
            <v>2500</v>
          </cell>
          <cell r="K11">
            <v>0</v>
          </cell>
          <cell r="L11">
            <v>10000</v>
          </cell>
          <cell r="M11">
            <v>10000</v>
          </cell>
          <cell r="N11">
            <v>333.333333333333</v>
          </cell>
        </row>
        <row r="12">
          <cell r="A12" t="str">
            <v>济南店</v>
          </cell>
          <cell r="B12" t="str">
            <v>山东</v>
          </cell>
          <cell r="C12" t="str">
            <v>济南</v>
          </cell>
          <cell r="D12" t="str">
            <v>3人</v>
          </cell>
        </row>
        <row r="12">
          <cell r="I12">
            <v>13700</v>
          </cell>
          <cell r="J12">
            <v>2700</v>
          </cell>
          <cell r="K12">
            <v>2333.33333333333</v>
          </cell>
          <cell r="L12">
            <v>19372.5755555556</v>
          </cell>
          <cell r="M12">
            <v>19372.5755555556</v>
          </cell>
          <cell r="N12">
            <v>645.752518518518</v>
          </cell>
        </row>
        <row r="13">
          <cell r="A13" t="str">
            <v>槐荫店</v>
          </cell>
          <cell r="B13" t="str">
            <v>山东</v>
          </cell>
          <cell r="C13" t="str">
            <v>济南</v>
          </cell>
          <cell r="D13" t="str">
            <v>2人</v>
          </cell>
        </row>
        <row r="13">
          <cell r="I13">
            <v>8000</v>
          </cell>
          <cell r="J13">
            <v>3294</v>
          </cell>
          <cell r="K13">
            <v>2333.33333333333</v>
          </cell>
          <cell r="L13">
            <v>14081.5777777778</v>
          </cell>
          <cell r="M13">
            <v>14081.5777777778</v>
          </cell>
          <cell r="N13">
            <v>469.385925925926</v>
          </cell>
        </row>
        <row r="14">
          <cell r="A14" t="str">
            <v>华信店</v>
          </cell>
          <cell r="B14" t="str">
            <v>山东</v>
          </cell>
          <cell r="C14" t="str">
            <v>济南</v>
          </cell>
          <cell r="D14" t="str">
            <v>2人</v>
          </cell>
        </row>
        <row r="14">
          <cell r="I14">
            <v>8000</v>
          </cell>
          <cell r="J14">
            <v>4167</v>
          </cell>
          <cell r="K14">
            <v>2333.33333333333</v>
          </cell>
          <cell r="L14">
            <v>15002.1361111111</v>
          </cell>
          <cell r="M14">
            <v>15002.1361111111</v>
          </cell>
          <cell r="N14">
            <v>500.071203703704</v>
          </cell>
        </row>
        <row r="15">
          <cell r="A15" t="str">
            <v>凤城二路店</v>
          </cell>
          <cell r="B15" t="str">
            <v>陕西</v>
          </cell>
          <cell r="C15" t="str">
            <v>西安</v>
          </cell>
          <cell r="D15" t="str">
            <v>3人</v>
          </cell>
        </row>
        <row r="15">
          <cell r="I15">
            <v>12000</v>
          </cell>
          <cell r="J15">
            <v>2600</v>
          </cell>
          <cell r="K15">
            <v>4000</v>
          </cell>
          <cell r="L15">
            <v>19111.2179444444</v>
          </cell>
          <cell r="M15">
            <v>19111.2179444444</v>
          </cell>
          <cell r="N15">
            <v>637.040598148148</v>
          </cell>
        </row>
        <row r="16">
          <cell r="A16" t="str">
            <v>黄雁村店</v>
          </cell>
          <cell r="B16" t="str">
            <v>陕西</v>
          </cell>
          <cell r="C16" t="str">
            <v>西安</v>
          </cell>
          <cell r="D16" t="str">
            <v>2人</v>
          </cell>
        </row>
        <row r="16">
          <cell r="I16">
            <v>8000</v>
          </cell>
          <cell r="J16">
            <v>3300</v>
          </cell>
          <cell r="K16">
            <v>4000</v>
          </cell>
          <cell r="L16">
            <v>15829.0183333333</v>
          </cell>
          <cell r="M16">
            <v>15829.0183333333</v>
          </cell>
          <cell r="N16">
            <v>527.633944444444</v>
          </cell>
        </row>
        <row r="17">
          <cell r="A17" t="str">
            <v>五路口店</v>
          </cell>
          <cell r="B17" t="str">
            <v>陕西</v>
          </cell>
          <cell r="C17" t="str">
            <v>西安</v>
          </cell>
          <cell r="D17" t="str">
            <v>2人</v>
          </cell>
        </row>
        <row r="17">
          <cell r="I17">
            <v>8000</v>
          </cell>
          <cell r="J17">
            <v>3000</v>
          </cell>
          <cell r="K17">
            <v>4000</v>
          </cell>
          <cell r="L17">
            <v>15519.7208333333</v>
          </cell>
          <cell r="M17">
            <v>15519.7208333333</v>
          </cell>
          <cell r="N17">
            <v>517.324027777778</v>
          </cell>
        </row>
        <row r="18">
          <cell r="A18" t="str">
            <v>成华店</v>
          </cell>
          <cell r="B18" t="str">
            <v>四川</v>
          </cell>
          <cell r="C18" t="str">
            <v>成都</v>
          </cell>
          <cell r="D18" t="str">
            <v>2人</v>
          </cell>
        </row>
        <row r="18">
          <cell r="I18">
            <v>9500</v>
          </cell>
          <cell r="J18">
            <v>2000</v>
          </cell>
          <cell r="K18">
            <v>2000</v>
          </cell>
          <cell r="L18">
            <v>13920.3433333333</v>
          </cell>
          <cell r="M18">
            <v>13920.3433333333</v>
          </cell>
          <cell r="N18">
            <v>464.011444444444</v>
          </cell>
        </row>
        <row r="19">
          <cell r="A19" t="str">
            <v>高新店</v>
          </cell>
          <cell r="B19" t="str">
            <v>四川</v>
          </cell>
          <cell r="C19" t="str">
            <v>成都</v>
          </cell>
          <cell r="D19" t="str">
            <v>2人</v>
          </cell>
        </row>
        <row r="19">
          <cell r="I19">
            <v>9200</v>
          </cell>
          <cell r="J19">
            <v>3300</v>
          </cell>
          <cell r="K19">
            <v>2000</v>
          </cell>
          <cell r="L19">
            <v>15012.9854444444</v>
          </cell>
          <cell r="M19">
            <v>15012.9854444444</v>
          </cell>
          <cell r="N19">
            <v>500.432848148148</v>
          </cell>
        </row>
        <row r="20">
          <cell r="A20" t="str">
            <v>金牛店</v>
          </cell>
          <cell r="B20" t="str">
            <v>四川</v>
          </cell>
          <cell r="C20" t="str">
            <v>成都</v>
          </cell>
          <cell r="D20" t="str">
            <v>2人</v>
          </cell>
        </row>
        <row r="20">
          <cell r="I20">
            <v>9700</v>
          </cell>
          <cell r="J20">
            <v>3000</v>
          </cell>
          <cell r="K20">
            <v>2000</v>
          </cell>
          <cell r="L20">
            <v>15160.5792222222</v>
          </cell>
          <cell r="M20">
            <v>15160.5792222222</v>
          </cell>
          <cell r="N20">
            <v>505.352640740741</v>
          </cell>
        </row>
        <row r="21">
          <cell r="A21" t="str">
            <v>青羊店</v>
          </cell>
          <cell r="B21" t="str">
            <v>四川</v>
          </cell>
          <cell r="C21" t="str">
            <v>成都</v>
          </cell>
          <cell r="D21" t="str">
            <v>2人</v>
          </cell>
        </row>
        <row r="21">
          <cell r="I21">
            <v>8200</v>
          </cell>
          <cell r="J21">
            <v>3600</v>
          </cell>
          <cell r="K21">
            <v>2000</v>
          </cell>
          <cell r="L21">
            <v>14263.8319333333</v>
          </cell>
          <cell r="M21">
            <v>14263.8319333333</v>
          </cell>
          <cell r="N21">
            <v>475.461064444444</v>
          </cell>
        </row>
        <row r="22">
          <cell r="A22" t="str">
            <v>武侯店</v>
          </cell>
          <cell r="B22" t="str">
            <v>四川</v>
          </cell>
          <cell r="C22" t="str">
            <v>成都</v>
          </cell>
          <cell r="D22" t="str">
            <v>3人</v>
          </cell>
        </row>
        <row r="22">
          <cell r="I22">
            <v>9500</v>
          </cell>
          <cell r="J22">
            <v>3200</v>
          </cell>
          <cell r="K22">
            <v>1666.66666666667</v>
          </cell>
          <cell r="L22">
            <v>14812.3861111111</v>
          </cell>
          <cell r="M22">
            <v>14812.3861111111</v>
          </cell>
          <cell r="N22">
            <v>493.746203703704</v>
          </cell>
        </row>
        <row r="23">
          <cell r="A23" t="str">
            <v>官渡店</v>
          </cell>
          <cell r="B23" t="str">
            <v>云南</v>
          </cell>
          <cell r="C23" t="str">
            <v>昆明</v>
          </cell>
          <cell r="D23" t="str">
            <v>2人</v>
          </cell>
        </row>
        <row r="23">
          <cell r="I23">
            <v>8000</v>
          </cell>
          <cell r="J23">
            <v>2083</v>
          </cell>
          <cell r="K23">
            <v>1666.66666666667</v>
          </cell>
          <cell r="L23">
            <v>12149.9236111111</v>
          </cell>
          <cell r="M23">
            <v>12149.9236111111</v>
          </cell>
          <cell r="N23">
            <v>404.997453703704</v>
          </cell>
        </row>
        <row r="24">
          <cell r="A24" t="str">
            <v>五华店</v>
          </cell>
          <cell r="B24" t="str">
            <v>云南</v>
          </cell>
          <cell r="C24" t="str">
            <v>昆明</v>
          </cell>
          <cell r="D24" t="str">
            <v>2人</v>
          </cell>
        </row>
        <row r="24">
          <cell r="I24">
            <v>7000</v>
          </cell>
          <cell r="J24">
            <v>1000</v>
          </cell>
          <cell r="K24">
            <v>2000</v>
          </cell>
          <cell r="L24">
            <v>10342.29925</v>
          </cell>
          <cell r="M24">
            <v>10342.29925</v>
          </cell>
          <cell r="N24">
            <v>344.743308333333</v>
          </cell>
        </row>
        <row r="25">
          <cell r="A25" t="str">
            <v>西山店</v>
          </cell>
          <cell r="B25" t="str">
            <v>云南</v>
          </cell>
          <cell r="C25" t="str">
            <v>昆明</v>
          </cell>
          <cell r="D25" t="str">
            <v>3人</v>
          </cell>
        </row>
        <row r="25">
          <cell r="I25">
            <v>11500</v>
          </cell>
          <cell r="J25">
            <v>3216</v>
          </cell>
          <cell r="K25">
            <v>1666.66666666667</v>
          </cell>
          <cell r="L25">
            <v>16959.2657222222</v>
          </cell>
          <cell r="M25">
            <v>16959.2657222222</v>
          </cell>
          <cell r="N25">
            <v>565.308857407408</v>
          </cell>
        </row>
        <row r="26">
          <cell r="A26" t="str">
            <v>东新店</v>
          </cell>
          <cell r="B26" t="str">
            <v>浙江</v>
          </cell>
          <cell r="C26" t="str">
            <v>杭州</v>
          </cell>
          <cell r="D26" t="str">
            <v>2人</v>
          </cell>
        </row>
        <row r="26">
          <cell r="I26">
            <v>9000</v>
          </cell>
          <cell r="J26">
            <v>3000</v>
          </cell>
          <cell r="K26">
            <v>1375</v>
          </cell>
          <cell r="L26">
            <v>13832.5518055556</v>
          </cell>
          <cell r="M26">
            <v>13832.5518055556</v>
          </cell>
          <cell r="N26">
            <v>461.085060185185</v>
          </cell>
        </row>
        <row r="27">
          <cell r="A27" t="str">
            <v>西湖店</v>
          </cell>
          <cell r="B27" t="str">
            <v>浙江</v>
          </cell>
          <cell r="C27" t="str">
            <v>杭州</v>
          </cell>
          <cell r="D27" t="str">
            <v>3人</v>
          </cell>
        </row>
        <row r="27">
          <cell r="I27">
            <v>9000</v>
          </cell>
          <cell r="J27">
            <v>8018</v>
          </cell>
          <cell r="K27">
            <v>1375</v>
          </cell>
          <cell r="L27">
            <v>19018.5370833333</v>
          </cell>
          <cell r="M27">
            <v>19018.5370833333</v>
          </cell>
          <cell r="N27">
            <v>633.951236111111</v>
          </cell>
        </row>
        <row r="28">
          <cell r="A28" t="str">
            <v>余杭店</v>
          </cell>
          <cell r="B28" t="str">
            <v>浙江</v>
          </cell>
          <cell r="C28" t="str">
            <v>杭州</v>
          </cell>
          <cell r="D28" t="str">
            <v>2人</v>
          </cell>
        </row>
        <row r="28">
          <cell r="I28">
            <v>9000</v>
          </cell>
          <cell r="J28">
            <v>3000</v>
          </cell>
          <cell r="K28">
            <v>1375</v>
          </cell>
          <cell r="L28">
            <v>13823.4223333333</v>
          </cell>
          <cell r="M28">
            <v>13823.4223333333</v>
          </cell>
          <cell r="N28">
            <v>460.780744444444</v>
          </cell>
        </row>
        <row r="29">
          <cell r="A29" t="str">
            <v>滨江店</v>
          </cell>
          <cell r="B29" t="str">
            <v>浙江</v>
          </cell>
          <cell r="C29" t="str">
            <v>杭州</v>
          </cell>
          <cell r="D29" t="str">
            <v>2人</v>
          </cell>
        </row>
        <row r="29">
          <cell r="I29">
            <v>9000</v>
          </cell>
          <cell r="J29">
            <v>5110</v>
          </cell>
          <cell r="K29">
            <v>1375</v>
          </cell>
          <cell r="L29">
            <v>16001.1666666667</v>
          </cell>
          <cell r="M29">
            <v>16001.1666666667</v>
          </cell>
          <cell r="N29">
            <v>533.372222222222</v>
          </cell>
        </row>
        <row r="30">
          <cell r="A30" t="str">
            <v>启点店</v>
          </cell>
          <cell r="B30" t="str">
            <v>浙江</v>
          </cell>
          <cell r="C30" t="str">
            <v>宁波</v>
          </cell>
          <cell r="D30" t="str">
            <v>1人</v>
          </cell>
        </row>
        <row r="30">
          <cell r="I30">
            <v>4700</v>
          </cell>
          <cell r="J30">
            <v>3000</v>
          </cell>
          <cell r="K30">
            <v>1375</v>
          </cell>
          <cell r="L30">
            <v>9401.79416666667</v>
          </cell>
          <cell r="M30">
            <v>9401.79416666667</v>
          </cell>
          <cell r="N30">
            <v>313.393138888889</v>
          </cell>
        </row>
        <row r="31">
          <cell r="A31" t="str">
            <v>百丈店</v>
          </cell>
          <cell r="B31" t="str">
            <v>浙江</v>
          </cell>
          <cell r="C31" t="str">
            <v>宁波</v>
          </cell>
          <cell r="D31" t="str">
            <v>2人</v>
          </cell>
        </row>
        <row r="31">
          <cell r="I31">
            <v>8000</v>
          </cell>
          <cell r="J31">
            <v>3300</v>
          </cell>
          <cell r="K31">
            <v>1375</v>
          </cell>
          <cell r="L31">
            <v>13109.3010833333</v>
          </cell>
          <cell r="M31">
            <v>13109.3010833333</v>
          </cell>
          <cell r="N31">
            <v>436.976702777778</v>
          </cell>
        </row>
        <row r="32">
          <cell r="A32" t="str">
            <v>首南店</v>
          </cell>
          <cell r="B32" t="str">
            <v>浙江</v>
          </cell>
          <cell r="C32" t="str">
            <v>宁波</v>
          </cell>
          <cell r="D32" t="str">
            <v>3人</v>
          </cell>
        </row>
        <row r="32">
          <cell r="I32">
            <v>11500</v>
          </cell>
          <cell r="J32">
            <v>2895</v>
          </cell>
          <cell r="K32">
            <v>1375</v>
          </cell>
          <cell r="L32">
            <v>16316.1955333333</v>
          </cell>
          <cell r="M32">
            <v>16316.1955333333</v>
          </cell>
          <cell r="N32">
            <v>543.873184444444</v>
          </cell>
        </row>
        <row r="33">
          <cell r="A33" t="str">
            <v>大坪店</v>
          </cell>
          <cell r="B33" t="str">
            <v>重庆</v>
          </cell>
          <cell r="C33" t="str">
            <v>重庆</v>
          </cell>
          <cell r="D33" t="str">
            <v>2人</v>
          </cell>
        </row>
        <row r="33">
          <cell r="I33">
            <v>7200</v>
          </cell>
          <cell r="J33">
            <v>1300</v>
          </cell>
          <cell r="K33">
            <v>1666.66666666667</v>
          </cell>
          <cell r="L33">
            <v>10533.3997222222</v>
          </cell>
          <cell r="M33">
            <v>10533.3997222222</v>
          </cell>
          <cell r="N33">
            <v>351.113324074074</v>
          </cell>
        </row>
        <row r="34">
          <cell r="A34" t="str">
            <v>观音桥店</v>
          </cell>
          <cell r="B34" t="str">
            <v>重庆</v>
          </cell>
          <cell r="C34" t="str">
            <v>重庆</v>
          </cell>
          <cell r="D34" t="str">
            <v>3人</v>
          </cell>
        </row>
        <row r="34">
          <cell r="I34">
            <v>11000</v>
          </cell>
          <cell r="J34">
            <v>2000</v>
          </cell>
          <cell r="K34">
            <v>1666.66666666667</v>
          </cell>
          <cell r="L34">
            <v>15039.0848888889</v>
          </cell>
          <cell r="M34">
            <v>15039.0848888889</v>
          </cell>
          <cell r="N34">
            <v>501.30282962963</v>
          </cell>
        </row>
        <row r="35">
          <cell r="A35" t="str">
            <v>沙坪坝店</v>
          </cell>
          <cell r="B35" t="str">
            <v>重庆</v>
          </cell>
          <cell r="C35" t="str">
            <v>重庆</v>
          </cell>
          <cell r="D35" t="str">
            <v>2人</v>
          </cell>
        </row>
        <row r="35">
          <cell r="I35">
            <v>7500</v>
          </cell>
          <cell r="J35">
            <v>3200</v>
          </cell>
          <cell r="K35">
            <v>1666.66666666667</v>
          </cell>
          <cell r="L35">
            <v>12817.8105555556</v>
          </cell>
          <cell r="M35">
            <v>12817.8105555556</v>
          </cell>
          <cell r="N35">
            <v>427.260351851852</v>
          </cell>
        </row>
        <row r="36">
          <cell r="A36" t="str">
            <v>集美店</v>
          </cell>
        </row>
        <row r="36">
          <cell r="D36">
            <v>0</v>
          </cell>
        </row>
        <row r="36"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</row>
        <row r="37">
          <cell r="A37" t="str">
            <v>泰禾店</v>
          </cell>
        </row>
        <row r="37">
          <cell r="D37">
            <v>0</v>
          </cell>
        </row>
        <row r="37"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</row>
        <row r="38">
          <cell r="A38" t="str">
            <v>泉秀店</v>
          </cell>
        </row>
        <row r="38">
          <cell r="D38" t="str">
            <v>1人</v>
          </cell>
        </row>
        <row r="38">
          <cell r="I38">
            <v>4700</v>
          </cell>
          <cell r="J38">
            <v>3800</v>
          </cell>
          <cell r="K38">
            <v>1000</v>
          </cell>
          <cell r="L38">
            <v>9818.33333333333</v>
          </cell>
          <cell r="M38">
            <v>9818.33333333333</v>
          </cell>
          <cell r="N38">
            <v>327.277777777778</v>
          </cell>
        </row>
        <row r="39">
          <cell r="A39" t="str">
            <v>下沙店</v>
          </cell>
        </row>
        <row r="39">
          <cell r="D39" t="str">
            <v>2人</v>
          </cell>
        </row>
        <row r="39">
          <cell r="I39">
            <v>9000</v>
          </cell>
          <cell r="J39">
            <v>3676</v>
          </cell>
          <cell r="K39">
            <v>1375</v>
          </cell>
          <cell r="L39">
            <v>14219.3666666667</v>
          </cell>
          <cell r="M39">
            <v>14219.3666666667</v>
          </cell>
          <cell r="N39">
            <v>473.978888888889</v>
          </cell>
        </row>
        <row r="40">
          <cell r="A40" t="str">
            <v>湖心店</v>
          </cell>
          <cell r="B40" t="str">
            <v>福建</v>
          </cell>
          <cell r="C40" t="str">
            <v>泉州</v>
          </cell>
          <cell r="D40">
            <v>0</v>
          </cell>
        </row>
        <row r="40"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</row>
        <row r="41">
          <cell r="A41" t="str">
            <v>合计</v>
          </cell>
        </row>
        <row r="41">
          <cell r="D41">
            <v>0</v>
          </cell>
        </row>
        <row r="42">
          <cell r="A42" t="str">
            <v>海口店</v>
          </cell>
          <cell r="B42" t="str">
            <v>海南</v>
          </cell>
          <cell r="C42" t="str">
            <v>海口</v>
          </cell>
        </row>
        <row r="42">
          <cell r="N42">
            <v>600</v>
          </cell>
        </row>
        <row r="43">
          <cell r="A43" t="str">
            <v>南安店</v>
          </cell>
          <cell r="B43" t="str">
            <v>福建</v>
          </cell>
          <cell r="C43" t="str">
            <v>泉州</v>
          </cell>
        </row>
        <row r="43">
          <cell r="N43">
            <v>600</v>
          </cell>
        </row>
        <row r="44">
          <cell r="A44" t="str">
            <v>东海店</v>
          </cell>
          <cell r="B44" t="str">
            <v>福建</v>
          </cell>
          <cell r="C44" t="str">
            <v>泉州</v>
          </cell>
        </row>
        <row r="44">
          <cell r="N44">
            <v>600</v>
          </cell>
        </row>
        <row r="45">
          <cell r="A45" t="str">
            <v>文灶店</v>
          </cell>
          <cell r="B45" t="str">
            <v>福建</v>
          </cell>
          <cell r="C45" t="str">
            <v>厦门</v>
          </cell>
        </row>
        <row r="45">
          <cell r="N45">
            <v>600</v>
          </cell>
        </row>
      </sheetData>
      <sheetData sheetId="10">
        <row r="1">
          <cell r="J1" t="str">
            <v>日报店铺名称</v>
          </cell>
          <cell r="K1" t="str">
            <v>类型</v>
          </cell>
        </row>
        <row r="2">
          <cell r="J2" t="str">
            <v>湖里店</v>
          </cell>
          <cell r="K2" t="str">
            <v>自营</v>
          </cell>
        </row>
        <row r="3">
          <cell r="J3" t="str">
            <v>东新店</v>
          </cell>
          <cell r="K3" t="str">
            <v>自营</v>
          </cell>
        </row>
        <row r="4">
          <cell r="J4" t="str">
            <v>湖心店</v>
          </cell>
          <cell r="K4" t="str">
            <v>自营</v>
          </cell>
        </row>
        <row r="5">
          <cell r="J5" t="str">
            <v>大坪店</v>
          </cell>
          <cell r="K5" t="str">
            <v>自营</v>
          </cell>
        </row>
        <row r="6">
          <cell r="J6" t="str">
            <v>凤城二路店</v>
          </cell>
          <cell r="K6" t="str">
            <v>自营</v>
          </cell>
        </row>
        <row r="7">
          <cell r="J7" t="str">
            <v>洛江店</v>
          </cell>
          <cell r="K7" t="str">
            <v>自营</v>
          </cell>
        </row>
        <row r="8">
          <cell r="J8" t="str">
            <v>官渡店</v>
          </cell>
          <cell r="K8" t="str">
            <v>自营</v>
          </cell>
        </row>
        <row r="9">
          <cell r="J9" t="str">
            <v>武侯店</v>
          </cell>
          <cell r="K9" t="str">
            <v>自营</v>
          </cell>
        </row>
        <row r="10">
          <cell r="J10" t="str">
            <v>黄雁村店</v>
          </cell>
          <cell r="K10" t="str">
            <v>自营</v>
          </cell>
        </row>
        <row r="11">
          <cell r="J11" t="str">
            <v>五华店</v>
          </cell>
          <cell r="K11" t="str">
            <v>自营</v>
          </cell>
        </row>
        <row r="12">
          <cell r="J12" t="str">
            <v>长沙店</v>
          </cell>
          <cell r="K12" t="str">
            <v>（加盟）</v>
          </cell>
        </row>
        <row r="13">
          <cell r="J13" t="str">
            <v>鼓楼店</v>
          </cell>
          <cell r="K13" t="str">
            <v>自营</v>
          </cell>
        </row>
        <row r="14">
          <cell r="J14" t="str">
            <v>文昌店</v>
          </cell>
          <cell r="K14" t="str">
            <v>自营</v>
          </cell>
        </row>
        <row r="15">
          <cell r="J15" t="str">
            <v>百丈店</v>
          </cell>
          <cell r="K15" t="str">
            <v>自营</v>
          </cell>
        </row>
        <row r="16">
          <cell r="J16" t="str">
            <v>观桥店</v>
          </cell>
          <cell r="K16" t="str">
            <v>自营</v>
          </cell>
        </row>
        <row r="17">
          <cell r="J17" t="str">
            <v>启点店</v>
          </cell>
          <cell r="K17" t="str">
            <v>自营</v>
          </cell>
        </row>
        <row r="18">
          <cell r="J18" t="str">
            <v>高新店</v>
          </cell>
          <cell r="K18" t="str">
            <v>自营</v>
          </cell>
        </row>
        <row r="19">
          <cell r="J19" t="str">
            <v>金牛店</v>
          </cell>
          <cell r="K19" t="str">
            <v>自营</v>
          </cell>
        </row>
        <row r="20">
          <cell r="J20" t="str">
            <v>成华店</v>
          </cell>
          <cell r="K20" t="str">
            <v>自营</v>
          </cell>
        </row>
        <row r="21">
          <cell r="J21" t="str">
            <v>西山店</v>
          </cell>
          <cell r="K21" t="str">
            <v>自营</v>
          </cell>
        </row>
        <row r="22">
          <cell r="J22" t="str">
            <v>百捷店</v>
          </cell>
          <cell r="K22" t="str">
            <v>自营</v>
          </cell>
        </row>
        <row r="23">
          <cell r="J23" t="str">
            <v>沙坪坝店</v>
          </cell>
          <cell r="K23" t="str">
            <v>自营</v>
          </cell>
        </row>
        <row r="24">
          <cell r="J24" t="str">
            <v>五路口店</v>
          </cell>
          <cell r="K24" t="str">
            <v>自营</v>
          </cell>
        </row>
        <row r="25">
          <cell r="J25" t="str">
            <v>济南店</v>
          </cell>
          <cell r="K25" t="str">
            <v>自营</v>
          </cell>
        </row>
        <row r="26">
          <cell r="J26" t="str">
            <v>青羊店</v>
          </cell>
          <cell r="K26" t="str">
            <v>自营</v>
          </cell>
        </row>
        <row r="27">
          <cell r="J27" t="str">
            <v>观音桥店</v>
          </cell>
          <cell r="K27" t="str">
            <v>自营</v>
          </cell>
        </row>
        <row r="28">
          <cell r="J28" t="str">
            <v>西湖店</v>
          </cell>
          <cell r="K28" t="str">
            <v>自营</v>
          </cell>
        </row>
        <row r="29">
          <cell r="J29" t="str">
            <v>小时达退款店</v>
          </cell>
          <cell r="K29" t="str">
            <v>剔除</v>
          </cell>
        </row>
        <row r="30">
          <cell r="J30" t="str">
            <v>南安店</v>
          </cell>
          <cell r="K30" t="str">
            <v>加盟</v>
          </cell>
        </row>
        <row r="31">
          <cell r="J31" t="str">
            <v>海口店</v>
          </cell>
          <cell r="K31" t="str">
            <v>加盟</v>
          </cell>
        </row>
        <row r="32">
          <cell r="J32" t="str">
            <v>华信店</v>
          </cell>
          <cell r="K32" t="str">
            <v>自营</v>
          </cell>
        </row>
        <row r="33">
          <cell r="J33" t="str">
            <v>鲁商店</v>
          </cell>
          <cell r="K33" t="str">
            <v>加盟</v>
          </cell>
        </row>
        <row r="34">
          <cell r="J34" t="str">
            <v>天山店</v>
          </cell>
          <cell r="K34" t="str">
            <v>加盟</v>
          </cell>
        </row>
        <row r="35">
          <cell r="J35" t="str">
            <v>苏宁店</v>
          </cell>
          <cell r="K35" t="str">
            <v>加盟</v>
          </cell>
        </row>
        <row r="36">
          <cell r="J36" t="str">
            <v>双月湖店</v>
          </cell>
          <cell r="K36" t="str">
            <v>加盟</v>
          </cell>
        </row>
        <row r="37">
          <cell r="J37" t="str">
            <v>天达店</v>
          </cell>
          <cell r="K37" t="str">
            <v>自营</v>
          </cell>
        </row>
        <row r="38">
          <cell r="J38" t="str">
            <v>首山店</v>
          </cell>
          <cell r="K38" t="str">
            <v>自营</v>
          </cell>
        </row>
        <row r="39">
          <cell r="J39" t="str">
            <v>诚毅店</v>
          </cell>
          <cell r="K39" t="str">
            <v>自营</v>
          </cell>
        </row>
        <row r="40">
          <cell r="J40" t="str">
            <v>首南店</v>
          </cell>
          <cell r="K40" t="str">
            <v>自营</v>
          </cell>
        </row>
        <row r="41">
          <cell r="J41" t="str">
            <v>余杭店</v>
          </cell>
          <cell r="K41" t="str">
            <v>自营</v>
          </cell>
        </row>
        <row r="42">
          <cell r="J42" t="str">
            <v>东海店</v>
          </cell>
          <cell r="K42" t="str">
            <v>加盟</v>
          </cell>
        </row>
        <row r="43">
          <cell r="J43" t="str">
            <v>文灶店</v>
          </cell>
          <cell r="K43" t="str">
            <v>加盟</v>
          </cell>
        </row>
        <row r="44">
          <cell r="J44" t="str">
            <v>滨江店</v>
          </cell>
          <cell r="K44" t="str">
            <v>自营</v>
          </cell>
        </row>
        <row r="45">
          <cell r="J45" t="str">
            <v>槐荫店</v>
          </cell>
          <cell r="K45" t="str">
            <v>自营</v>
          </cell>
        </row>
        <row r="46">
          <cell r="J46" t="str">
            <v>下沙店</v>
          </cell>
          <cell r="K46" t="str">
            <v>自营</v>
          </cell>
        </row>
        <row r="47">
          <cell r="J47" t="str">
            <v>泉秀店</v>
          </cell>
          <cell r="K47" t="str">
            <v>自营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28"/>
  <sheetViews>
    <sheetView tabSelected="1" topLeftCell="A113" workbookViewId="0">
      <selection activeCell="E124" sqref="E124"/>
    </sheetView>
  </sheetViews>
  <sheetFormatPr defaultColWidth="9" defaultRowHeight="14"/>
  <cols>
    <col min="1" max="1" width="16.0090909090909" style="1" customWidth="1"/>
    <col min="2" max="2" width="13.8727272727273" style="1" customWidth="1"/>
    <col min="3" max="3" width="22.5636363636364" style="1" customWidth="1"/>
    <col min="4" max="4" width="20.5818181818182" style="1" customWidth="1"/>
    <col min="5" max="5" width="22.2" style="1" customWidth="1"/>
    <col min="6" max="7" width="11.9090909090909" style="1" customWidth="1"/>
    <col min="8" max="8" width="16.2545454545455" style="1" customWidth="1"/>
    <col min="9" max="10" width="11.9090909090909" style="1" customWidth="1"/>
    <col min="11" max="11" width="14.7545454545455" style="1" customWidth="1"/>
    <col min="12" max="12" width="17.4272727272727" style="1" customWidth="1"/>
    <col min="13" max="14" width="11.9090909090909" style="1" customWidth="1"/>
    <col min="15" max="15" width="12.8" style="1"/>
    <col min="16" max="17" width="12.8181818181818" style="1"/>
    <col min="18" max="18" width="9" style="1"/>
    <col min="19" max="20" width="20.5181818181818" style="6" customWidth="1"/>
    <col min="21" max="21" width="20.5181818181818" style="1" customWidth="1"/>
    <col min="22" max="23" width="12.8181818181818" style="1"/>
    <col min="24" max="16372" width="9" style="1"/>
    <col min="16373" max="16384" width="9" style="7"/>
  </cols>
  <sheetData>
    <row r="1" s="1" customFormat="1" ht="29" customHeight="1" spans="1:16384">
      <c r="A1" s="8" t="str">
        <f>"O2O业务日报"&amp;TEXT(U1,"（m月d日）")</f>
        <v>O2O业务日报（3月25日）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1"/>
      <c r="R1" s="1"/>
      <c r="S1" s="6"/>
      <c r="T1" s="6" t="s">
        <v>0</v>
      </c>
      <c r="U1" s="40" t="str">
        <f>[1]日报透视!B2</f>
        <v>2026-03-25</v>
      </c>
      <c r="V1" s="1">
        <f ca="1">GETPIVOTDATA("求和项:天数",[1]日报透视!$A$5)</f>
        <v>0.999999999999997</v>
      </c>
      <c r="W1" s="7">
        <f ca="1">ROUND(V1,0)</f>
        <v>1</v>
      </c>
      <c r="XET1" s="7"/>
      <c r="XEU1" s="7"/>
      <c r="XEV1" s="7"/>
      <c r="XEW1" s="7"/>
      <c r="XEX1" s="7"/>
      <c r="XEY1" s="7"/>
      <c r="XEZ1" s="7"/>
      <c r="XFA1" s="7"/>
      <c r="XFB1" s="7"/>
      <c r="XFC1" s="7"/>
      <c r="XFD1" s="7"/>
    </row>
    <row r="2" s="2" customFormat="1" ht="16.5" spans="1:2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T2" s="41"/>
      <c r="U2" s="42"/>
    </row>
    <row r="3" s="2" customFormat="1" ht="50.25" spans="1:22">
      <c r="A3" s="11" t="s">
        <v>2</v>
      </c>
      <c r="B3" s="12" t="s">
        <v>3</v>
      </c>
      <c r="C3" s="13" t="s">
        <v>4</v>
      </c>
      <c r="D3" s="12" t="s">
        <v>5</v>
      </c>
      <c r="E3" s="14" t="s">
        <v>6</v>
      </c>
      <c r="F3" s="11" t="s">
        <v>7</v>
      </c>
      <c r="G3" s="12" t="s">
        <v>8</v>
      </c>
      <c r="H3" s="12" t="s">
        <v>9</v>
      </c>
      <c r="I3" s="12" t="s">
        <v>10</v>
      </c>
      <c r="J3" s="12" t="s">
        <v>11</v>
      </c>
      <c r="K3" s="12" t="s">
        <v>12</v>
      </c>
      <c r="L3" s="12" t="s">
        <v>13</v>
      </c>
      <c r="M3" s="12" t="s">
        <v>14</v>
      </c>
      <c r="N3" s="12" t="s">
        <v>15</v>
      </c>
      <c r="O3" s="12" t="s">
        <v>16</v>
      </c>
      <c r="P3" s="14" t="s">
        <v>17</v>
      </c>
      <c r="T3" s="43" t="s">
        <v>18</v>
      </c>
      <c r="U3" s="42" t="s">
        <v>14</v>
      </c>
      <c r="V3" s="2" t="s">
        <v>11</v>
      </c>
    </row>
    <row r="4" s="1" customFormat="1" ht="16.5" spans="1:16384">
      <c r="A4" s="15" t="s">
        <v>19</v>
      </c>
      <c r="B4" s="16" t="s">
        <v>20</v>
      </c>
      <c r="C4" s="17">
        <f>SUMIFS([1]日报透视!E:E,[1]日报透视!A:A,A4,[1]日报透视!B:B,B4)</f>
        <v>1392.51</v>
      </c>
      <c r="D4" s="18">
        <f>SUMIFS([1]日报透视!F:F,[1]日报透视!A:A,A4,[1]日报透视!B:B,B4)</f>
        <v>883.335571428571</v>
      </c>
      <c r="E4" s="19">
        <f>SUMIFS([1]日报透视!G:G,[1]日报透视!A:A,A4,[1]日报透视!B:B,B4)-M4</f>
        <v>397.194428571429</v>
      </c>
      <c r="F4" s="17">
        <f t="shared" ref="F4:F67" si="0">IFERROR(G4/J4,0)</f>
        <v>6.2425</v>
      </c>
      <c r="G4" s="18">
        <f>SUMIFS([1]日报透视!I:I,[1]日报透视!A:A,A4,[1]日报透视!B:B,B4)</f>
        <v>499.4</v>
      </c>
      <c r="H4" s="18">
        <f>SUMIFS([1]日报透视!J:J,[1]日报透视!A:A,A4,[1]日报透视!B:B,B4)</f>
        <v>78.51</v>
      </c>
      <c r="I4" s="18">
        <f>SUMIFS([1]日报透视!K:K,[1]日报透视!A:A,A4,[1]日报透视!B:B,B4)</f>
        <v>411.953</v>
      </c>
      <c r="J4" s="18">
        <f>SUMIFS([1]日报透视!L:L,[1]日报透视!A:A,A4,[1]日报透视!B:B,B4)</f>
        <v>80</v>
      </c>
      <c r="K4" s="27">
        <f t="shared" ref="K4:K67" si="1">IFERROR(I4/J4,0)</f>
        <v>5.1494125</v>
      </c>
      <c r="L4" s="27">
        <f ca="1" t="shared" ref="L4:L67" si="2">T4</f>
        <v>273.055255967078</v>
      </c>
      <c r="M4" s="28">
        <f>SUMIFS([1]日报透视!N:N,[1]日报透视!A:A,A4,[1]日报透视!B:B,B4)</f>
        <v>111.98</v>
      </c>
      <c r="N4" s="29">
        <f ca="1" t="shared" ref="N4:N67" si="3">E4-L4</f>
        <v>124.139172604351</v>
      </c>
      <c r="O4" s="30" t="str">
        <f>VLOOKUP(B4,[1]门店ID对应关系!J:K,2,0)</f>
        <v>自营</v>
      </c>
      <c r="P4" s="31">
        <f ca="1">SUM($N$4:$N$42)</f>
        <v>1482.8136385257</v>
      </c>
      <c r="Q4" s="1" t="str">
        <f t="shared" ref="Q4:Q67" si="4">B4</f>
        <v>余杭店</v>
      </c>
      <c r="R4" s="1" t="str">
        <f>VLOOKUP(Q4,$B$4:$B$42,1,0)</f>
        <v>余杭店</v>
      </c>
      <c r="S4" s="6"/>
      <c r="T4" s="44">
        <f ca="1">VLOOKUP(B4,[1]房租水电人工成本!A:N,14,0)*V4*$W$1</f>
        <v>273.055255967078</v>
      </c>
      <c r="U4" s="45">
        <f>SUMIFS([1]饿了么推广费!W:W,[1]饿了么推广费!V:V,$U$1,[1]饿了么推广费!U:U,B4)</f>
        <v>111.98</v>
      </c>
      <c r="V4" s="1">
        <f>IFERROR(J4/SUMIF(B:B,B4,J:J),0.25)</f>
        <v>0.592592592592593</v>
      </c>
      <c r="W4" s="1">
        <f t="shared" ref="W4:W67" si="5">IFERROR(U4*V4,0.25)</f>
        <v>66.3585185185185</v>
      </c>
      <c r="XET4" s="7"/>
      <c r="XEU4" s="7"/>
      <c r="XEV4" s="7"/>
      <c r="XEW4" s="7"/>
      <c r="XEX4" s="7"/>
      <c r="XEY4" s="7"/>
      <c r="XEZ4" s="7"/>
      <c r="XFA4" s="7"/>
      <c r="XFB4" s="7"/>
      <c r="XFC4" s="7"/>
      <c r="XFD4" s="7"/>
    </row>
    <row r="5" s="3" customFormat="1" ht="16.5" spans="1:23">
      <c r="A5" s="20" t="s">
        <v>19</v>
      </c>
      <c r="B5" s="21" t="s">
        <v>21</v>
      </c>
      <c r="C5" s="22">
        <f>SUMIFS([1]日报透视!E:E,[1]日报透视!A:A,A5,[1]日报透视!B:B,B5)</f>
        <v>1099.99</v>
      </c>
      <c r="D5" s="19">
        <f>SUMIFS([1]日报透视!F:F,[1]日报透视!A:A,A5,[1]日报透视!B:B,B5)</f>
        <v>638.932666666667</v>
      </c>
      <c r="E5" s="19">
        <f>SUMIFS([1]日报透视!G:G,[1]日报透视!A:A,A5,[1]日报透视!B:B,B5)-M5</f>
        <v>381.977333333333</v>
      </c>
      <c r="F5" s="22">
        <f t="shared" si="0"/>
        <v>4.81470588235294</v>
      </c>
      <c r="G5" s="19">
        <f>SUMIFS([1]日报透视!I:I,[1]日报透视!A:A,A5,[1]日报透视!B:B,B5)</f>
        <v>327.4</v>
      </c>
      <c r="H5" s="19">
        <f>SUMIFS([1]日报透视!J:J,[1]日报透视!A:A,A5,[1]日报透视!B:B,B5)</f>
        <v>59.72</v>
      </c>
      <c r="I5" s="19">
        <f>SUMIFS([1]日报透视!K:K,[1]日报透视!A:A,A5,[1]日报透视!B:B,B5)</f>
        <v>237.639</v>
      </c>
      <c r="J5" s="19">
        <f>SUMIFS([1]日报透视!L:L,[1]日报透视!A:A,A5,[1]日报透视!B:B,B5)</f>
        <v>68</v>
      </c>
      <c r="K5" s="32">
        <f t="shared" si="1"/>
        <v>3.49469117647059</v>
      </c>
      <c r="L5" s="32">
        <f ca="1" t="shared" si="2"/>
        <v>249.887679339339</v>
      </c>
      <c r="M5" s="28">
        <f>SUMIFS([1]日报透视!N:N,[1]日报透视!A:A,A5,[1]日报透视!B:B,B5)</f>
        <v>79.0800000000002</v>
      </c>
      <c r="N5" s="29">
        <f ca="1" t="shared" si="3"/>
        <v>132.089653993994</v>
      </c>
      <c r="O5" s="33" t="str">
        <f>VLOOKUP(B5,[1]门店ID对应关系!J:K,2,0)</f>
        <v>自营</v>
      </c>
      <c r="P5" s="34"/>
      <c r="Q5" s="1" t="str">
        <f t="shared" si="4"/>
        <v>首南店</v>
      </c>
      <c r="R5" s="1" t="str">
        <f>VLOOKUP(Q5,$B$4:$B$42,1,0)</f>
        <v>首南店</v>
      </c>
      <c r="S5" s="6"/>
      <c r="T5" s="44">
        <f ca="1">VLOOKUP(B5,[1]房租水电人工成本!A:N,14,0)*V5*$W$1</f>
        <v>249.887679339339</v>
      </c>
      <c r="U5" s="45">
        <f>SUMIFS([1]饿了么推广费!W:W,[1]饿了么推广费!V:V,$U$1,[1]饿了么推广费!U:U,B5)</f>
        <v>79.08</v>
      </c>
      <c r="V5" s="1">
        <f>IFERROR(J5/SUMIF(B:B,B5,J:J),0.25)</f>
        <v>0.459459459459459</v>
      </c>
      <c r="W5" s="1">
        <f t="shared" si="5"/>
        <v>36.3340540540541</v>
      </c>
    </row>
    <row r="6" s="1" customFormat="1" ht="16.5" spans="1:16384">
      <c r="A6" s="20" t="s">
        <v>19</v>
      </c>
      <c r="B6" s="21" t="s">
        <v>22</v>
      </c>
      <c r="C6" s="22">
        <f>SUMIFS([1]日报透视!E:E,[1]日报透视!A:A,A6,[1]日报透视!B:B,B6)</f>
        <v>703.88</v>
      </c>
      <c r="D6" s="19">
        <f>SUMIFS([1]日报透视!F:F,[1]日报透视!A:A,A6,[1]日报透视!B:B,B6)</f>
        <v>350.116666666667</v>
      </c>
      <c r="E6" s="19">
        <f>SUMIFS([1]日报透视!G:G,[1]日报透视!A:A,A6,[1]日报透视!B:B,B6)-M6</f>
        <v>300.113333333333</v>
      </c>
      <c r="F6" s="22">
        <f t="shared" si="0"/>
        <v>3.76181818181818</v>
      </c>
      <c r="G6" s="19">
        <f>SUMIFS([1]日报透视!I:I,[1]日报透视!A:A,A6,[1]日报透视!B:B,B6)</f>
        <v>206.9</v>
      </c>
      <c r="H6" s="19">
        <f>SUMIFS([1]日报透视!J:J,[1]日报透视!A:A,A6,[1]日报透视!B:B,B6)</f>
        <v>36.97</v>
      </c>
      <c r="I6" s="19">
        <f>SUMIFS([1]日报透视!K:K,[1]日报透视!A:A,A6,[1]日报透视!B:B,B6)</f>
        <v>232.726</v>
      </c>
      <c r="J6" s="19">
        <f>SUMIFS([1]日报透视!L:L,[1]日报透视!A:A,A6,[1]日报透视!B:B,B6)</f>
        <v>55</v>
      </c>
      <c r="K6" s="32">
        <f t="shared" si="1"/>
        <v>4.23138181818182</v>
      </c>
      <c r="L6" s="32">
        <f ca="1" t="shared" si="2"/>
        <v>289.717272727273</v>
      </c>
      <c r="M6" s="28">
        <f>SUMIFS([1]日报透视!N:N,[1]日报透视!A:A,A6,[1]日报透视!B:B,B6)</f>
        <v>53.6500000000001</v>
      </c>
      <c r="N6" s="29">
        <f ca="1" t="shared" si="3"/>
        <v>10.3960606060601</v>
      </c>
      <c r="O6" s="33" t="str">
        <f>VLOOKUP(B6,[1]门店ID对应关系!J:K,2,0)</f>
        <v>自营</v>
      </c>
      <c r="P6" s="34"/>
      <c r="Q6" s="1" t="str">
        <f t="shared" si="4"/>
        <v>首山店</v>
      </c>
      <c r="R6" s="1" t="str">
        <f>VLOOKUP(Q6,$B$4:$B$42,1,0)</f>
        <v>首山店</v>
      </c>
      <c r="S6" s="6"/>
      <c r="T6" s="44">
        <f ca="1">VLOOKUP(B6,[1]房租水电人工成本!A:N,14,0)*V6*$W$1</f>
        <v>289.717272727273</v>
      </c>
      <c r="U6" s="45">
        <f>SUMIFS([1]饿了么推广费!W:W,[1]饿了么推广费!V:V,$U$1,[1]饿了么推广费!U:U,B6)</f>
        <v>53.65</v>
      </c>
      <c r="V6" s="1">
        <f>IFERROR(J6/SUMIF(B:B,B6,J:J),0.25)</f>
        <v>0.454545454545455</v>
      </c>
      <c r="W6" s="1">
        <f t="shared" si="5"/>
        <v>24.3863636363636</v>
      </c>
      <c r="XET6" s="7"/>
      <c r="XEU6" s="7"/>
      <c r="XEV6" s="7"/>
      <c r="XEW6" s="7"/>
      <c r="XEX6" s="7"/>
      <c r="XEY6" s="7"/>
      <c r="XEZ6" s="7"/>
      <c r="XFA6" s="7"/>
      <c r="XFB6" s="7"/>
      <c r="XFC6" s="7"/>
      <c r="XFD6" s="7"/>
    </row>
    <row r="7" s="1" customFormat="1" ht="16.5" spans="1:16384">
      <c r="A7" s="20" t="s">
        <v>19</v>
      </c>
      <c r="B7" s="21" t="s">
        <v>23</v>
      </c>
      <c r="C7" s="22">
        <f>SUMIFS([1]日报透视!E:E,[1]日报透视!A:A,A7,[1]日报透视!B:B,B7)</f>
        <v>312.82</v>
      </c>
      <c r="D7" s="19">
        <f>SUMIFS([1]日报透视!F:F,[1]日报透视!A:A,A7,[1]日报透视!B:B,B7)</f>
        <v>152.249</v>
      </c>
      <c r="E7" s="19">
        <f>SUMIFS([1]日报透视!G:G,[1]日报透视!A:A,A7,[1]日报透视!B:B,B7)-M7</f>
        <v>136.931</v>
      </c>
      <c r="F7" s="22">
        <f t="shared" si="0"/>
        <v>3.20555555555556</v>
      </c>
      <c r="G7" s="19">
        <f>SUMIFS([1]日报透视!I:I,[1]日报透视!A:A,A7,[1]日报透视!B:B,B7)</f>
        <v>57.7</v>
      </c>
      <c r="H7" s="19">
        <f>SUMIFS([1]日报透视!J:J,[1]日报透视!A:A,A7,[1]日报透视!B:B,B7)</f>
        <v>14.86</v>
      </c>
      <c r="I7" s="19">
        <f>SUMIFS([1]日报透视!K:K,[1]日报透视!A:A,A7,[1]日报透视!B:B,B7)</f>
        <v>52.713</v>
      </c>
      <c r="J7" s="19">
        <f>SUMIFS([1]日报透视!L:L,[1]日报透视!A:A,A7,[1]日报透视!B:B,B7)</f>
        <v>18</v>
      </c>
      <c r="K7" s="32">
        <f t="shared" si="1"/>
        <v>2.9285</v>
      </c>
      <c r="L7" s="32">
        <f ca="1" t="shared" si="2"/>
        <v>130.911111111111</v>
      </c>
      <c r="M7" s="28">
        <f>SUMIFS([1]日报透视!N:N,[1]日报透视!A:A,A7,[1]日报透视!B:B,B7)</f>
        <v>23.64</v>
      </c>
      <c r="N7" s="29">
        <f ca="1" t="shared" si="3"/>
        <v>6.01988888888877</v>
      </c>
      <c r="O7" s="33" t="str">
        <f>VLOOKUP(B7,[1]门店ID对应关系!J:K,2,0)</f>
        <v>自营</v>
      </c>
      <c r="P7" s="34"/>
      <c r="Q7" s="1" t="str">
        <f t="shared" si="4"/>
        <v>泉秀店</v>
      </c>
      <c r="R7" s="1" t="str">
        <f>VLOOKUP(Q7,$B$4:$B$42,1,0)</f>
        <v>泉秀店</v>
      </c>
      <c r="S7" s="6"/>
      <c r="T7" s="44">
        <f ca="1">VLOOKUP(B7,[1]房租水电人工成本!A:N,14,0)*V7*$W$1</f>
        <v>130.911111111111</v>
      </c>
      <c r="U7" s="45">
        <f>SUMIFS([1]饿了么推广费!W:W,[1]饿了么推广费!V:V,$U$1,[1]饿了么推广费!U:U,B7)</f>
        <v>23.64</v>
      </c>
      <c r="V7" s="1">
        <f>IFERROR(J7/SUMIF(B:B,B7,J:J),0.25)</f>
        <v>0.4</v>
      </c>
      <c r="W7" s="1">
        <f t="shared" si="5"/>
        <v>9.456</v>
      </c>
      <c r="XET7" s="7"/>
      <c r="XEU7" s="7"/>
      <c r="XEV7" s="7"/>
      <c r="XEW7" s="7"/>
      <c r="XEX7" s="7"/>
      <c r="XEY7" s="7"/>
      <c r="XEZ7" s="7"/>
      <c r="XFA7" s="7"/>
      <c r="XFB7" s="7"/>
      <c r="XFC7" s="7"/>
      <c r="XFD7" s="7"/>
    </row>
    <row r="8" s="1" customFormat="1" ht="16.5" spans="1:16384">
      <c r="A8" s="20" t="s">
        <v>19</v>
      </c>
      <c r="B8" s="21" t="s">
        <v>24</v>
      </c>
      <c r="C8" s="22">
        <f>SUMIFS([1]日报透视!E:E,[1]日报透视!A:A,A8,[1]日报透视!B:B,B8)</f>
        <v>849.81</v>
      </c>
      <c r="D8" s="19">
        <f>SUMIFS([1]日报透视!F:F,[1]日报透视!A:A,A8,[1]日报透视!B:B,B8)</f>
        <v>490.165666666667</v>
      </c>
      <c r="E8" s="19">
        <f>SUMIFS([1]日报透视!G:G,[1]日报透视!A:A,A8,[1]日报透视!B:B,B8)-M8</f>
        <v>294.714333333333</v>
      </c>
      <c r="F8" s="22">
        <f t="shared" si="0"/>
        <v>5.33589743589744</v>
      </c>
      <c r="G8" s="19">
        <f>SUMIFS([1]日报透视!I:I,[1]日报透视!A:A,A8,[1]日报透视!B:B,B8)</f>
        <v>208.1</v>
      </c>
      <c r="H8" s="19">
        <f>SUMIFS([1]日报透视!J:J,[1]日报透视!A:A,A8,[1]日报透视!B:B,B8)</f>
        <v>43.09</v>
      </c>
      <c r="I8" s="19">
        <f>SUMIFS([1]日报透视!K:K,[1]日报透视!A:A,A8,[1]日报透视!B:B,B8)</f>
        <v>181.11</v>
      </c>
      <c r="J8" s="19">
        <f>SUMIFS([1]日报透视!L:L,[1]日报透视!A:A,A8,[1]日报透视!B:B,B8)</f>
        <v>39</v>
      </c>
      <c r="K8" s="32">
        <f t="shared" si="1"/>
        <v>4.64384615384615</v>
      </c>
      <c r="L8" s="32">
        <f ca="1" t="shared" si="2"/>
        <v>166.292831568627</v>
      </c>
      <c r="M8" s="28">
        <f>SUMIFS([1]日报透视!N:N,[1]日报透视!A:A,A8,[1]日报透视!B:B,B8)</f>
        <v>64.9300000000001</v>
      </c>
      <c r="N8" s="29">
        <f ca="1" t="shared" si="3"/>
        <v>128.421501764706</v>
      </c>
      <c r="O8" s="33" t="str">
        <f>VLOOKUP(B8,[1]门店ID对应关系!J:K,2,0)</f>
        <v>自营</v>
      </c>
      <c r="P8" s="34"/>
      <c r="Q8" s="1" t="str">
        <f t="shared" si="4"/>
        <v>诚毅店</v>
      </c>
      <c r="R8" s="1" t="str">
        <f>VLOOKUP(Q8,$B$4:$B$42,1,0)</f>
        <v>诚毅店</v>
      </c>
      <c r="S8" s="6"/>
      <c r="T8" s="44">
        <f ca="1">VLOOKUP(B8,[1]房租水电人工成本!A:N,14,0)*V8*$W$1</f>
        <v>166.292831568627</v>
      </c>
      <c r="U8" s="45">
        <f>SUMIFS([1]饿了么推广费!W:W,[1]饿了么推广费!V:V,$U$1,[1]饿了么推广费!U:U,B8)</f>
        <v>64.93</v>
      </c>
      <c r="V8" s="1">
        <f>IFERROR(J8/SUMIF(B:B,B8,J:J),0.25)</f>
        <v>0.382352941176471</v>
      </c>
      <c r="W8" s="1">
        <f t="shared" si="5"/>
        <v>24.8261764705882</v>
      </c>
      <c r="XET8" s="7"/>
      <c r="XEU8" s="7"/>
      <c r="XEV8" s="7"/>
      <c r="XEW8" s="7"/>
      <c r="XEX8" s="7"/>
      <c r="XEY8" s="7"/>
      <c r="XEZ8" s="7"/>
      <c r="XFA8" s="7"/>
      <c r="XFB8" s="7"/>
      <c r="XFC8" s="7"/>
      <c r="XFD8" s="7"/>
    </row>
    <row r="9" s="1" customFormat="1" ht="16.5" spans="1:16384">
      <c r="A9" s="20" t="s">
        <v>19</v>
      </c>
      <c r="B9" s="21" t="s">
        <v>25</v>
      </c>
      <c r="C9" s="22">
        <f>SUMIFS([1]日报透视!E:E,[1]日报透视!A:A,A9,[1]日报透视!B:B,B9)</f>
        <v>521.59</v>
      </c>
      <c r="D9" s="19">
        <f>SUMIFS([1]日报透视!F:F,[1]日报透视!A:A,A9,[1]日报透视!B:B,B9)</f>
        <v>295.4756</v>
      </c>
      <c r="E9" s="19">
        <f>SUMIFS([1]日报透视!G:G,[1]日报透视!A:A,A9,[1]日报透视!B:B,B9)-M9</f>
        <v>181.0744</v>
      </c>
      <c r="F9" s="22">
        <f t="shared" si="0"/>
        <v>4.48055555555556</v>
      </c>
      <c r="G9" s="19">
        <f>SUMIFS([1]日报透视!I:I,[1]日报透视!A:A,A9,[1]日报透视!B:B,B9)</f>
        <v>161.3</v>
      </c>
      <c r="H9" s="19">
        <f>SUMIFS([1]日报透视!J:J,[1]日报透视!A:A,A9,[1]日报透视!B:B,B9)</f>
        <v>27.34</v>
      </c>
      <c r="I9" s="19">
        <f>SUMIFS([1]日报透视!K:K,[1]日报透视!A:A,A9,[1]日报透视!B:B,B9)</f>
        <v>148.482</v>
      </c>
      <c r="J9" s="19">
        <f>SUMIFS([1]日报透视!L:L,[1]日报透视!A:A,A9,[1]日报透视!B:B,B9)</f>
        <v>36</v>
      </c>
      <c r="K9" s="32">
        <f t="shared" si="1"/>
        <v>4.1245</v>
      </c>
      <c r="L9" s="32">
        <f ca="1" t="shared" si="2"/>
        <v>209.116039215686</v>
      </c>
      <c r="M9" s="28">
        <f>SUMIFS([1]日报透视!N:N,[1]日报透视!A:A,A9,[1]日报透视!B:B,B9)</f>
        <v>45.04</v>
      </c>
      <c r="N9" s="29">
        <f ca="1" t="shared" si="3"/>
        <v>-28.0416392156864</v>
      </c>
      <c r="O9" s="33" t="str">
        <f>VLOOKUP(B9,[1]门店ID对应关系!J:K,2,0)</f>
        <v>自营</v>
      </c>
      <c r="P9" s="34"/>
      <c r="Q9" s="1" t="str">
        <f t="shared" si="4"/>
        <v>武侯店</v>
      </c>
      <c r="R9" s="1" t="str">
        <f>VLOOKUP(Q9,$B$4:$B$42,1,0)</f>
        <v>武侯店</v>
      </c>
      <c r="S9" s="6"/>
      <c r="T9" s="44">
        <f ca="1">VLOOKUP(B9,[1]房租水电人工成本!A:N,14,0)*V9*$W$1</f>
        <v>209.116039215686</v>
      </c>
      <c r="U9" s="45">
        <f>SUMIFS([1]饿了么推广费!W:W,[1]饿了么推广费!V:V,$U$1,[1]饿了么推广费!U:U,B9)</f>
        <v>45.04</v>
      </c>
      <c r="V9" s="1">
        <f>IFERROR(J9/SUMIF(B:B,B9,J:J),0.25)</f>
        <v>0.423529411764706</v>
      </c>
      <c r="W9" s="1">
        <f t="shared" si="5"/>
        <v>19.0757647058824</v>
      </c>
      <c r="XET9" s="7"/>
      <c r="XEU9" s="7"/>
      <c r="XEV9" s="7"/>
      <c r="XEW9" s="7"/>
      <c r="XEX9" s="7"/>
      <c r="XEY9" s="7"/>
      <c r="XEZ9" s="7"/>
      <c r="XFA9" s="7"/>
      <c r="XFB9" s="7"/>
      <c r="XFC9" s="7"/>
      <c r="XFD9" s="7"/>
    </row>
    <row r="10" s="1" customFormat="1" ht="16.5" spans="1:16384">
      <c r="A10" s="20" t="s">
        <v>19</v>
      </c>
      <c r="B10" s="21" t="s">
        <v>26</v>
      </c>
      <c r="C10" s="22">
        <f>SUMIFS([1]日报透视!E:E,[1]日报透视!A:A,A10,[1]日报透视!B:B,B10)</f>
        <v>1606.07</v>
      </c>
      <c r="D10" s="19">
        <f>SUMIFS([1]日报透视!F:F,[1]日报透视!A:A,A10,[1]日报透视!B:B,B10)</f>
        <v>1015.179</v>
      </c>
      <c r="E10" s="19">
        <f>SUMIFS([1]日报透视!G:G,[1]日报透视!A:A,A10,[1]日报透视!B:B,B10)-M10</f>
        <v>464.111</v>
      </c>
      <c r="F10" s="22">
        <f t="shared" si="0"/>
        <v>5.45064935064935</v>
      </c>
      <c r="G10" s="19">
        <f>SUMIFS([1]日报透视!I:I,[1]日报透视!A:A,A10,[1]日报透视!B:B,B10)</f>
        <v>419.7</v>
      </c>
      <c r="H10" s="19">
        <f>SUMIFS([1]日报透视!J:J,[1]日报透视!A:A,A10,[1]日报透视!B:B,B10)</f>
        <v>81.18</v>
      </c>
      <c r="I10" s="19">
        <f>SUMIFS([1]日报透视!K:K,[1]日报透视!A:A,A10,[1]日报透视!B:B,B10)</f>
        <v>299.586</v>
      </c>
      <c r="J10" s="19">
        <f>SUMIFS([1]日报透视!L:L,[1]日报透视!A:A,A10,[1]日报透视!B:B,B10)</f>
        <v>77</v>
      </c>
      <c r="K10" s="32">
        <f t="shared" si="1"/>
        <v>3.89072727272727</v>
      </c>
      <c r="L10" s="32">
        <f ca="1" t="shared" si="2"/>
        <v>316.747877205128</v>
      </c>
      <c r="M10" s="28">
        <f>SUMIFS([1]日报透视!N:N,[1]日报透视!A:A,A10,[1]日报透视!B:B,B10)</f>
        <v>126.78</v>
      </c>
      <c r="N10" s="29">
        <f ca="1" t="shared" si="3"/>
        <v>147.363122794872</v>
      </c>
      <c r="O10" s="33" t="str">
        <f>VLOOKUP(B10,[1]门店ID对应关系!J:K,2,0)</f>
        <v>自营</v>
      </c>
      <c r="P10" s="34"/>
      <c r="Q10" s="1" t="str">
        <f t="shared" si="4"/>
        <v>湖里店</v>
      </c>
      <c r="R10" s="1" t="str">
        <f>VLOOKUP(Q10,$B$4:$B$42,1,0)</f>
        <v>湖里店</v>
      </c>
      <c r="S10" s="6"/>
      <c r="T10" s="44">
        <f ca="1">VLOOKUP(B10,[1]房租水电人工成本!A:N,14,0)*V10*$W$1</f>
        <v>316.747877205128</v>
      </c>
      <c r="U10" s="45">
        <f>SUMIFS([1]饿了么推广费!W:W,[1]饿了么推广费!V:V,$U$1,[1]饿了么推广费!U:U,B10)</f>
        <v>126.78</v>
      </c>
      <c r="V10" s="1">
        <f>IFERROR(J10/SUMIF(B:B,B10,J:J),0.25)</f>
        <v>0.592307692307692</v>
      </c>
      <c r="W10" s="1">
        <f t="shared" si="5"/>
        <v>75.0927692307692</v>
      </c>
      <c r="XET10" s="7"/>
      <c r="XEU10" s="7"/>
      <c r="XEV10" s="7"/>
      <c r="XEW10" s="7"/>
      <c r="XEX10" s="7"/>
      <c r="XEY10" s="7"/>
      <c r="XEZ10" s="7"/>
      <c r="XFA10" s="7"/>
      <c r="XFB10" s="7"/>
      <c r="XFC10" s="7"/>
      <c r="XFD10" s="7"/>
    </row>
    <row r="11" s="1" customFormat="1" ht="16.5" spans="1:16384">
      <c r="A11" s="20" t="s">
        <v>19</v>
      </c>
      <c r="B11" s="21" t="s">
        <v>27</v>
      </c>
      <c r="C11" s="22">
        <f>SUMIFS([1]日报透视!E:E,[1]日报透视!A:A,A11,[1]日报透视!B:B,B11)</f>
        <v>2272.45</v>
      </c>
      <c r="D11" s="19">
        <f>SUMIFS([1]日报透视!F:F,[1]日报透视!A:A,A11,[1]日报透视!B:B,B11)</f>
        <v>1542.84225</v>
      </c>
      <c r="E11" s="19">
        <f>SUMIFS([1]日报透视!G:G,[1]日报透视!A:A,A11,[1]日报透视!B:B,B11)-M11</f>
        <v>579.02775</v>
      </c>
      <c r="F11" s="22">
        <f t="shared" si="0"/>
        <v>4.81515151515152</v>
      </c>
      <c r="G11" s="19">
        <f>SUMIFS([1]日报透视!I:I,[1]日报透视!A:A,A11,[1]日报透视!B:B,B11)</f>
        <v>317.8</v>
      </c>
      <c r="H11" s="19">
        <f>SUMIFS([1]日报透视!J:J,[1]日报透视!A:A,A11,[1]日报透视!B:B,B11)</f>
        <v>113.79</v>
      </c>
      <c r="I11" s="19">
        <f>SUMIFS([1]日报透视!K:K,[1]日报透视!A:A,A11,[1]日报透视!B:B,B11)</f>
        <v>282.811</v>
      </c>
      <c r="J11" s="19">
        <f>SUMIFS([1]日报透视!L:L,[1]日报透视!A:A,A11,[1]日报透视!B:B,B11)</f>
        <v>66</v>
      </c>
      <c r="K11" s="32">
        <f t="shared" si="1"/>
        <v>4.28501515151515</v>
      </c>
      <c r="L11" s="32">
        <f ca="1" t="shared" si="2"/>
        <v>216.810099814815</v>
      </c>
      <c r="M11" s="28">
        <f>SUMIFS([1]日报透视!N:N,[1]日报透视!A:A,A11,[1]日报透视!B:B,B11)</f>
        <v>150.58</v>
      </c>
      <c r="N11" s="29">
        <f ca="1" t="shared" si="3"/>
        <v>362.217650185185</v>
      </c>
      <c r="O11" s="33" t="str">
        <f>VLOOKUP(B11,[1]门店ID对应关系!J:K,2,0)</f>
        <v>自营</v>
      </c>
      <c r="P11" s="34"/>
      <c r="Q11" s="1" t="str">
        <f t="shared" si="4"/>
        <v>鼓楼店</v>
      </c>
      <c r="R11" s="1" t="str">
        <f>VLOOKUP(Q11,$B$4:$B$42,1,0)</f>
        <v>鼓楼店</v>
      </c>
      <c r="S11" s="6"/>
      <c r="T11" s="44">
        <f ca="1">VLOOKUP(B11,[1]房租水电人工成本!A:N,14,0)*V11*$W$1</f>
        <v>216.810099814815</v>
      </c>
      <c r="U11" s="45">
        <f>SUMIFS([1]饿了么推广费!W:W,[1]饿了么推广费!V:V,$U$1,[1]饿了么推广费!U:U,B11)</f>
        <v>150.58</v>
      </c>
      <c r="V11" s="1">
        <f>IFERROR(J11/SUMIF(B:B,B11,J:J),0.25)</f>
        <v>0.458333333333333</v>
      </c>
      <c r="W11" s="1">
        <f t="shared" si="5"/>
        <v>69.0158333333333</v>
      </c>
      <c r="XET11" s="7"/>
      <c r="XEU11" s="7"/>
      <c r="XEV11" s="7"/>
      <c r="XEW11" s="7"/>
      <c r="XEX11" s="7"/>
      <c r="XEY11" s="7"/>
      <c r="XEZ11" s="7"/>
      <c r="XFA11" s="7"/>
      <c r="XFB11" s="7"/>
      <c r="XFC11" s="7"/>
      <c r="XFD11" s="7"/>
    </row>
    <row r="12" s="1" customFormat="1" ht="16.5" spans="1:16384">
      <c r="A12" s="20" t="s">
        <v>19</v>
      </c>
      <c r="B12" s="21" t="s">
        <v>28</v>
      </c>
      <c r="C12" s="22">
        <f>SUMIFS([1]日报透视!E:E,[1]日报透视!A:A,A12,[1]日报透视!B:B,B12)</f>
        <v>1025.05</v>
      </c>
      <c r="D12" s="19">
        <f>SUMIFS([1]日报透视!F:F,[1]日报透视!A:A,A12,[1]日报透视!B:B,B12)</f>
        <v>559.355166666667</v>
      </c>
      <c r="E12" s="19">
        <f>SUMIFS([1]日报透视!G:G,[1]日报透视!A:A,A12,[1]日报透视!B:B,B12)-M12</f>
        <v>372.704833333334</v>
      </c>
      <c r="F12" s="22">
        <f t="shared" si="0"/>
        <v>4.46131147540984</v>
      </c>
      <c r="G12" s="19">
        <f>SUMIFS([1]日报透视!I:I,[1]日报透视!A:A,A12,[1]日报透视!B:B,B12)</f>
        <v>272.14</v>
      </c>
      <c r="H12" s="19">
        <f>SUMIFS([1]日报透视!J:J,[1]日报透视!A:A,A12,[1]日报透视!B:B,B12)</f>
        <v>52.24</v>
      </c>
      <c r="I12" s="19">
        <f>SUMIFS([1]日报透视!K:K,[1]日报透视!A:A,A12,[1]日报透视!B:B,B12)</f>
        <v>242.253</v>
      </c>
      <c r="J12" s="19">
        <f>SUMIFS([1]日报透视!L:L,[1]日报透视!A:A,A12,[1]日报透视!B:B,B12)</f>
        <v>61</v>
      </c>
      <c r="K12" s="32">
        <f t="shared" si="1"/>
        <v>3.9713606557377</v>
      </c>
      <c r="L12" s="32">
        <f ca="1" t="shared" si="2"/>
        <v>203.519847583559</v>
      </c>
      <c r="M12" s="28">
        <f>SUMIFS([1]日报透视!N:N,[1]日报透视!A:A,A12,[1]日报透视!B:B,B12)</f>
        <v>77.1499999999999</v>
      </c>
      <c r="N12" s="29">
        <f ca="1" t="shared" si="3"/>
        <v>169.184985749775</v>
      </c>
      <c r="O12" s="33" t="str">
        <f>VLOOKUP(B12,[1]门店ID对应关系!J:K,2,0)</f>
        <v>自营</v>
      </c>
      <c r="P12" s="34"/>
      <c r="Q12" s="1" t="str">
        <f t="shared" si="4"/>
        <v>百捷店</v>
      </c>
      <c r="R12" s="1" t="str">
        <f>VLOOKUP(Q12,$B$4:$B$42,1,0)</f>
        <v>百捷店</v>
      </c>
      <c r="S12" s="6"/>
      <c r="T12" s="44">
        <f ca="1">VLOOKUP(B12,[1]房租水电人工成本!A:N,14,0)*V12*$W$1</f>
        <v>203.519847583559</v>
      </c>
      <c r="U12" s="45">
        <f>SUMIFS([1]饿了么推广费!W:W,[1]饿了么推广费!V:V,$U$1,[1]饿了么推广费!U:U,B12)</f>
        <v>77.15</v>
      </c>
      <c r="V12" s="1">
        <f>IFERROR(J12/SUMIF(B:B,B12,J:J),0.25)</f>
        <v>0.495934959349593</v>
      </c>
      <c r="W12" s="1">
        <f t="shared" si="5"/>
        <v>38.2613821138211</v>
      </c>
      <c r="XET12" s="7"/>
      <c r="XEU12" s="7"/>
      <c r="XEV12" s="7"/>
      <c r="XEW12" s="7"/>
      <c r="XEX12" s="7"/>
      <c r="XEY12" s="7"/>
      <c r="XEZ12" s="7"/>
      <c r="XFA12" s="7"/>
      <c r="XFB12" s="7"/>
      <c r="XFC12" s="7"/>
      <c r="XFD12" s="7"/>
    </row>
    <row r="13" s="1" customFormat="1" ht="16.5" spans="1:16384">
      <c r="A13" s="20" t="s">
        <v>19</v>
      </c>
      <c r="B13" s="21" t="s">
        <v>29</v>
      </c>
      <c r="C13" s="22">
        <f>SUMIFS([1]日报透视!E:E,[1]日报透视!A:A,A13,[1]日报透视!B:B,B13)</f>
        <v>1568.33</v>
      </c>
      <c r="D13" s="19">
        <f>SUMIFS([1]日报透视!F:F,[1]日报透视!A:A,A13,[1]日报透视!B:B,B13)</f>
        <v>1004.6224047619</v>
      </c>
      <c r="E13" s="19">
        <f>SUMIFS([1]日报透视!G:G,[1]日报透视!A:A,A13,[1]日报透视!B:B,B13)-M13</f>
        <v>423.287595238095</v>
      </c>
      <c r="F13" s="22">
        <f t="shared" si="0"/>
        <v>5.11764705882353</v>
      </c>
      <c r="G13" s="19">
        <f>SUMIFS([1]日报透视!I:I,[1]日报透视!A:A,A13,[1]日报透视!B:B,B13)</f>
        <v>348</v>
      </c>
      <c r="H13" s="19">
        <f>SUMIFS([1]日报透视!J:J,[1]日报透视!A:A,A13,[1]日报透视!B:B,B13)</f>
        <v>91.32</v>
      </c>
      <c r="I13" s="19">
        <f>SUMIFS([1]日报透视!K:K,[1]日报透视!A:A,A13,[1]日报透视!B:B,B13)</f>
        <v>249.36</v>
      </c>
      <c r="J13" s="19">
        <f>SUMIFS([1]日报透视!L:L,[1]日报透视!A:A,A13,[1]日报透视!B:B,B13)</f>
        <v>68</v>
      </c>
      <c r="K13" s="32">
        <f t="shared" si="1"/>
        <v>3.66705882352941</v>
      </c>
      <c r="L13" s="32">
        <f ca="1" t="shared" si="2"/>
        <v>345.757254009915</v>
      </c>
      <c r="M13" s="28">
        <f>SUMIFS([1]日报透视!N:N,[1]日报透视!A:A,A13,[1]日报透视!B:B,B13)</f>
        <v>118.82</v>
      </c>
      <c r="N13" s="29">
        <f ca="1" t="shared" si="3"/>
        <v>77.5303412281798</v>
      </c>
      <c r="O13" s="33" t="str">
        <f>VLOOKUP(B13,[1]门店ID对应关系!J:K,2,0)</f>
        <v>自营</v>
      </c>
      <c r="P13" s="34"/>
      <c r="Q13" s="1" t="str">
        <f t="shared" si="4"/>
        <v>济南店</v>
      </c>
      <c r="R13" s="1" t="str">
        <f>VLOOKUP(Q13,$B$4:$B$42,1,0)</f>
        <v>济南店</v>
      </c>
      <c r="S13" s="6"/>
      <c r="T13" s="44">
        <f ca="1">VLOOKUP(B13,[1]房租水电人工成本!A:N,14,0)*V13*$W$1</f>
        <v>345.757254009915</v>
      </c>
      <c r="U13" s="45">
        <f>SUMIFS([1]饿了么推广费!W:W,[1]饿了么推广费!V:V,$U$1,[1]饿了么推广费!U:U,B13)</f>
        <v>118.82</v>
      </c>
      <c r="V13" s="1">
        <f>IFERROR(J13/SUMIF(B:B,B13,J:J),0.25)</f>
        <v>0.535433070866142</v>
      </c>
      <c r="W13" s="1">
        <f t="shared" si="5"/>
        <v>63.620157480315</v>
      </c>
      <c r="XET13" s="7"/>
      <c r="XEU13" s="7"/>
      <c r="XEV13" s="7"/>
      <c r="XEW13" s="7"/>
      <c r="XEX13" s="7"/>
      <c r="XEY13" s="7"/>
      <c r="XEZ13" s="7"/>
      <c r="XFA13" s="7"/>
      <c r="XFB13" s="7"/>
      <c r="XFC13" s="7"/>
      <c r="XFD13" s="7"/>
    </row>
    <row r="14" s="1" customFormat="1" ht="16.5" spans="1:16384">
      <c r="A14" s="20" t="s">
        <v>19</v>
      </c>
      <c r="B14" s="21" t="s">
        <v>30</v>
      </c>
      <c r="C14" s="22">
        <f>SUMIFS([1]日报透视!E:E,[1]日报透视!A:A,A14,[1]日报透视!B:B,B14)</f>
        <v>1034.19</v>
      </c>
      <c r="D14" s="19">
        <f>SUMIFS([1]日报透视!F:F,[1]日报透视!A:A,A14,[1]日报透视!B:B,B14)</f>
        <v>645.106666666667</v>
      </c>
      <c r="E14" s="19">
        <f>SUMIFS([1]日报透视!G:G,[1]日报透视!A:A,A14,[1]日报透视!B:B,B14)-M14</f>
        <v>326.613333333333</v>
      </c>
      <c r="F14" s="22">
        <f t="shared" si="0"/>
        <v>4.85238095238095</v>
      </c>
      <c r="G14" s="19">
        <f>SUMIFS([1]日报透视!I:I,[1]日报透视!A:A,A14,[1]日报透视!B:B,B14)</f>
        <v>203.8</v>
      </c>
      <c r="H14" s="19">
        <f>SUMIFS([1]日报透视!J:J,[1]日报透视!A:A,A14,[1]日报透视!B:B,B14)</f>
        <v>49.92</v>
      </c>
      <c r="I14" s="19">
        <f>SUMIFS([1]日报透视!K:K,[1]日报透视!A:A,A14,[1]日报透视!B:B,B14)</f>
        <v>183.592</v>
      </c>
      <c r="J14" s="19">
        <f>SUMIFS([1]日报透视!L:L,[1]日报透视!A:A,A14,[1]日报透视!B:B,B14)</f>
        <v>42</v>
      </c>
      <c r="K14" s="32">
        <f t="shared" si="1"/>
        <v>4.3712380952381</v>
      </c>
      <c r="L14" s="32">
        <f ca="1" t="shared" si="2"/>
        <v>226.001931421744</v>
      </c>
      <c r="M14" s="28">
        <f>SUMIFS([1]日报透视!N:N,[1]日报透视!A:A,A14,[1]日报透视!B:B,B14)</f>
        <v>62.4699999999999</v>
      </c>
      <c r="N14" s="29">
        <f ca="1" t="shared" si="3"/>
        <v>100.611401911589</v>
      </c>
      <c r="O14" s="33" t="str">
        <f>VLOOKUP(B14,[1]门店ID对应关系!J:K,2,0)</f>
        <v>自营</v>
      </c>
      <c r="P14" s="34"/>
      <c r="Q14" s="1" t="str">
        <f t="shared" si="4"/>
        <v>高新店</v>
      </c>
      <c r="R14" s="1" t="str">
        <f>VLOOKUP(Q14,$B$4:$B$42,1,0)</f>
        <v>高新店</v>
      </c>
      <c r="S14" s="6"/>
      <c r="T14" s="44">
        <f ca="1">VLOOKUP(B14,[1]房租水电人工成本!A:N,14,0)*V14*$W$1</f>
        <v>226.001931421744</v>
      </c>
      <c r="U14" s="45">
        <f>SUMIFS([1]饿了么推广费!W:W,[1]饿了么推广费!V:V,$U$1,[1]饿了么推广费!U:U,B14)</f>
        <v>62.47</v>
      </c>
      <c r="V14" s="1">
        <f>IFERROR(J14/SUMIF(B:B,B14,J:J),0.25)</f>
        <v>0.451612903225806</v>
      </c>
      <c r="W14" s="1">
        <f t="shared" si="5"/>
        <v>28.2122580645161</v>
      </c>
      <c r="XET14" s="7"/>
      <c r="XEU14" s="7"/>
      <c r="XEV14" s="7"/>
      <c r="XEW14" s="7"/>
      <c r="XEX14" s="7"/>
      <c r="XEY14" s="7"/>
      <c r="XEZ14" s="7"/>
      <c r="XFA14" s="7"/>
      <c r="XFB14" s="7"/>
      <c r="XFC14" s="7"/>
      <c r="XFD14" s="7"/>
    </row>
    <row r="15" s="1" customFormat="1" ht="16.5" spans="1:16384">
      <c r="A15" s="20" t="s">
        <v>19</v>
      </c>
      <c r="B15" s="21" t="s">
        <v>31</v>
      </c>
      <c r="C15" s="22">
        <f>SUMIFS([1]日报透视!E:E,[1]日报透视!A:A,A15,[1]日报透视!B:B,B15)</f>
        <v>594.81</v>
      </c>
      <c r="D15" s="19">
        <f>SUMIFS([1]日报透视!F:F,[1]日报透视!A:A,A15,[1]日报透视!B:B,B15)</f>
        <v>300.701357142857</v>
      </c>
      <c r="E15" s="19">
        <f>SUMIFS([1]日报透视!G:G,[1]日报透视!A:A,A15,[1]日报透视!B:B,B15)-M15</f>
        <v>259.658642857143</v>
      </c>
      <c r="F15" s="22">
        <f t="shared" si="0"/>
        <v>3.73611111111111</v>
      </c>
      <c r="G15" s="19">
        <f>SUMIFS([1]日报透视!I:I,[1]日报透视!A:A,A15,[1]日报透视!B:B,B15)</f>
        <v>134.5</v>
      </c>
      <c r="H15" s="19">
        <f>SUMIFS([1]日报透视!J:J,[1]日报透视!A:A,A15,[1]日报透视!B:B,B15)</f>
        <v>29.2</v>
      </c>
      <c r="I15" s="19">
        <f>SUMIFS([1]日报透视!K:K,[1]日报透视!A:A,A15,[1]日报透视!B:B,B15)</f>
        <v>107.784</v>
      </c>
      <c r="J15" s="19">
        <f>SUMIFS([1]日报透视!L:L,[1]日报透视!A:A,A15,[1]日报透视!B:B,B15)</f>
        <v>36</v>
      </c>
      <c r="K15" s="32">
        <f t="shared" si="1"/>
        <v>2.994</v>
      </c>
      <c r="L15" s="32">
        <f ca="1" t="shared" si="2"/>
        <v>125.361203030303</v>
      </c>
      <c r="M15" s="28">
        <f>SUMIFS([1]日报透视!N:N,[1]日报透视!A:A,A15,[1]日报透视!B:B,B15)</f>
        <v>34.45</v>
      </c>
      <c r="N15" s="29">
        <f ca="1" t="shared" si="3"/>
        <v>134.29743982684</v>
      </c>
      <c r="O15" s="33" t="str">
        <f>VLOOKUP(B15,[1]门店ID对应关系!J:K,2,0)</f>
        <v>自营</v>
      </c>
      <c r="P15" s="34"/>
      <c r="Q15" s="1" t="str">
        <f t="shared" si="4"/>
        <v>五华店</v>
      </c>
      <c r="R15" s="1" t="str">
        <f>VLOOKUP(Q15,$B$4:$B$42,1,0)</f>
        <v>五华店</v>
      </c>
      <c r="S15" s="6"/>
      <c r="T15" s="44">
        <f ca="1">VLOOKUP(B15,[1]房租水电人工成本!A:N,14,0)*V15*$W$1</f>
        <v>125.361203030303</v>
      </c>
      <c r="U15" s="45">
        <f>SUMIFS([1]饿了么推广费!W:W,[1]饿了么推广费!V:V,$U$1,[1]饿了么推广费!U:U,B15)</f>
        <v>34.45</v>
      </c>
      <c r="V15" s="1">
        <f>IFERROR(J15/SUMIF(B:B,B15,J:J),0.25)</f>
        <v>0.363636363636364</v>
      </c>
      <c r="W15" s="1">
        <f t="shared" si="5"/>
        <v>12.5272727272727</v>
      </c>
      <c r="XET15" s="7"/>
      <c r="XEU15" s="7"/>
      <c r="XEV15" s="7"/>
      <c r="XEW15" s="7"/>
      <c r="XEX15" s="7"/>
      <c r="XEY15" s="7"/>
      <c r="XEZ15" s="7"/>
      <c r="XFA15" s="7"/>
      <c r="XFB15" s="7"/>
      <c r="XFC15" s="7"/>
      <c r="XFD15" s="7"/>
    </row>
    <row r="16" s="1" customFormat="1" ht="16.5" spans="1:16384">
      <c r="A16" s="20" t="s">
        <v>19</v>
      </c>
      <c r="B16" s="21" t="s">
        <v>32</v>
      </c>
      <c r="C16" s="22">
        <f>SUMIFS([1]日报透视!E:E,[1]日报透视!A:A,A16,[1]日报透视!B:B,B16)</f>
        <v>921.77</v>
      </c>
      <c r="D16" s="19">
        <f>SUMIFS([1]日报透视!F:F,[1]日报透视!A:A,A16,[1]日报透视!B:B,B16)</f>
        <v>531.921064102564</v>
      </c>
      <c r="E16" s="19">
        <f>SUMIFS([1]日报透视!G:G,[1]日报透视!A:A,A16,[1]日报透视!B:B,B16)-M16</f>
        <v>351.558935897436</v>
      </c>
      <c r="F16" s="22">
        <f t="shared" si="0"/>
        <v>5.54915254237288</v>
      </c>
      <c r="G16" s="19">
        <f>SUMIFS([1]日报透视!I:I,[1]日报透视!A:A,A16,[1]日报透视!B:B,B16)</f>
        <v>327.4</v>
      </c>
      <c r="H16" s="19">
        <f>SUMIFS([1]日报透视!J:J,[1]日报透视!A:A,A16,[1]日报透视!B:B,B16)</f>
        <v>54.83</v>
      </c>
      <c r="I16" s="19">
        <f>SUMIFS([1]日报透视!K:K,[1]日报透视!A:A,A16,[1]日报透视!B:B,B16)</f>
        <v>183.37</v>
      </c>
      <c r="J16" s="19">
        <f>SUMIFS([1]日报透视!L:L,[1]日报透视!A:A,A16,[1]日报透视!B:B,B16)</f>
        <v>59</v>
      </c>
      <c r="K16" s="32">
        <f t="shared" si="1"/>
        <v>3.10796610169492</v>
      </c>
      <c r="L16" s="32">
        <f ca="1" t="shared" si="2"/>
        <v>175.509797102748</v>
      </c>
      <c r="M16" s="28">
        <f>SUMIFS([1]日报透视!N:N,[1]日报透视!A:A,A16,[1]日报透视!B:B,B16)</f>
        <v>38.2900000000001</v>
      </c>
      <c r="N16" s="29">
        <f ca="1" t="shared" si="3"/>
        <v>176.049138794688</v>
      </c>
      <c r="O16" s="33" t="str">
        <f>VLOOKUP(B16,[1]门店ID对应关系!J:K,2,0)</f>
        <v>自营</v>
      </c>
      <c r="P16" s="34"/>
      <c r="Q16" s="1" t="str">
        <f t="shared" si="4"/>
        <v>东新店</v>
      </c>
      <c r="R16" s="1" t="str">
        <f>VLOOKUP(Q16,$B$4:$B$42,1,0)</f>
        <v>东新店</v>
      </c>
      <c r="S16" s="6"/>
      <c r="T16" s="44">
        <f ca="1">VLOOKUP(B16,[1]房租水电人工成本!A:N,14,0)*V16*$W$1</f>
        <v>175.509797102748</v>
      </c>
      <c r="U16" s="45">
        <f>SUMIFS([1]饿了么推广费!W:W,[1]饿了么推广费!V:V,$U$1,[1]饿了么推广费!U:U,B16)</f>
        <v>38.29</v>
      </c>
      <c r="V16" s="1">
        <f>IFERROR(J16/SUMIF(B:B,B16,J:J),0.25)</f>
        <v>0.380645161290323</v>
      </c>
      <c r="W16" s="1">
        <f t="shared" si="5"/>
        <v>14.5749032258064</v>
      </c>
      <c r="XET16" s="7"/>
      <c r="XEU16" s="7"/>
      <c r="XEV16" s="7"/>
      <c r="XEW16" s="7"/>
      <c r="XEX16" s="7"/>
      <c r="XEY16" s="7"/>
      <c r="XEZ16" s="7"/>
      <c r="XFA16" s="7"/>
      <c r="XFB16" s="7"/>
      <c r="XFC16" s="7"/>
      <c r="XFD16" s="7"/>
    </row>
    <row r="17" s="1" customFormat="1" ht="16.5" spans="1:16384">
      <c r="A17" s="20" t="s">
        <v>19</v>
      </c>
      <c r="B17" s="21" t="s">
        <v>33</v>
      </c>
      <c r="C17" s="22">
        <f>SUMIFS([1]日报透视!E:E,[1]日报透视!A:A,A17,[1]日报透视!B:B,B17)</f>
        <v>390</v>
      </c>
      <c r="D17" s="19">
        <f>SUMIFS([1]日报透视!F:F,[1]日报透视!A:A,A17,[1]日报透视!B:B,B17)</f>
        <v>182.253333333333</v>
      </c>
      <c r="E17" s="19">
        <f>SUMIFS([1]日报透视!G:G,[1]日报透视!A:A,A17,[1]日报透视!B:B,B17)-M17</f>
        <v>175.526666666667</v>
      </c>
      <c r="F17" s="22">
        <f t="shared" si="0"/>
        <v>3.1625</v>
      </c>
      <c r="G17" s="19">
        <f>SUMIFS([1]日报透视!I:I,[1]日报透视!A:A,A17,[1]日报透视!B:B,B17)</f>
        <v>75.9</v>
      </c>
      <c r="H17" s="19">
        <f>SUMIFS([1]日报透视!J:J,[1]日报透视!A:A,A17,[1]日报透视!B:B,B17)</f>
        <v>18.69</v>
      </c>
      <c r="I17" s="19">
        <f>SUMIFS([1]日报透视!K:K,[1]日报透视!A:A,A17,[1]日报透视!B:B,B17)</f>
        <v>60.942</v>
      </c>
      <c r="J17" s="19">
        <f>SUMIFS([1]日报透视!L:L,[1]日报透视!A:A,A17,[1]日报透视!B:B,B17)</f>
        <v>24</v>
      </c>
      <c r="K17" s="32">
        <f t="shared" si="1"/>
        <v>2.53925</v>
      </c>
      <c r="L17" s="32">
        <f ca="1" t="shared" si="2"/>
        <v>282.352941176471</v>
      </c>
      <c r="M17" s="28">
        <f>SUMIFS([1]日报透视!N:N,[1]日报透视!A:A,A17,[1]日报透视!B:B,B17)</f>
        <v>32.22</v>
      </c>
      <c r="N17" s="29">
        <f ca="1" t="shared" si="3"/>
        <v>-106.826274509804</v>
      </c>
      <c r="O17" s="33" t="str">
        <f>VLOOKUP(B17,[1]门店ID对应关系!J:K,2,0)</f>
        <v>加盟</v>
      </c>
      <c r="P17" s="34"/>
      <c r="Q17" s="1" t="str">
        <f t="shared" si="4"/>
        <v>东海店</v>
      </c>
      <c r="R17" s="1" t="str">
        <f>VLOOKUP(Q17,$B$4:$B$42,1,0)</f>
        <v>东海店</v>
      </c>
      <c r="S17" s="6"/>
      <c r="T17" s="44">
        <f ca="1">VLOOKUP(B17,[1]房租水电人工成本!A:N,14,0)*V17*$W$1</f>
        <v>282.352941176471</v>
      </c>
      <c r="U17" s="45">
        <f>SUMIFS([1]饿了么推广费!W:W,[1]饿了么推广费!V:V,$U$1,[1]饿了么推广费!U:U,B17)</f>
        <v>32.22</v>
      </c>
      <c r="V17" s="1">
        <f>IFERROR(J17/SUMIF(B:B,B17,J:J),0.25)</f>
        <v>0.470588235294118</v>
      </c>
      <c r="W17" s="1">
        <f t="shared" si="5"/>
        <v>15.1623529411765</v>
      </c>
      <c r="XET17" s="7"/>
      <c r="XEU17" s="7"/>
      <c r="XEV17" s="7"/>
      <c r="XEW17" s="7"/>
      <c r="XEX17" s="7"/>
      <c r="XEY17" s="7"/>
      <c r="XEZ17" s="7"/>
      <c r="XFA17" s="7"/>
      <c r="XFB17" s="7"/>
      <c r="XFC17" s="7"/>
      <c r="XFD17" s="7"/>
    </row>
    <row r="18" s="1" customFormat="1" ht="16.5" spans="1:16384">
      <c r="A18" s="20" t="s">
        <v>19</v>
      </c>
      <c r="B18" s="21" t="s">
        <v>34</v>
      </c>
      <c r="C18" s="22">
        <f>SUMIFS([1]日报透视!E:E,[1]日报透视!A:A,A18,[1]日报透视!B:B,B18)</f>
        <v>1171.63</v>
      </c>
      <c r="D18" s="19">
        <f>SUMIFS([1]日报透视!F:F,[1]日报透视!A:A,A18,[1]日报透视!B:B,B18)</f>
        <v>860.035</v>
      </c>
      <c r="E18" s="19">
        <f>SUMIFS([1]日报透视!G:G,[1]日报透视!A:A,A18,[1]日报透视!B:B,B18)-M18</f>
        <v>210.035</v>
      </c>
      <c r="F18" s="22">
        <f t="shared" si="0"/>
        <v>6.29333333333333</v>
      </c>
      <c r="G18" s="19">
        <f>SUMIFS([1]日报透视!I:I,[1]日报透视!A:A,A18,[1]日报透视!B:B,B18)</f>
        <v>264.32</v>
      </c>
      <c r="H18" s="19">
        <f>SUMIFS([1]日报透视!J:J,[1]日报透视!A:A,A18,[1]日报透视!B:B,B18)</f>
        <v>58.67</v>
      </c>
      <c r="I18" s="19">
        <f>SUMIFS([1]日报透视!K:K,[1]日报透视!A:A,A18,[1]日报透视!B:B,B18)</f>
        <v>177.101</v>
      </c>
      <c r="J18" s="19">
        <f>SUMIFS([1]日报透视!L:L,[1]日报透视!A:A,A18,[1]日报透视!B:B,B18)</f>
        <v>42</v>
      </c>
      <c r="K18" s="32">
        <f t="shared" si="1"/>
        <v>4.21669047619048</v>
      </c>
      <c r="L18" s="32">
        <f ca="1" t="shared" si="2"/>
        <v>145.833333333333</v>
      </c>
      <c r="M18" s="28">
        <f>SUMIFS([1]日报透视!N:N,[1]日报透视!A:A,A18,[1]日报透视!B:B,B18)</f>
        <v>81.9400000000004</v>
      </c>
      <c r="N18" s="29">
        <f ca="1" t="shared" si="3"/>
        <v>64.2016666666665</v>
      </c>
      <c r="O18" s="33" t="str">
        <f>VLOOKUP(B18,[1]门店ID对应关系!J:K,2,0)</f>
        <v>（加盟）</v>
      </c>
      <c r="P18" s="34"/>
      <c r="Q18" s="1" t="str">
        <f t="shared" si="4"/>
        <v>长沙店</v>
      </c>
      <c r="R18" s="1" t="str">
        <f>VLOOKUP(Q18,$B$4:$B$42,1,0)</f>
        <v>长沙店</v>
      </c>
      <c r="S18" s="6"/>
      <c r="T18" s="44">
        <f ca="1">VLOOKUP(B18,[1]房租水电人工成本!A:N,14,0)*V18*$W$1</f>
        <v>145.833333333333</v>
      </c>
      <c r="U18" s="45">
        <f>SUMIFS([1]饿了么推广费!W:W,[1]饿了么推广费!V:V,$U$1,[1]饿了么推广费!U:U,B18)</f>
        <v>81.94</v>
      </c>
      <c r="V18" s="1">
        <f>IFERROR(J18/SUMIF(B:B,B18,J:J),0.25)</f>
        <v>0.4375</v>
      </c>
      <c r="W18" s="1">
        <f t="shared" si="5"/>
        <v>35.84875</v>
      </c>
      <c r="XET18" s="7"/>
      <c r="XEU18" s="7"/>
      <c r="XEV18" s="7"/>
      <c r="XEW18" s="7"/>
      <c r="XEX18" s="7"/>
      <c r="XEY18" s="7"/>
      <c r="XEZ18" s="7"/>
      <c r="XFA18" s="7"/>
      <c r="XFB18" s="7"/>
      <c r="XFC18" s="7"/>
      <c r="XFD18" s="7"/>
    </row>
    <row r="19" s="1" customFormat="1" ht="16.5" spans="1:16384">
      <c r="A19" s="20" t="s">
        <v>19</v>
      </c>
      <c r="B19" s="21" t="s">
        <v>35</v>
      </c>
      <c r="C19" s="22">
        <f>SUMIFS([1]日报透视!E:E,[1]日报透视!A:A,A19,[1]日报透视!B:B,B19)</f>
        <v>363.53</v>
      </c>
      <c r="D19" s="19">
        <f>SUMIFS([1]日报透视!F:F,[1]日报透视!A:A,A19,[1]日报透视!B:B,B19)</f>
        <v>186.965</v>
      </c>
      <c r="E19" s="19">
        <f>SUMIFS([1]日报透视!G:G,[1]日报透视!A:A,A19,[1]日报透视!B:B,B19)-M19</f>
        <v>157.365</v>
      </c>
      <c r="F19" s="22">
        <f t="shared" si="0"/>
        <v>3.61785714285714</v>
      </c>
      <c r="G19" s="19">
        <f>SUMIFS([1]日报透视!I:I,[1]日报透视!A:A,A19,[1]日报透视!B:B,B19)</f>
        <v>101.3</v>
      </c>
      <c r="H19" s="19">
        <f>SUMIFS([1]日报透视!J:J,[1]日报透视!A:A,A19,[1]日报透视!B:B,B19)</f>
        <v>18.59</v>
      </c>
      <c r="I19" s="19">
        <f>SUMIFS([1]日报透视!K:K,[1]日报透视!A:A,A19,[1]日报透视!B:B,B19)</f>
        <v>121.181</v>
      </c>
      <c r="J19" s="19">
        <f>SUMIFS([1]日报透视!L:L,[1]日报透视!A:A,A19,[1]日报透视!B:B,B19)</f>
        <v>28</v>
      </c>
      <c r="K19" s="32">
        <f t="shared" si="1"/>
        <v>4.32789285714286</v>
      </c>
      <c r="L19" s="32">
        <f ca="1" t="shared" si="2"/>
        <v>123.074131687243</v>
      </c>
      <c r="M19" s="28">
        <f>SUMIFS([1]日报透视!N:N,[1]日报透视!A:A,A19,[1]日报透视!B:B,B19)</f>
        <v>19.2</v>
      </c>
      <c r="N19" s="29">
        <f ca="1" t="shared" si="3"/>
        <v>34.2908683127573</v>
      </c>
      <c r="O19" s="33" t="str">
        <f>VLOOKUP(B19,[1]门店ID对应关系!J:K,2,0)</f>
        <v>自营</v>
      </c>
      <c r="P19" s="34"/>
      <c r="Q19" s="1" t="str">
        <f t="shared" si="4"/>
        <v>洛江店</v>
      </c>
      <c r="R19" s="1" t="str">
        <f>VLOOKUP(Q19,$B$4:$B$42,1,0)</f>
        <v>洛江店</v>
      </c>
      <c r="S19" s="6"/>
      <c r="T19" s="44">
        <f ca="1">VLOOKUP(B19,[1]房租水电人工成本!A:N,14,0)*V19*$W$1</f>
        <v>123.074131687243</v>
      </c>
      <c r="U19" s="45">
        <f>SUMIFS([1]饿了么推广费!W:W,[1]饿了么推广费!V:V,$U$1,[1]饿了么推广费!U:U,B19)</f>
        <v>19.2</v>
      </c>
      <c r="V19" s="1">
        <f>IFERROR(J19/SUMIF(B:B,B19,J:J),0.25)</f>
        <v>0.444444444444444</v>
      </c>
      <c r="W19" s="1">
        <f t="shared" si="5"/>
        <v>8.53333333333333</v>
      </c>
      <c r="XET19" s="7"/>
      <c r="XEU19" s="7"/>
      <c r="XEV19" s="7"/>
      <c r="XEW19" s="7"/>
      <c r="XEX19" s="7"/>
      <c r="XEY19" s="7"/>
      <c r="XEZ19" s="7"/>
      <c r="XFA19" s="7"/>
      <c r="XFB19" s="7"/>
      <c r="XFC19" s="7"/>
      <c r="XFD19" s="7"/>
    </row>
    <row r="20" s="1" customFormat="1" ht="16.5" spans="1:16384">
      <c r="A20" s="20" t="s">
        <v>19</v>
      </c>
      <c r="B20" s="21" t="s">
        <v>36</v>
      </c>
      <c r="C20" s="22">
        <f>SUMIFS([1]日报透视!E:E,[1]日报透视!A:A,A20,[1]日报透视!B:B,B20)</f>
        <v>848.87</v>
      </c>
      <c r="D20" s="19">
        <f>SUMIFS([1]日报透视!F:F,[1]日报透视!A:A,A20,[1]日报透视!B:B,B20)</f>
        <v>524.965333333333</v>
      </c>
      <c r="E20" s="19">
        <f>SUMIFS([1]日报透视!G:G,[1]日报透视!A:A,A20,[1]日报透视!B:B,B20)-M20</f>
        <v>262.874666666667</v>
      </c>
      <c r="F20" s="22">
        <f t="shared" si="0"/>
        <v>5.77777777777778</v>
      </c>
      <c r="G20" s="19">
        <f>SUMIFS([1]日报透视!I:I,[1]日报透视!A:A,A20,[1]日报透视!B:B,B20)</f>
        <v>208</v>
      </c>
      <c r="H20" s="19">
        <f>SUMIFS([1]日报透视!J:J,[1]日报透视!A:A,A20,[1]日报透视!B:B,B20)</f>
        <v>46.66</v>
      </c>
      <c r="I20" s="19">
        <f>SUMIFS([1]日报透视!K:K,[1]日报透视!A:A,A20,[1]日报透视!B:B,B20)</f>
        <v>186.365</v>
      </c>
      <c r="J20" s="19">
        <f>SUMIFS([1]日报透视!L:L,[1]日报透视!A:A,A20,[1]日报透视!B:B,B20)</f>
        <v>36</v>
      </c>
      <c r="K20" s="32">
        <f t="shared" si="1"/>
        <v>5.17680555555556</v>
      </c>
      <c r="L20" s="32">
        <f ca="1" t="shared" si="2"/>
        <v>163.509463768116</v>
      </c>
      <c r="M20" s="28">
        <f>SUMIFS([1]日报透视!N:N,[1]日报透视!A:A,A20,[1]日报透视!B:B,B20)</f>
        <v>61.0300000000001</v>
      </c>
      <c r="N20" s="29">
        <f ca="1" t="shared" si="3"/>
        <v>99.365202898551</v>
      </c>
      <c r="O20" s="33" t="str">
        <f>VLOOKUP(B20,[1]门店ID对应关系!J:K,2,0)</f>
        <v>自营</v>
      </c>
      <c r="P20" s="34"/>
      <c r="Q20" s="1" t="str">
        <f t="shared" si="4"/>
        <v>启点店</v>
      </c>
      <c r="R20" s="1" t="str">
        <f>VLOOKUP(Q20,$B$4:$B$42,1,0)</f>
        <v>启点店</v>
      </c>
      <c r="S20" s="6"/>
      <c r="T20" s="44">
        <f ca="1">VLOOKUP(B20,[1]房租水电人工成本!A:N,14,0)*V20*$W$1</f>
        <v>163.509463768116</v>
      </c>
      <c r="U20" s="45">
        <f>SUMIFS([1]饿了么推广费!W:W,[1]饿了么推广费!V:V,$U$1,[1]饿了么推广费!U:U,B20)</f>
        <v>61.03</v>
      </c>
      <c r="V20" s="1">
        <f>IFERROR(J20/SUMIF(B:B,B20,J:J),0.25)</f>
        <v>0.521739130434783</v>
      </c>
      <c r="W20" s="1">
        <f t="shared" si="5"/>
        <v>31.8417391304348</v>
      </c>
      <c r="XET20" s="7"/>
      <c r="XEU20" s="7"/>
      <c r="XEV20" s="7"/>
      <c r="XEW20" s="7"/>
      <c r="XEX20" s="7"/>
      <c r="XEY20" s="7"/>
      <c r="XEZ20" s="7"/>
      <c r="XFA20" s="7"/>
      <c r="XFB20" s="7"/>
      <c r="XFC20" s="7"/>
      <c r="XFD20" s="7"/>
    </row>
    <row r="21" s="1" customFormat="1" ht="16.5" spans="1:16384">
      <c r="A21" s="20" t="s">
        <v>19</v>
      </c>
      <c r="B21" s="21" t="s">
        <v>37</v>
      </c>
      <c r="C21" s="22">
        <f>SUMIFS([1]日报透视!E:E,[1]日报透视!A:A,A21,[1]日报透视!B:B,B21)</f>
        <v>495.68</v>
      </c>
      <c r="D21" s="19">
        <f>SUMIFS([1]日报透视!F:F,[1]日报透视!A:A,A21,[1]日报透视!B:B,B21)</f>
        <v>278.59375</v>
      </c>
      <c r="E21" s="19">
        <f>SUMIFS([1]日报透视!G:G,[1]日报透视!A:A,A21,[1]日报透视!B:B,B21)-M21</f>
        <v>149.61625</v>
      </c>
      <c r="F21" s="22">
        <f t="shared" si="0"/>
        <v>4.7562962962963</v>
      </c>
      <c r="G21" s="19">
        <f>SUMIFS([1]日报透视!I:I,[1]日报透视!A:A,A21,[1]日报透视!B:B,B21)</f>
        <v>128.42</v>
      </c>
      <c r="H21" s="19">
        <f>SUMIFS([1]日报透视!J:J,[1]日报透视!A:A,A21,[1]日报透视!B:B,B21)</f>
        <v>33.64</v>
      </c>
      <c r="I21" s="19">
        <f>SUMIFS([1]日报透视!K:K,[1]日报透视!A:A,A21,[1]日报透视!B:B,B21)</f>
        <v>95.036</v>
      </c>
      <c r="J21" s="19">
        <f>SUMIFS([1]日报透视!L:L,[1]日报透视!A:A,A21,[1]日报透视!B:B,B21)</f>
        <v>27</v>
      </c>
      <c r="K21" s="32">
        <f t="shared" si="1"/>
        <v>3.51985185185185</v>
      </c>
      <c r="L21" s="32">
        <f ca="1" t="shared" si="2"/>
        <v>86.4451219512195</v>
      </c>
      <c r="M21" s="28">
        <f>SUMIFS([1]日报透视!N:N,[1]日报透视!A:A,A21,[1]日报透视!B:B,B21)</f>
        <v>47.3499999999999</v>
      </c>
      <c r="N21" s="29">
        <f ca="1" t="shared" si="3"/>
        <v>63.1711280487806</v>
      </c>
      <c r="O21" s="33" t="str">
        <f>VLOOKUP(B21,[1]门店ID对应关系!J:K,2,0)</f>
        <v>自营</v>
      </c>
      <c r="P21" s="34"/>
      <c r="Q21" s="1" t="str">
        <f t="shared" si="4"/>
        <v>观桥店</v>
      </c>
      <c r="R21" s="1" t="str">
        <f>VLOOKUP(Q21,$B$4:$B$42,1,0)</f>
        <v>观桥店</v>
      </c>
      <c r="S21" s="6"/>
      <c r="T21" s="44">
        <f ca="1">VLOOKUP(B21,[1]房租水电人工成本!A:N,14,0)*V21*$W$1</f>
        <v>86.4451219512195</v>
      </c>
      <c r="U21" s="45">
        <f>SUMIFS([1]饿了么推广费!W:W,[1]饿了么推广费!V:V,$U$1,[1]饿了么推广费!U:U,B21)</f>
        <v>47.35</v>
      </c>
      <c r="V21" s="1">
        <f>IFERROR(J21/SUMIF(B:B,B21,J:J),0.25)</f>
        <v>0.329268292682927</v>
      </c>
      <c r="W21" s="1">
        <f t="shared" si="5"/>
        <v>15.5908536585366</v>
      </c>
      <c r="XET21" s="7"/>
      <c r="XEU21" s="7"/>
      <c r="XEV21" s="7"/>
      <c r="XEW21" s="7"/>
      <c r="XEX21" s="7"/>
      <c r="XEY21" s="7"/>
      <c r="XEZ21" s="7"/>
      <c r="XFA21" s="7"/>
      <c r="XFB21" s="7"/>
      <c r="XFC21" s="7"/>
      <c r="XFD21" s="7"/>
    </row>
    <row r="22" s="1" customFormat="1" ht="16.5" spans="1:16384">
      <c r="A22" s="20" t="s">
        <v>19</v>
      </c>
      <c r="B22" s="21" t="s">
        <v>38</v>
      </c>
      <c r="C22" s="22">
        <f>SUMIFS([1]日报透视!E:E,[1]日报透视!A:A,A22,[1]日报透视!B:B,B22)</f>
        <v>406.88</v>
      </c>
      <c r="D22" s="19">
        <f>SUMIFS([1]日报透视!F:F,[1]日报透视!A:A,A22,[1]日报透视!B:B,B22)</f>
        <v>203.229166666667</v>
      </c>
      <c r="E22" s="19">
        <f>SUMIFS([1]日报透视!G:G,[1]日报透视!A:A,A22,[1]日报透视!B:B,B22)-M22</f>
        <v>176.800833333333</v>
      </c>
      <c r="F22" s="22">
        <f t="shared" si="0"/>
        <v>4.18333333333333</v>
      </c>
      <c r="G22" s="19">
        <f>SUMIFS([1]日报透视!I:I,[1]日报透视!A:A,A22,[1]日报透视!B:B,B22)</f>
        <v>125.5</v>
      </c>
      <c r="H22" s="19">
        <f>SUMIFS([1]日报透视!J:J,[1]日报透视!A:A,A22,[1]日报透视!B:B,B22)</f>
        <v>22.16</v>
      </c>
      <c r="I22" s="19">
        <f>SUMIFS([1]日报透视!K:K,[1]日报透视!A:A,A22,[1]日报透视!B:B,B22)</f>
        <v>108.491</v>
      </c>
      <c r="J22" s="19">
        <f>SUMIFS([1]日报透视!L:L,[1]日报透视!A:A,A22,[1]日报透视!B:B,B22)</f>
        <v>30</v>
      </c>
      <c r="K22" s="32">
        <f t="shared" si="1"/>
        <v>3.61636666666667</v>
      </c>
      <c r="L22" s="32">
        <f ca="1" t="shared" si="2"/>
        <v>126.561704282408</v>
      </c>
      <c r="M22" s="28">
        <f>SUMIFS([1]日报透视!N:N,[1]日报透视!A:A,A22,[1]日报透视!B:B,B22)</f>
        <v>26.85</v>
      </c>
      <c r="N22" s="29">
        <f ca="1" t="shared" si="3"/>
        <v>50.2391290509255</v>
      </c>
      <c r="O22" s="33" t="str">
        <f>VLOOKUP(B22,[1]门店ID对应关系!J:K,2,0)</f>
        <v>自营</v>
      </c>
      <c r="P22" s="34"/>
      <c r="Q22" s="1" t="str">
        <f t="shared" si="4"/>
        <v>官渡店</v>
      </c>
      <c r="R22" s="1" t="str">
        <f>VLOOKUP(Q22,$B$4:$B$42,1,0)</f>
        <v>官渡店</v>
      </c>
      <c r="S22" s="6"/>
      <c r="T22" s="44">
        <f ca="1">VLOOKUP(B22,[1]房租水电人工成本!A:N,14,0)*V22*$W$1</f>
        <v>126.561704282408</v>
      </c>
      <c r="U22" s="45">
        <f>SUMIFS([1]饿了么推广费!W:W,[1]饿了么推广费!V:V,$U$1,[1]饿了么推广费!U:U,B22)</f>
        <v>26.85</v>
      </c>
      <c r="V22" s="1">
        <f>IFERROR(J22/SUMIF(B:B,B22,J:J),0.25)</f>
        <v>0.3125</v>
      </c>
      <c r="W22" s="1">
        <f t="shared" si="5"/>
        <v>8.390625</v>
      </c>
      <c r="XET22" s="7"/>
      <c r="XEU22" s="7"/>
      <c r="XEV22" s="7"/>
      <c r="XEW22" s="7"/>
      <c r="XEX22" s="7"/>
      <c r="XEY22" s="7"/>
      <c r="XEZ22" s="7"/>
      <c r="XFA22" s="7"/>
      <c r="XFB22" s="7"/>
      <c r="XFC22" s="7"/>
      <c r="XFD22" s="7"/>
    </row>
    <row r="23" s="1" customFormat="1" ht="16.5" spans="1:16384">
      <c r="A23" s="20" t="s">
        <v>19</v>
      </c>
      <c r="B23" s="21" t="s">
        <v>39</v>
      </c>
      <c r="C23" s="22">
        <f>SUMIFS([1]日报透视!E:E,[1]日报透视!A:A,A23,[1]日报透视!B:B,B23)</f>
        <v>836.36</v>
      </c>
      <c r="D23" s="19">
        <f>SUMIFS([1]日报透视!F:F,[1]日报透视!A:A,A23,[1]日报透视!B:B,B23)</f>
        <v>573.438333333333</v>
      </c>
      <c r="E23" s="19">
        <f>SUMIFS([1]日报透视!G:G,[1]日报透视!A:A,A23,[1]日报透视!B:B,B23)-M23</f>
        <v>214.361666666667</v>
      </c>
      <c r="F23" s="22">
        <f t="shared" si="0"/>
        <v>5.068</v>
      </c>
      <c r="G23" s="19">
        <f>SUMIFS([1]日报透视!I:I,[1]日报透视!A:A,A23,[1]日报透视!B:B,B23)</f>
        <v>126.7</v>
      </c>
      <c r="H23" s="19">
        <f>SUMIFS([1]日报透视!J:J,[1]日报透视!A:A,A23,[1]日报透视!B:B,B23)</f>
        <v>40.14</v>
      </c>
      <c r="I23" s="19">
        <f>SUMIFS([1]日报透视!K:K,[1]日报透视!A:A,A23,[1]日报透视!B:B,B23)</f>
        <v>92.398</v>
      </c>
      <c r="J23" s="19">
        <f>SUMIFS([1]日报透视!L:L,[1]日报透视!A:A,A23,[1]日报透视!B:B,B23)</f>
        <v>25</v>
      </c>
      <c r="K23" s="32">
        <f t="shared" si="1"/>
        <v>3.69592</v>
      </c>
      <c r="L23" s="32">
        <f ca="1" t="shared" si="2"/>
        <v>116.217208185579</v>
      </c>
      <c r="M23" s="28">
        <f>SUMIFS([1]日报透视!N:N,[1]日报透视!A:A,A23,[1]日报透视!B:B,B23)</f>
        <v>48.56</v>
      </c>
      <c r="N23" s="29">
        <f ca="1" t="shared" si="3"/>
        <v>98.1444584810878</v>
      </c>
      <c r="O23" s="33" t="str">
        <f>VLOOKUP(B23,[1]门店ID对应关系!J:K,2,0)</f>
        <v>自营</v>
      </c>
      <c r="P23" s="34"/>
      <c r="Q23" s="1" t="str">
        <f t="shared" si="4"/>
        <v>百丈店</v>
      </c>
      <c r="R23" s="1" t="str">
        <f>VLOOKUP(Q23,$B$4:$B$42,1,0)</f>
        <v>百丈店</v>
      </c>
      <c r="S23" s="6"/>
      <c r="T23" s="44">
        <f ca="1">VLOOKUP(B23,[1]房租水电人工成本!A:N,14,0)*V23*$W$1</f>
        <v>116.217208185579</v>
      </c>
      <c r="U23" s="45">
        <f>SUMIFS([1]饿了么推广费!W:W,[1]饿了么推广费!V:V,$U$1,[1]饿了么推广费!U:U,B23)</f>
        <v>48.56</v>
      </c>
      <c r="V23" s="1">
        <f>IFERROR(J23/SUMIF(B:B,B23,J:J),0.25)</f>
        <v>0.265957446808511</v>
      </c>
      <c r="W23" s="1">
        <f t="shared" si="5"/>
        <v>12.9148936170213</v>
      </c>
      <c r="XET23" s="7"/>
      <c r="XEU23" s="7"/>
      <c r="XEV23" s="7"/>
      <c r="XEW23" s="7"/>
      <c r="XEX23" s="7"/>
      <c r="XEY23" s="7"/>
      <c r="XEZ23" s="7"/>
      <c r="XFA23" s="7"/>
      <c r="XFB23" s="7"/>
      <c r="XFC23" s="7"/>
      <c r="XFD23" s="7"/>
    </row>
    <row r="24" s="1" customFormat="1" ht="16.5" spans="1:16384">
      <c r="A24" s="20" t="s">
        <v>19</v>
      </c>
      <c r="B24" s="21" t="s">
        <v>40</v>
      </c>
      <c r="C24" s="22">
        <f>SUMIFS([1]日报透视!E:E,[1]日报透视!A:A,A24,[1]日报透视!B:B,B24)</f>
        <v>263.06</v>
      </c>
      <c r="D24" s="19">
        <f>SUMIFS([1]日报透视!F:F,[1]日报透视!A:A,A24,[1]日报透视!B:B,B24)</f>
        <v>133.69</v>
      </c>
      <c r="E24" s="19">
        <f>SUMIFS([1]日报透视!G:G,[1]日报透视!A:A,A24,[1]日报透视!B:B,B24)-M24</f>
        <v>110.08</v>
      </c>
      <c r="F24" s="22">
        <f t="shared" si="0"/>
        <v>5.06666666666667</v>
      </c>
      <c r="G24" s="19">
        <f>SUMIFS([1]日报透视!I:I,[1]日报透视!A:A,A24,[1]日报透视!B:B,B24)</f>
        <v>106.4</v>
      </c>
      <c r="H24" s="19">
        <f>SUMIFS([1]日报透视!J:J,[1]日报透视!A:A,A24,[1]日报透视!B:B,B24)</f>
        <v>16.9</v>
      </c>
      <c r="I24" s="19">
        <f>SUMIFS([1]日报透视!K:K,[1]日报透视!A:A,A24,[1]日报透视!B:B,B24)</f>
        <v>78.047</v>
      </c>
      <c r="J24" s="19">
        <f>SUMIFS([1]日报透视!L:L,[1]日报透视!A:A,A24,[1]日报透视!B:B,B24)</f>
        <v>21</v>
      </c>
      <c r="K24" s="32">
        <f t="shared" si="1"/>
        <v>3.71652380952381</v>
      </c>
      <c r="L24" s="32">
        <f ca="1" t="shared" si="2"/>
        <v>165.818835243056</v>
      </c>
      <c r="M24" s="28">
        <f>SUMIFS([1]日报透视!N:N,[1]日报透视!A:A,A24,[1]日报透视!B:B,B24)</f>
        <v>19.29</v>
      </c>
      <c r="N24" s="29">
        <f ca="1" t="shared" si="3"/>
        <v>-55.7388352430556</v>
      </c>
      <c r="O24" s="33" t="str">
        <f>VLOOKUP(B24,[1]门店ID对应关系!J:K,2,0)</f>
        <v>自营</v>
      </c>
      <c r="P24" s="34"/>
      <c r="Q24" s="1" t="str">
        <f t="shared" si="4"/>
        <v>金牛店</v>
      </c>
      <c r="R24" s="1" t="str">
        <f>VLOOKUP(Q24,$B$4:$B$42,1,0)</f>
        <v>金牛店</v>
      </c>
      <c r="S24" s="6"/>
      <c r="T24" s="44">
        <f ca="1">VLOOKUP(B24,[1]房租水电人工成本!A:N,14,0)*V24*$W$1</f>
        <v>165.818835243056</v>
      </c>
      <c r="U24" s="45">
        <f>SUMIFS([1]饿了么推广费!W:W,[1]饿了么推广费!V:V,$U$1,[1]饿了么推广费!U:U,B24)</f>
        <v>19.29</v>
      </c>
      <c r="V24" s="1">
        <f>IFERROR(J24/SUMIF(B:B,B24,J:J),0.25)</f>
        <v>0.328125</v>
      </c>
      <c r="W24" s="1">
        <f t="shared" si="5"/>
        <v>6.32953125</v>
      </c>
      <c r="XET24" s="7"/>
      <c r="XEU24" s="7"/>
      <c r="XEV24" s="7"/>
      <c r="XEW24" s="7"/>
      <c r="XEX24" s="7"/>
      <c r="XEY24" s="7"/>
      <c r="XEZ24" s="7"/>
      <c r="XFA24" s="7"/>
      <c r="XFB24" s="7"/>
      <c r="XFC24" s="7"/>
      <c r="XFD24" s="7"/>
    </row>
    <row r="25" s="1" customFormat="1" ht="16.5" spans="1:16384">
      <c r="A25" s="20" t="s">
        <v>19</v>
      </c>
      <c r="B25" s="21" t="s">
        <v>41</v>
      </c>
      <c r="C25" s="22">
        <f>SUMIFS([1]日报透视!E:E,[1]日报透视!A:A,A25,[1]日报透视!B:B,B25)</f>
        <v>637.14</v>
      </c>
      <c r="D25" s="19">
        <f>SUMIFS([1]日报透视!F:F,[1]日报透视!A:A,A25,[1]日报透视!B:B,B25)</f>
        <v>395.197166666667</v>
      </c>
      <c r="E25" s="19">
        <f>SUMIFS([1]日报透视!G:G,[1]日报透视!A:A,A25,[1]日报透视!B:B,B25)-M25</f>
        <v>154.022833333333</v>
      </c>
      <c r="F25" s="22">
        <f t="shared" si="0"/>
        <v>6.25690476190476</v>
      </c>
      <c r="G25" s="19">
        <f>SUMIFS([1]日报透视!I:I,[1]日报透视!A:A,A25,[1]日报透视!B:B,B25)</f>
        <v>262.79</v>
      </c>
      <c r="H25" s="19">
        <f>SUMIFS([1]日报透视!J:J,[1]日报透视!A:A,A25,[1]日报透视!B:B,B25)</f>
        <v>36.57</v>
      </c>
      <c r="I25" s="19">
        <f>SUMIFS([1]日报透视!K:K,[1]日报透视!A:A,A25,[1]日报透视!B:B,B25)</f>
        <v>127.467</v>
      </c>
      <c r="J25" s="19">
        <f>SUMIFS([1]日报透视!L:L,[1]日报透视!A:A,A25,[1]日报透视!B:B,B25)</f>
        <v>42</v>
      </c>
      <c r="K25" s="32">
        <f t="shared" si="1"/>
        <v>3.03492857142857</v>
      </c>
      <c r="L25" s="32">
        <f ca="1" t="shared" si="2"/>
        <v>186.324945526057</v>
      </c>
      <c r="M25" s="28">
        <f>SUMIFS([1]日报透视!N:N,[1]日报透视!A:A,A25,[1]日报透视!B:B,B25)</f>
        <v>47.3300000000001</v>
      </c>
      <c r="N25" s="29">
        <f ca="1" t="shared" si="3"/>
        <v>-32.3021121927243</v>
      </c>
      <c r="O25" s="33" t="str">
        <f>VLOOKUP(B25,[1]门店ID对应关系!J:K,2,0)</f>
        <v>自营</v>
      </c>
      <c r="P25" s="34"/>
      <c r="Q25" s="1" t="str">
        <f t="shared" si="4"/>
        <v>观音桥店</v>
      </c>
      <c r="R25" s="1" t="str">
        <f>VLOOKUP(Q25,$B$4:$B$42,1,0)</f>
        <v>观音桥店</v>
      </c>
      <c r="S25" s="6"/>
      <c r="T25" s="44">
        <f ca="1">VLOOKUP(B25,[1]房租水电人工成本!A:N,14,0)*V25*$W$1</f>
        <v>186.324945526057</v>
      </c>
      <c r="U25" s="45">
        <f>SUMIFS([1]饿了么推广费!W:W,[1]饿了么推广费!V:V,$U$1,[1]饿了么推广费!U:U,B25)</f>
        <v>47.33</v>
      </c>
      <c r="V25" s="1">
        <f>IFERROR(J25/SUMIF(B:B,B25,J:J),0.25)</f>
        <v>0.371681415929204</v>
      </c>
      <c r="W25" s="1">
        <f t="shared" si="5"/>
        <v>17.5916814159292</v>
      </c>
      <c r="XET25" s="7"/>
      <c r="XEU25" s="7"/>
      <c r="XEV25" s="7"/>
      <c r="XEW25" s="7"/>
      <c r="XEX25" s="7"/>
      <c r="XEY25" s="7"/>
      <c r="XEZ25" s="7"/>
      <c r="XFA25" s="7"/>
      <c r="XFB25" s="7"/>
      <c r="XFC25" s="7"/>
      <c r="XFD25" s="7"/>
    </row>
    <row r="26" s="1" customFormat="1" ht="16.5" spans="1:16384">
      <c r="A26" s="20" t="s">
        <v>19</v>
      </c>
      <c r="B26" s="21" t="s">
        <v>42</v>
      </c>
      <c r="C26" s="22">
        <f>SUMIFS([1]日报透视!E:E,[1]日报透视!A:A,A26,[1]日报透视!B:B,B26)</f>
        <v>482.99</v>
      </c>
      <c r="D26" s="19">
        <f>SUMIFS([1]日报透视!F:F,[1]日报透视!A:A,A26,[1]日报透视!B:B,B26)</f>
        <v>270.01</v>
      </c>
      <c r="E26" s="19">
        <f>SUMIFS([1]日报透视!G:G,[1]日报透视!A:A,A26,[1]日报透视!B:B,B26)-M26</f>
        <v>162.22</v>
      </c>
      <c r="F26" s="22">
        <f t="shared" si="0"/>
        <v>4.68529411764706</v>
      </c>
      <c r="G26" s="19">
        <f>SUMIFS([1]日报透视!I:I,[1]日报透视!A:A,A26,[1]日报透视!B:B,B26)</f>
        <v>159.3</v>
      </c>
      <c r="H26" s="19">
        <f>SUMIFS([1]日报透视!J:J,[1]日报透视!A:A,A26,[1]日报透视!B:B,B26)</f>
        <v>28.57</v>
      </c>
      <c r="I26" s="19">
        <f>SUMIFS([1]日报透视!K:K,[1]日报透视!A:A,A26,[1]日报透视!B:B,B26)</f>
        <v>103.4</v>
      </c>
      <c r="J26" s="19">
        <f>SUMIFS([1]日报透视!L:L,[1]日报透视!A:A,A26,[1]日报透视!B:B,B26)</f>
        <v>34</v>
      </c>
      <c r="K26" s="32">
        <f t="shared" si="1"/>
        <v>3.04117647058824</v>
      </c>
      <c r="L26" s="32">
        <f ca="1" t="shared" si="2"/>
        <v>179.479764739229</v>
      </c>
      <c r="M26" s="28">
        <f>SUMIFS([1]日报透视!N:N,[1]日报透视!A:A,A26,[1]日报透视!B:B,B26)</f>
        <v>50.7600000000001</v>
      </c>
      <c r="N26" s="29">
        <f ca="1" t="shared" si="3"/>
        <v>-17.2597647392292</v>
      </c>
      <c r="O26" s="33" t="str">
        <f>VLOOKUP(B26,[1]门店ID对应关系!J:K,2,0)</f>
        <v>自营</v>
      </c>
      <c r="P26" s="34"/>
      <c r="Q26" s="1" t="str">
        <f t="shared" si="4"/>
        <v>五路口店</v>
      </c>
      <c r="R26" s="1" t="str">
        <f>VLOOKUP(Q26,$B$4:$B$42,1,0)</f>
        <v>五路口店</v>
      </c>
      <c r="S26" s="6"/>
      <c r="T26" s="44">
        <f ca="1">VLOOKUP(B26,[1]房租水电人工成本!A:N,14,0)*V26*$W$1</f>
        <v>179.479764739229</v>
      </c>
      <c r="U26" s="45">
        <f>SUMIFS([1]饿了么推广费!W:W,[1]饿了么推广费!V:V,$U$1,[1]饿了么推广费!U:U,B26)</f>
        <v>50.76</v>
      </c>
      <c r="V26" s="1">
        <f>IFERROR(J26/SUMIF(B:B,B26,J:J),0.25)</f>
        <v>0.346938775510204</v>
      </c>
      <c r="W26" s="1">
        <f t="shared" si="5"/>
        <v>17.610612244898</v>
      </c>
      <c r="XET26" s="7"/>
      <c r="XEU26" s="7"/>
      <c r="XEV26" s="7"/>
      <c r="XEW26" s="7"/>
      <c r="XEX26" s="7"/>
      <c r="XEY26" s="7"/>
      <c r="XEZ26" s="7"/>
      <c r="XFA26" s="7"/>
      <c r="XFB26" s="7"/>
      <c r="XFC26" s="7"/>
      <c r="XFD26" s="7"/>
    </row>
    <row r="27" s="1" customFormat="1" ht="16.5" spans="1:16384">
      <c r="A27" s="20" t="s">
        <v>19</v>
      </c>
      <c r="B27" s="21" t="s">
        <v>43</v>
      </c>
      <c r="C27" s="22">
        <f>SUMIFS([1]日报透视!E:E,[1]日报透视!A:A,A27,[1]日报透视!B:B,B27)</f>
        <v>944.51</v>
      </c>
      <c r="D27" s="19">
        <f>SUMIFS([1]日报透视!F:F,[1]日报透视!A:A,A27,[1]日报透视!B:B,B27)</f>
        <v>488.440833333333</v>
      </c>
      <c r="E27" s="19">
        <f>SUMIFS([1]日报透视!G:G,[1]日报透视!A:A,A27,[1]日报透视!B:B,B27)-M27</f>
        <v>354.119166666667</v>
      </c>
      <c r="F27" s="22">
        <f t="shared" si="0"/>
        <v>4.62567567567568</v>
      </c>
      <c r="G27" s="19">
        <f>SUMIFS([1]日报透视!I:I,[1]日报透视!A:A,A27,[1]日报透视!B:B,B27)</f>
        <v>342.3</v>
      </c>
      <c r="H27" s="19">
        <f>SUMIFS([1]日报透视!J:J,[1]日报透视!A:A,A27,[1]日报透视!B:B,B27)</f>
        <v>54.62</v>
      </c>
      <c r="I27" s="19">
        <f>SUMIFS([1]日报透视!K:K,[1]日报透视!A:A,A27,[1]日报透视!B:B,B27)</f>
        <v>222.071</v>
      </c>
      <c r="J27" s="19">
        <f>SUMIFS([1]日报透视!L:L,[1]日报透视!A:A,A27,[1]日报透视!B:B,B27)</f>
        <v>74</v>
      </c>
      <c r="K27" s="32">
        <f t="shared" si="1"/>
        <v>3.00095945945946</v>
      </c>
      <c r="L27" s="32">
        <f ca="1" t="shared" si="2"/>
        <v>267.430903348554</v>
      </c>
      <c r="M27" s="28">
        <f>SUMIFS([1]日报透视!N:N,[1]日报透视!A:A,A27,[1]日报透视!B:B,B27)</f>
        <v>90.8499999999999</v>
      </c>
      <c r="N27" s="29">
        <f ca="1" t="shared" si="3"/>
        <v>86.6882633181133</v>
      </c>
      <c r="O27" s="33" t="str">
        <f>VLOOKUP(B27,[1]门店ID对应关系!J:K,2,0)</f>
        <v>自营</v>
      </c>
      <c r="P27" s="34"/>
      <c r="Q27" s="1" t="str">
        <f t="shared" si="4"/>
        <v>黄雁村店</v>
      </c>
      <c r="R27" s="1" t="str">
        <f>VLOOKUP(Q27,$B$4:$B$42,1,0)</f>
        <v>黄雁村店</v>
      </c>
      <c r="S27" s="6"/>
      <c r="T27" s="44">
        <f ca="1">VLOOKUP(B27,[1]房租水电人工成本!A:N,14,0)*V27*$W$1</f>
        <v>267.430903348554</v>
      </c>
      <c r="U27" s="45">
        <f>SUMIFS([1]饿了么推广费!W:W,[1]饿了么推广费!V:V,$U$1,[1]饿了么推广费!U:U,B27)</f>
        <v>90.85</v>
      </c>
      <c r="V27" s="1">
        <f>IFERROR(J27/SUMIF(B:B,B27,J:J),0.25)</f>
        <v>0.506849315068493</v>
      </c>
      <c r="W27" s="1">
        <f t="shared" si="5"/>
        <v>46.0472602739726</v>
      </c>
      <c r="XET27" s="7"/>
      <c r="XEU27" s="7"/>
      <c r="XEV27" s="7"/>
      <c r="XEW27" s="7"/>
      <c r="XEX27" s="7"/>
      <c r="XEY27" s="7"/>
      <c r="XEZ27" s="7"/>
      <c r="XFA27" s="7"/>
      <c r="XFB27" s="7"/>
      <c r="XFC27" s="7"/>
      <c r="XFD27" s="7"/>
    </row>
    <row r="28" s="1" customFormat="1" ht="16.5" spans="1:16384">
      <c r="A28" s="20" t="s">
        <v>19</v>
      </c>
      <c r="B28" s="21" t="s">
        <v>44</v>
      </c>
      <c r="C28" s="22">
        <f>SUMIFS([1]日报透视!E:E,[1]日报透视!A:A,A28,[1]日报透视!B:B,B28)</f>
        <v>430.07</v>
      </c>
      <c r="D28" s="19">
        <f>SUMIFS([1]日报透视!F:F,[1]日报透视!A:A,A28,[1]日报透视!B:B,B28)</f>
        <v>281.06</v>
      </c>
      <c r="E28" s="19">
        <f>SUMIFS([1]日报透视!G:G,[1]日报透视!A:A,A28,[1]日报透视!B:B,B28)-M28</f>
        <v>100.69</v>
      </c>
      <c r="F28" s="22">
        <f t="shared" si="0"/>
        <v>5.00689655172414</v>
      </c>
      <c r="G28" s="19">
        <f>SUMIFS([1]日报透视!I:I,[1]日报透视!A:A,A28,[1]日报透视!B:B,B28)</f>
        <v>145.2</v>
      </c>
      <c r="H28" s="19">
        <f>SUMIFS([1]日报透视!J:J,[1]日报透视!A:A,A28,[1]日报透视!B:B,B28)</f>
        <v>23.35</v>
      </c>
      <c r="I28" s="19">
        <f>SUMIFS([1]日报透视!K:K,[1]日报透视!A:A,A28,[1]日报透视!B:B,B28)</f>
        <v>63.961</v>
      </c>
      <c r="J28" s="19">
        <f>SUMIFS([1]日报透视!L:L,[1]日报透视!A:A,A28,[1]日报透视!B:B,B28)</f>
        <v>29</v>
      </c>
      <c r="K28" s="32">
        <f t="shared" si="1"/>
        <v>2.20555172413793</v>
      </c>
      <c r="L28" s="32">
        <f ca="1" t="shared" si="2"/>
        <v>165.607081659973</v>
      </c>
      <c r="M28" s="28">
        <f>SUMIFS([1]日报透视!N:N,[1]日报透视!A:A,A28,[1]日报透视!B:B,B28)</f>
        <v>48.32</v>
      </c>
      <c r="N28" s="29">
        <f ca="1" t="shared" si="3"/>
        <v>-64.9170816599733</v>
      </c>
      <c r="O28" s="33" t="str">
        <f>VLOOKUP(B28,[1]门店ID对应关系!J:K,2,0)</f>
        <v>自营</v>
      </c>
      <c r="P28" s="34"/>
      <c r="Q28" s="1" t="str">
        <f t="shared" si="4"/>
        <v>下沙店</v>
      </c>
      <c r="R28" s="1" t="str">
        <f>VLOOKUP(Q28,$B$4:$B$42,1,0)</f>
        <v>下沙店</v>
      </c>
      <c r="S28" s="6"/>
      <c r="T28" s="44">
        <f ca="1">VLOOKUP(B28,[1]房租水电人工成本!A:N,14,0)*V28*$W$1</f>
        <v>165.607081659973</v>
      </c>
      <c r="U28" s="45">
        <f>SUMIFS([1]饿了么推广费!W:W,[1]饿了么推广费!V:V,$U$1,[1]饿了么推广费!U:U,B28)</f>
        <v>48.32</v>
      </c>
      <c r="V28" s="1">
        <f>IFERROR(J28/SUMIF(B:B,B28,J:J),0.25)</f>
        <v>0.349397590361446</v>
      </c>
      <c r="W28" s="1">
        <f t="shared" si="5"/>
        <v>16.8828915662651</v>
      </c>
      <c r="XET28" s="7"/>
      <c r="XEU28" s="7"/>
      <c r="XEV28" s="7"/>
      <c r="XEW28" s="7"/>
      <c r="XEX28" s="7"/>
      <c r="XEY28" s="7"/>
      <c r="XEZ28" s="7"/>
      <c r="XFA28" s="7"/>
      <c r="XFB28" s="7"/>
      <c r="XFC28" s="7"/>
      <c r="XFD28" s="7"/>
    </row>
    <row r="29" s="1" customFormat="1" ht="16.5" spans="1:16384">
      <c r="A29" s="20" t="s">
        <v>19</v>
      </c>
      <c r="B29" s="21" t="s">
        <v>45</v>
      </c>
      <c r="C29" s="22">
        <f>SUMIFS([1]日报透视!E:E,[1]日报透视!A:A,A29,[1]日报透视!B:B,B29)</f>
        <v>25.82</v>
      </c>
      <c r="D29" s="19">
        <f>SUMIFS([1]日报透视!F:F,[1]日报透视!A:A,A29,[1]日报透视!B:B,B29)</f>
        <v>19.93</v>
      </c>
      <c r="E29" s="19">
        <f>SUMIFS([1]日报透视!G:G,[1]日报透视!A:A,A29,[1]日报透视!B:B,B29)-M29</f>
        <v>5.89</v>
      </c>
      <c r="F29" s="22">
        <f t="shared" si="0"/>
        <v>4.6</v>
      </c>
      <c r="G29" s="19">
        <f>SUMIFS([1]日报透视!I:I,[1]日报透视!A:A,A29,[1]日报透视!B:B,B29)</f>
        <v>13.8</v>
      </c>
      <c r="H29" s="19">
        <f>SUMIFS([1]日报透视!J:J,[1]日报透视!A:A,A29,[1]日报透视!B:B,B29)</f>
        <v>1.59</v>
      </c>
      <c r="I29" s="19">
        <f>SUMIFS([1]日报透视!K:K,[1]日报透视!A:A,A29,[1]日报透视!B:B,B29)</f>
        <v>6.952</v>
      </c>
      <c r="J29" s="19">
        <f>SUMIFS([1]日报透视!L:L,[1]日报透视!A:A,A29,[1]日报透视!B:B,B29)</f>
        <v>3</v>
      </c>
      <c r="K29" s="32">
        <f t="shared" si="1"/>
        <v>2.31733333333333</v>
      </c>
      <c r="L29" s="32">
        <f ca="1" t="shared" si="2"/>
        <v>18.5211556927298</v>
      </c>
      <c r="M29" s="28">
        <f>SUMIFS([1]日报透视!N:N,[1]日报透视!A:A,A29,[1]日报透视!B:B,B29)</f>
        <v>0</v>
      </c>
      <c r="N29" s="29">
        <f ca="1" t="shared" si="3"/>
        <v>-12.6311556927298</v>
      </c>
      <c r="O29" s="33" t="str">
        <f>VLOOKUP(B29,[1]门店ID对应关系!J:K,2,0)</f>
        <v>自营</v>
      </c>
      <c r="P29" s="34"/>
      <c r="Q29" s="1" t="str">
        <f t="shared" si="4"/>
        <v>华信店</v>
      </c>
      <c r="R29" s="1" t="str">
        <f>VLOOKUP(Q29,$B$4:$B$42,1,0)</f>
        <v>华信店</v>
      </c>
      <c r="S29" s="6"/>
      <c r="T29" s="44">
        <f ca="1">VLOOKUP(B29,[1]房租水电人工成本!A:N,14,0)*V29*$W$1</f>
        <v>18.5211556927298</v>
      </c>
      <c r="U29" s="45">
        <f>SUMIFS([1]饿了么推广费!W:W,[1]饿了么推广费!V:V,$U$1,[1]饿了么推广费!U:U,B29)</f>
        <v>0</v>
      </c>
      <c r="V29" s="1">
        <f>IFERROR(J29/SUMIF(B:B,B29,J:J),0.25)</f>
        <v>0.037037037037037</v>
      </c>
      <c r="W29" s="1">
        <f t="shared" si="5"/>
        <v>0</v>
      </c>
      <c r="XET29" s="7"/>
      <c r="XEU29" s="7"/>
      <c r="XEV29" s="7"/>
      <c r="XEW29" s="7"/>
      <c r="XEX29" s="7"/>
      <c r="XEY29" s="7"/>
      <c r="XEZ29" s="7"/>
      <c r="XFA29" s="7"/>
      <c r="XFB29" s="7"/>
      <c r="XFC29" s="7"/>
      <c r="XFD29" s="7"/>
    </row>
    <row r="30" s="1" customFormat="1" ht="16.5" spans="1:16384">
      <c r="A30" s="20" t="s">
        <v>19</v>
      </c>
      <c r="B30" s="21" t="s">
        <v>46</v>
      </c>
      <c r="C30" s="22">
        <f>SUMIFS([1]日报透视!E:E,[1]日报透视!A:A,A30,[1]日报透视!B:B,B30)</f>
        <v>508.97</v>
      </c>
      <c r="D30" s="19">
        <f>SUMIFS([1]日报透视!F:F,[1]日报透视!A:A,A30,[1]日报透视!B:B,B30)</f>
        <v>300.364333333333</v>
      </c>
      <c r="E30" s="19">
        <f>SUMIFS([1]日报透视!G:G,[1]日报透视!A:A,A30,[1]日报透视!B:B,B30)-M30</f>
        <v>121.865666666667</v>
      </c>
      <c r="F30" s="22">
        <f t="shared" si="0"/>
        <v>6.54448275862069</v>
      </c>
      <c r="G30" s="19">
        <f>SUMIFS([1]日报透视!I:I,[1]日报透视!A:A,A30,[1]日报透视!B:B,B30)</f>
        <v>189.79</v>
      </c>
      <c r="H30" s="19">
        <f>SUMIFS([1]日报透视!J:J,[1]日报透视!A:A,A30,[1]日报透视!B:B,B30)</f>
        <v>35.84</v>
      </c>
      <c r="I30" s="19">
        <f>SUMIFS([1]日报透视!K:K,[1]日报透视!A:A,A30,[1]日报透视!B:B,B30)</f>
        <v>89.929</v>
      </c>
      <c r="J30" s="19">
        <f>SUMIFS([1]日报透视!L:L,[1]日报透视!A:A,A30,[1]日报透视!B:B,B30)</f>
        <v>29</v>
      </c>
      <c r="K30" s="32">
        <f t="shared" si="1"/>
        <v>3.101</v>
      </c>
      <c r="L30" s="32">
        <f ca="1" t="shared" si="2"/>
        <v>128.889701242382</v>
      </c>
      <c r="M30" s="28">
        <f>SUMIFS([1]日报透视!N:N,[1]日报透视!A:A,A30,[1]日报透视!B:B,B30)</f>
        <v>43.9499999999999</v>
      </c>
      <c r="N30" s="29">
        <f ca="1" t="shared" si="3"/>
        <v>-7.0240345757145</v>
      </c>
      <c r="O30" s="33" t="str">
        <f>VLOOKUP(B30,[1]门店ID对应关系!J:K,2,0)</f>
        <v>自营</v>
      </c>
      <c r="P30" s="34"/>
      <c r="Q30" s="1" t="str">
        <f t="shared" si="4"/>
        <v>大坪店</v>
      </c>
      <c r="R30" s="1" t="str">
        <f>VLOOKUP(Q30,$B$4:$B$42,1,0)</f>
        <v>大坪店</v>
      </c>
      <c r="S30" s="6"/>
      <c r="T30" s="44">
        <f ca="1">VLOOKUP(B30,[1]房租水电人工成本!A:N,14,0)*V30*$W$1</f>
        <v>128.889701242382</v>
      </c>
      <c r="U30" s="45">
        <f>SUMIFS([1]饿了么推广费!W:W,[1]饿了么推广费!V:V,$U$1,[1]饿了么推广费!U:U,B30)</f>
        <v>43.95</v>
      </c>
      <c r="V30" s="1">
        <f>IFERROR(J30/SUMIF(B:B,B30,J:J),0.25)</f>
        <v>0.367088607594937</v>
      </c>
      <c r="W30" s="1">
        <f t="shared" si="5"/>
        <v>16.1335443037975</v>
      </c>
      <c r="XET30" s="7"/>
      <c r="XEU30" s="7"/>
      <c r="XEV30" s="7"/>
      <c r="XEW30" s="7"/>
      <c r="XEX30" s="7"/>
      <c r="XEY30" s="7"/>
      <c r="XEZ30" s="7"/>
      <c r="XFA30" s="7"/>
      <c r="XFB30" s="7"/>
      <c r="XFC30" s="7"/>
      <c r="XFD30" s="7"/>
    </row>
    <row r="31" s="1" customFormat="1" ht="16.5" spans="1:23">
      <c r="A31" s="20" t="s">
        <v>19</v>
      </c>
      <c r="B31" s="21" t="s">
        <v>47</v>
      </c>
      <c r="C31" s="22">
        <f>SUMIFS([1]日报透视!E:E,[1]日报透视!A:A,A31,[1]日报透视!B:B,B31)</f>
        <v>0</v>
      </c>
      <c r="D31" s="19">
        <f>SUMIFS([1]日报透视!F:F,[1]日报透视!A:A,A31,[1]日报透视!B:B,B31)</f>
        <v>0</v>
      </c>
      <c r="E31" s="19">
        <f>SUMIFS([1]日报透视!G:G,[1]日报透视!A:A,A31,[1]日报透视!B:B,B31)-M31</f>
        <v>0</v>
      </c>
      <c r="F31" s="22">
        <f t="shared" si="0"/>
        <v>0</v>
      </c>
      <c r="G31" s="19">
        <f>SUMIFS([1]日报透视!I:I,[1]日报透视!A:A,A31,[1]日报透视!B:B,B31)</f>
        <v>0</v>
      </c>
      <c r="H31" s="19">
        <f>SUMIFS([1]日报透视!J:J,[1]日报透视!A:A,A31,[1]日报透视!B:B,B31)</f>
        <v>0</v>
      </c>
      <c r="I31" s="19">
        <f>SUMIFS([1]日报透视!K:K,[1]日报透视!A:A,A31,[1]日报透视!B:B,B31)</f>
        <v>0</v>
      </c>
      <c r="J31" s="19">
        <f>SUMIFS([1]日报透视!L:L,[1]日报透视!A:A,A31,[1]日报透视!B:B,B31)</f>
        <v>0</v>
      </c>
      <c r="K31" s="32">
        <f t="shared" si="1"/>
        <v>0</v>
      </c>
      <c r="L31" s="32">
        <f ca="1" t="shared" si="2"/>
        <v>0</v>
      </c>
      <c r="M31" s="28">
        <f>SUMIFS([1]日报透视!N:N,[1]日报透视!A:A,A31,[1]日报透视!B:B,B31)</f>
        <v>0</v>
      </c>
      <c r="N31" s="29">
        <f ca="1" t="shared" si="3"/>
        <v>0</v>
      </c>
      <c r="O31" s="33" t="str">
        <f>VLOOKUP(B31,[1]门店ID对应关系!J:K,2,0)</f>
        <v>自营</v>
      </c>
      <c r="P31" s="34"/>
      <c r="Q31" s="1" t="str">
        <f t="shared" si="4"/>
        <v>槐荫店</v>
      </c>
      <c r="R31" s="1" t="str">
        <f>VLOOKUP(Q31,$B$4:$B$42,1,0)</f>
        <v>槐荫店</v>
      </c>
      <c r="S31" s="6"/>
      <c r="T31" s="44">
        <f ca="1">VLOOKUP(B31,[1]房租水电人工成本!A:N,14,0)*V31*$W$1</f>
        <v>0</v>
      </c>
      <c r="U31" s="45">
        <f>SUMIFS([1]饿了么推广费!W:W,[1]饿了么推广费!V:V,$U$1,[1]饿了么推广费!U:U,B31)</f>
        <v>0</v>
      </c>
      <c r="V31" s="1">
        <f>IFERROR(J31/SUMIF(B:B,B31,J:J),0.25)</f>
        <v>0</v>
      </c>
      <c r="W31" s="1">
        <f t="shared" si="5"/>
        <v>0</v>
      </c>
    </row>
    <row r="32" s="1" customFormat="1" ht="16.5" spans="1:23">
      <c r="A32" s="20" t="s">
        <v>19</v>
      </c>
      <c r="B32" s="21" t="s">
        <v>48</v>
      </c>
      <c r="C32" s="22">
        <f>SUMIFS([1]日报透视!E:E,[1]日报透视!A:A,A32,[1]日报透视!B:B,B32)</f>
        <v>279.65</v>
      </c>
      <c r="D32" s="19">
        <f>SUMIFS([1]日报透视!F:F,[1]日报透视!A:A,A32,[1]日报透视!B:B,B32)</f>
        <v>193.68</v>
      </c>
      <c r="E32" s="19">
        <f>SUMIFS([1]日报透视!G:G,[1]日报透视!A:A,A32,[1]日报透视!B:B,B32)-M32</f>
        <v>73.91</v>
      </c>
      <c r="F32" s="22">
        <f t="shared" si="0"/>
        <v>5.66666666666667</v>
      </c>
      <c r="G32" s="19">
        <f>SUMIFS([1]日报透视!I:I,[1]日报透视!A:A,A32,[1]日报透视!B:B,B32)</f>
        <v>34</v>
      </c>
      <c r="H32" s="19">
        <f>SUMIFS([1]日报透视!J:J,[1]日报透视!A:A,A32,[1]日报透视!B:B,B32)</f>
        <v>12.99</v>
      </c>
      <c r="I32" s="19">
        <f>SUMIFS([1]日报透视!K:K,[1]日报透视!A:A,A32,[1]日报透视!B:B,B32)</f>
        <v>30.106</v>
      </c>
      <c r="J32" s="19">
        <f>SUMIFS([1]日报透视!L:L,[1]日报透视!A:A,A32,[1]日报透视!B:B,B32)</f>
        <v>6</v>
      </c>
      <c r="K32" s="32">
        <f t="shared" si="1"/>
        <v>5.01766666666667</v>
      </c>
      <c r="L32" s="32">
        <f ca="1" t="shared" si="2"/>
        <v>73.7359379227054</v>
      </c>
      <c r="M32" s="28">
        <f>SUMIFS([1]日报透视!N:N,[1]日报透视!A:A,A32,[1]日报透视!B:B,B32)</f>
        <v>12.06</v>
      </c>
      <c r="N32" s="29">
        <f ca="1" t="shared" si="3"/>
        <v>0.174062077294607</v>
      </c>
      <c r="O32" s="33" t="str">
        <f>VLOOKUP(B32,[1]门店ID对应关系!J:K,2,0)</f>
        <v>自营</v>
      </c>
      <c r="P32" s="34"/>
      <c r="Q32" s="1" t="str">
        <f t="shared" si="4"/>
        <v>西山店</v>
      </c>
      <c r="R32" s="1" t="str">
        <f>VLOOKUP(Q32,$B$4:$B$42,1,0)</f>
        <v>西山店</v>
      </c>
      <c r="S32" s="6"/>
      <c r="T32" s="44">
        <f ca="1">VLOOKUP(B32,[1]房租水电人工成本!A:N,14,0)*V32*$W$1</f>
        <v>73.7359379227054</v>
      </c>
      <c r="U32" s="45">
        <f>SUMIFS([1]饿了么推广费!W:W,[1]饿了么推广费!V:V,$U$1,[1]饿了么推广费!U:U,B32)</f>
        <v>12.06</v>
      </c>
      <c r="V32" s="1">
        <f>IFERROR(J32/SUMIF(B:B,B32,J:J),0.25)</f>
        <v>0.130434782608696</v>
      </c>
      <c r="W32" s="1">
        <f t="shared" si="5"/>
        <v>1.57304347826087</v>
      </c>
    </row>
    <row r="33" s="4" customFormat="1" ht="16.5" spans="1:23">
      <c r="A33" s="20" t="s">
        <v>19</v>
      </c>
      <c r="B33" s="21" t="s">
        <v>49</v>
      </c>
      <c r="C33" s="22">
        <f>SUMIFS([1]日报透视!E:E,[1]日报透视!A:A,A33,[1]日报透视!B:B,B33)</f>
        <v>135.97</v>
      </c>
      <c r="D33" s="19">
        <f>SUMIFS([1]日报透视!F:F,[1]日报透视!A:A,A33,[1]日报透视!B:B,B33)</f>
        <v>100.179</v>
      </c>
      <c r="E33" s="19">
        <f>SUMIFS([1]日报透视!G:G,[1]日报透视!A:A,A33,[1]日报透视!B:B,B33)-M33</f>
        <v>29.391</v>
      </c>
      <c r="F33" s="22">
        <f t="shared" si="0"/>
        <v>6.86666666666668</v>
      </c>
      <c r="G33" s="19">
        <f>SUMIFS([1]日报透视!I:I,[1]日报透视!A:A,A33,[1]日报透视!B:B,B33)</f>
        <v>41.2000000000001</v>
      </c>
      <c r="H33" s="19">
        <f>SUMIFS([1]日报透视!J:J,[1]日报透视!A:A,A33,[1]日报透视!B:B,B33)</f>
        <v>7.08</v>
      </c>
      <c r="I33" s="19">
        <f>SUMIFS([1]日报透视!K:K,[1]日报透视!A:A,A33,[1]日报透视!B:B,B33)</f>
        <v>0</v>
      </c>
      <c r="J33" s="19">
        <f>SUMIFS([1]日报透视!L:L,[1]日报透视!A:A,A33,[1]日报透视!B:B,B33)</f>
        <v>6</v>
      </c>
      <c r="K33" s="32">
        <f t="shared" si="1"/>
        <v>0</v>
      </c>
      <c r="L33" s="32">
        <f ca="1" t="shared" si="2"/>
        <v>150</v>
      </c>
      <c r="M33" s="28">
        <f>SUMIFS([1]日报透视!N:N,[1]日报透视!A:A,A33,[1]日报透视!B:B,B33)</f>
        <v>6.4</v>
      </c>
      <c r="N33" s="29">
        <f ca="1" t="shared" si="3"/>
        <v>-120.609</v>
      </c>
      <c r="O33" s="33" t="str">
        <f>VLOOKUP(B33,[1]门店ID对应关系!J:K,2,0)</f>
        <v>加盟</v>
      </c>
      <c r="P33" s="34"/>
      <c r="Q33" s="1" t="str">
        <f t="shared" si="4"/>
        <v>文灶店</v>
      </c>
      <c r="R33" s="1" t="str">
        <f>VLOOKUP(Q33,$B$4:$B$42,1,0)</f>
        <v>文灶店</v>
      </c>
      <c r="S33" s="6"/>
      <c r="T33" s="44">
        <f ca="1">VLOOKUP(B33,[1]房租水电人工成本!A:N,14,0)*V33*$W$1</f>
        <v>150</v>
      </c>
      <c r="U33" s="45">
        <f>SUMIFS([1]饿了么推广费!W:W,[1]饿了么推广费!V:V,$U$1,[1]饿了么推广费!U:U,B33)</f>
        <v>6.4</v>
      </c>
      <c r="V33" s="1">
        <f>IFERROR(J33/SUMIF(B:B,B33,J:J),0.25)</f>
        <v>0.25</v>
      </c>
      <c r="W33" s="1">
        <f t="shared" si="5"/>
        <v>1.6</v>
      </c>
    </row>
    <row r="34" s="1" customFormat="1" ht="16.5" spans="1:16384">
      <c r="A34" s="20" t="s">
        <v>19</v>
      </c>
      <c r="B34" s="21" t="s">
        <v>50</v>
      </c>
      <c r="C34" s="22">
        <f>SUMIFS([1]日报透视!E:E,[1]日报透视!A:A,A34,[1]日报透视!B:B,B34)</f>
        <v>230.38</v>
      </c>
      <c r="D34" s="19">
        <f>SUMIFS([1]日报透视!F:F,[1]日报透视!A:A,A34,[1]日报透视!B:B,B34)</f>
        <v>120.16</v>
      </c>
      <c r="E34" s="19">
        <f>SUMIFS([1]日报透视!G:G,[1]日报透视!A:A,A34,[1]日报透视!B:B,B34)-M34</f>
        <v>89.39</v>
      </c>
      <c r="F34" s="22">
        <f t="shared" si="0"/>
        <v>5.33333333333333</v>
      </c>
      <c r="G34" s="19">
        <f>SUMIFS([1]日报透视!I:I,[1]日报透视!A:A,A34,[1]日报透视!B:B,B34)</f>
        <v>80</v>
      </c>
      <c r="H34" s="19">
        <f>SUMIFS([1]日报透视!J:J,[1]日报透视!A:A,A34,[1]日报透视!B:B,B34)</f>
        <v>17.65</v>
      </c>
      <c r="I34" s="19">
        <f>SUMIFS([1]日报透视!K:K,[1]日报透视!A:A,A34,[1]日报透视!B:B,B34)</f>
        <v>54.484</v>
      </c>
      <c r="J34" s="19">
        <f>SUMIFS([1]日报透视!L:L,[1]日报透视!A:A,A34,[1]日报透视!B:B,B34)</f>
        <v>15</v>
      </c>
      <c r="K34" s="32">
        <f t="shared" si="1"/>
        <v>3.63226666666667</v>
      </c>
      <c r="L34" s="32">
        <f ca="1" t="shared" si="2"/>
        <v>65.6934306569343</v>
      </c>
      <c r="M34" s="28">
        <f>SUMIFS([1]日报透视!N:N,[1]日报透视!A:A,A34,[1]日报透视!B:B,B34)</f>
        <v>20.83</v>
      </c>
      <c r="N34" s="29">
        <f ca="1" t="shared" si="3"/>
        <v>23.6965693430657</v>
      </c>
      <c r="O34" s="33" t="str">
        <f>VLOOKUP(B34,[1]门店ID对应关系!J:K,2,0)</f>
        <v>加盟</v>
      </c>
      <c r="P34" s="34"/>
      <c r="Q34" s="1" t="str">
        <f t="shared" si="4"/>
        <v>海口店</v>
      </c>
      <c r="R34" s="1" t="str">
        <f>VLOOKUP(Q34,$B$4:$B$42,1,0)</f>
        <v>海口店</v>
      </c>
      <c r="S34" s="6"/>
      <c r="T34" s="44">
        <f ca="1">VLOOKUP(B34,[1]房租水电人工成本!A:N,14,0)*V34*$W$1</f>
        <v>65.6934306569343</v>
      </c>
      <c r="U34" s="45">
        <f>SUMIFS([1]饿了么推广费!W:W,[1]饿了么推广费!V:V,$U$1,[1]饿了么推广费!U:U,B34)</f>
        <v>20.83</v>
      </c>
      <c r="V34" s="1">
        <f>IFERROR(J34/SUMIF(B:B,B34,J:J),0.25)</f>
        <v>0.109489051094891</v>
      </c>
      <c r="W34" s="1">
        <f t="shared" si="5"/>
        <v>2.28065693430657</v>
      </c>
      <c r="XES34" s="7"/>
      <c r="XET34" s="7"/>
      <c r="XEU34" s="7"/>
      <c r="XEV34" s="7"/>
      <c r="XEW34" s="7"/>
      <c r="XEX34" s="7"/>
      <c r="XEY34" s="7"/>
      <c r="XEZ34" s="7"/>
      <c r="XFA34" s="7"/>
      <c r="XFB34" s="7"/>
      <c r="XFC34" s="7"/>
      <c r="XFD34" s="7"/>
    </row>
    <row r="35" s="1" customFormat="1" ht="16.5" spans="1:16384">
      <c r="A35" s="20" t="s">
        <v>19</v>
      </c>
      <c r="B35" s="21" t="s">
        <v>51</v>
      </c>
      <c r="C35" s="22">
        <f>SUMIFS([1]日报透视!E:E,[1]日报透视!A:A,A35,[1]日报透视!B:B,B35)</f>
        <v>444.34</v>
      </c>
      <c r="D35" s="19">
        <f>SUMIFS([1]日报透视!F:F,[1]日报透视!A:A,A35,[1]日报透视!B:B,B35)</f>
        <v>268.234571428572</v>
      </c>
      <c r="E35" s="19">
        <f>SUMIFS([1]日报透视!G:G,[1]日报透视!A:A,A35,[1]日报透视!B:B,B35)-M35</f>
        <v>130.285428571429</v>
      </c>
      <c r="F35" s="22">
        <f t="shared" si="0"/>
        <v>6.2771875</v>
      </c>
      <c r="G35" s="19">
        <f>SUMIFS([1]日报透视!I:I,[1]日报透视!A:A,A35,[1]日报透视!B:B,B35)</f>
        <v>200.87</v>
      </c>
      <c r="H35" s="19">
        <f>SUMIFS([1]日报透视!J:J,[1]日报透视!A:A,A35,[1]日报透视!B:B,B35)</f>
        <v>26.29</v>
      </c>
      <c r="I35" s="19">
        <f>SUMIFS([1]日报透视!K:K,[1]日报透视!A:A,A35,[1]日报透视!B:B,B35)</f>
        <v>98.7349999999999</v>
      </c>
      <c r="J35" s="19">
        <f>SUMIFS([1]日报透视!L:L,[1]日报透视!A:A,A35,[1]日报透视!B:B,B35)</f>
        <v>32</v>
      </c>
      <c r="K35" s="32">
        <f t="shared" si="1"/>
        <v>3.08546875</v>
      </c>
      <c r="L35" s="32">
        <f ca="1" t="shared" si="2"/>
        <v>189.893489711934</v>
      </c>
      <c r="M35" s="28">
        <f>SUMIFS([1]日报透视!N:N,[1]日报透视!A:A,A35,[1]日报透视!B:B,B35)</f>
        <v>31.25</v>
      </c>
      <c r="N35" s="29">
        <f ca="1" t="shared" si="3"/>
        <v>-59.6080611405052</v>
      </c>
      <c r="O35" s="33" t="str">
        <f>VLOOKUP(B35,[1]门店ID对应关系!J:K,2,0)</f>
        <v>自营</v>
      </c>
      <c r="P35" s="34"/>
      <c r="Q35" s="1" t="str">
        <f t="shared" si="4"/>
        <v>沙坪坝店</v>
      </c>
      <c r="R35" s="1" t="str">
        <f>VLOOKUP(Q35,$B$4:$B$42,1,0)</f>
        <v>沙坪坝店</v>
      </c>
      <c r="S35" s="6"/>
      <c r="T35" s="44">
        <f ca="1">VLOOKUP(B35,[1]房租水电人工成本!A:N,14,0)*V35*$W$1</f>
        <v>189.893489711934</v>
      </c>
      <c r="U35" s="45">
        <f>SUMIFS([1]饿了么推广费!W:W,[1]饿了么推广费!V:V,$U$1,[1]饿了么推广费!U:U,B35)</f>
        <v>31.25</v>
      </c>
      <c r="V35" s="1">
        <f>IFERROR(J35/SUMIF(B:B,B35,J:J),0.25)</f>
        <v>0.444444444444444</v>
      </c>
      <c r="W35" s="1">
        <f t="shared" si="5"/>
        <v>13.8888888888889</v>
      </c>
      <c r="XES35" s="7"/>
      <c r="XET35" s="7"/>
      <c r="XEU35" s="7"/>
      <c r="XEV35" s="7"/>
      <c r="XEW35" s="7"/>
      <c r="XEX35" s="7"/>
      <c r="XEY35" s="7"/>
      <c r="XEZ35" s="7"/>
      <c r="XFA35" s="7"/>
      <c r="XFB35" s="7"/>
      <c r="XFC35" s="7"/>
      <c r="XFD35" s="7"/>
    </row>
    <row r="36" s="1" customFormat="1" ht="16.5" spans="1:16384">
      <c r="A36" s="20" t="s">
        <v>19</v>
      </c>
      <c r="B36" s="21" t="s">
        <v>52</v>
      </c>
      <c r="C36" s="22">
        <f>SUMIFS([1]日报透视!E:E,[1]日报透视!A:A,A36,[1]日报透视!B:B,B36)</f>
        <v>74.3</v>
      </c>
      <c r="D36" s="19">
        <f>SUMIFS([1]日报透视!F:F,[1]日报透视!A:A,A36,[1]日报透视!B:B,B36)</f>
        <v>59.92</v>
      </c>
      <c r="E36" s="19">
        <f>SUMIFS([1]日报透视!G:G,[1]日报透视!A:A,A36,[1]日报透视!B:B,B36)-M36</f>
        <v>6.24</v>
      </c>
      <c r="F36" s="22">
        <f t="shared" si="0"/>
        <v>8.91428571428571</v>
      </c>
      <c r="G36" s="19">
        <f>SUMIFS([1]日报透视!I:I,[1]日报透视!A:A,A36,[1]日报透视!B:B,B36)</f>
        <v>62.4</v>
      </c>
      <c r="H36" s="19">
        <f>SUMIFS([1]日报透视!J:J,[1]日报透视!A:A,A36,[1]日报透视!B:B,B36)</f>
        <v>4</v>
      </c>
      <c r="I36" s="19">
        <f>SUMIFS([1]日报透视!K:K,[1]日报透视!A:A,A36,[1]日报透视!B:B,B36)</f>
        <v>15.837</v>
      </c>
      <c r="J36" s="19">
        <f>SUMIFS([1]日报透视!L:L,[1]日报透视!A:A,A36,[1]日报透视!B:B,B36)</f>
        <v>7</v>
      </c>
      <c r="K36" s="32">
        <f t="shared" si="1"/>
        <v>2.26242857142857</v>
      </c>
      <c r="L36" s="32">
        <f ca="1" t="shared" si="2"/>
        <v>56.087818044789</v>
      </c>
      <c r="M36" s="28">
        <f>SUMIFS([1]日报透视!N:N,[1]日报透视!A:A,A36,[1]日报透视!B:B,B36)</f>
        <v>8.14</v>
      </c>
      <c r="N36" s="29">
        <f ca="1" t="shared" si="3"/>
        <v>-49.847818044789</v>
      </c>
      <c r="O36" s="33" t="str">
        <f>VLOOKUP(B36,[1]门店ID对应关系!J:K,2,0)</f>
        <v>自营</v>
      </c>
      <c r="P36" s="34"/>
      <c r="Q36" s="1" t="str">
        <f t="shared" si="4"/>
        <v>文昌店</v>
      </c>
      <c r="R36" s="1" t="str">
        <f>VLOOKUP(Q36,$B$4:$B$42,1,0)</f>
        <v>文昌店</v>
      </c>
      <c r="S36" s="6"/>
      <c r="T36" s="44">
        <f ca="1">VLOOKUP(B36,[1]房租水电人工成本!A:N,14,0)*V36*$W$1</f>
        <v>56.087818044789</v>
      </c>
      <c r="U36" s="45">
        <f>SUMIFS([1]饿了么推广费!W:W,[1]饿了么推广费!V:V,$U$1,[1]饿了么推广费!U:U,B36)</f>
        <v>8.14</v>
      </c>
      <c r="V36" s="1">
        <f>IFERROR(J36/SUMIF(B:B,B36,J:J),0.25)</f>
        <v>0.162790697674419</v>
      </c>
      <c r="W36" s="1">
        <f t="shared" si="5"/>
        <v>1.32511627906977</v>
      </c>
      <c r="XES36" s="7"/>
      <c r="XET36" s="7"/>
      <c r="XEU36" s="7"/>
      <c r="XEV36" s="7"/>
      <c r="XEW36" s="7"/>
      <c r="XEX36" s="7"/>
      <c r="XEY36" s="7"/>
      <c r="XEZ36" s="7"/>
      <c r="XFA36" s="7"/>
      <c r="XFB36" s="7"/>
      <c r="XFC36" s="7"/>
      <c r="XFD36" s="7"/>
    </row>
    <row r="37" s="1" customFormat="1" ht="16.5" spans="1:16384">
      <c r="A37" s="20" t="s">
        <v>19</v>
      </c>
      <c r="B37" s="21" t="s">
        <v>53</v>
      </c>
      <c r="C37" s="22">
        <f>SUMIFS([1]日报透视!E:E,[1]日报透视!A:A,A37,[1]日报透视!B:B,B37)</f>
        <v>282.97</v>
      </c>
      <c r="D37" s="19">
        <f>SUMIFS([1]日报透视!F:F,[1]日报透视!A:A,A37,[1]日报透视!B:B,B37)</f>
        <v>141.892428571429</v>
      </c>
      <c r="E37" s="19">
        <f>SUMIFS([1]日报透视!G:G,[1]日报透视!A:A,A37,[1]日报透视!B:B,B37)-M37</f>
        <v>117.777571428571</v>
      </c>
      <c r="F37" s="22">
        <f t="shared" si="0"/>
        <v>4.32777777777778</v>
      </c>
      <c r="G37" s="19">
        <f>SUMIFS([1]日报透视!I:I,[1]日报透视!A:A,A37,[1]日报透视!B:B,B37)</f>
        <v>77.9</v>
      </c>
      <c r="H37" s="19">
        <f>SUMIFS([1]日报透视!J:J,[1]日报透视!A:A,A37,[1]日报透视!B:B,B37)</f>
        <v>14.43</v>
      </c>
      <c r="I37" s="19">
        <f>SUMIFS([1]日报透视!K:K,[1]日报透视!A:A,A37,[1]日报透视!B:B,B37)</f>
        <v>61.787</v>
      </c>
      <c r="J37" s="19">
        <f>SUMIFS([1]日报透视!L:L,[1]日报透视!A:A,A37,[1]日报透视!B:B,B37)</f>
        <v>18</v>
      </c>
      <c r="K37" s="32">
        <f t="shared" si="1"/>
        <v>3.43261111111111</v>
      </c>
      <c r="L37" s="32">
        <f ca="1" t="shared" si="2"/>
        <v>111.362746666667</v>
      </c>
      <c r="M37" s="28">
        <f>SUMIFS([1]日报透视!N:N,[1]日报透视!A:A,A37,[1]日报透视!B:B,B37)</f>
        <v>23.3</v>
      </c>
      <c r="N37" s="29">
        <f ca="1" t="shared" si="3"/>
        <v>6.41482476190444</v>
      </c>
      <c r="O37" s="33" t="str">
        <f>VLOOKUP(B37,[1]门店ID对应关系!J:K,2,0)</f>
        <v>自营</v>
      </c>
      <c r="P37" s="34"/>
      <c r="Q37" s="1" t="str">
        <f t="shared" si="4"/>
        <v>成华店</v>
      </c>
      <c r="R37" s="1" t="str">
        <f>VLOOKUP(Q37,$B$4:$B$42,1,0)</f>
        <v>成华店</v>
      </c>
      <c r="S37" s="6"/>
      <c r="T37" s="44">
        <f ca="1">VLOOKUP(B37,[1]房租水电人工成本!A:N,14,0)*V37*$W$1</f>
        <v>111.362746666667</v>
      </c>
      <c r="U37" s="45">
        <f>SUMIFS([1]饿了么推广费!W:W,[1]饿了么推广费!V:V,$U$1,[1]饿了么推广费!U:U,B37)</f>
        <v>23.3</v>
      </c>
      <c r="V37" s="1">
        <f>IFERROR(J37/SUMIF(B:B,B37,J:J),0.25)</f>
        <v>0.24</v>
      </c>
      <c r="W37" s="1">
        <f t="shared" si="5"/>
        <v>5.592</v>
      </c>
      <c r="XES37" s="7"/>
      <c r="XET37" s="7"/>
      <c r="XEU37" s="7"/>
      <c r="XEV37" s="7"/>
      <c r="XEW37" s="7"/>
      <c r="XEX37" s="7"/>
      <c r="XEY37" s="7"/>
      <c r="XEZ37" s="7"/>
      <c r="XFA37" s="7"/>
      <c r="XFB37" s="7"/>
      <c r="XFC37" s="7"/>
      <c r="XFD37" s="7"/>
    </row>
    <row r="38" s="1" customFormat="1" ht="16.5" spans="1:16384">
      <c r="A38" s="20" t="s">
        <v>19</v>
      </c>
      <c r="B38" s="21" t="s">
        <v>54</v>
      </c>
      <c r="C38" s="22">
        <f>SUMIFS([1]日报透视!E:E,[1]日报透视!A:A,A38,[1]日报透视!B:B,B38)</f>
        <v>970.2</v>
      </c>
      <c r="D38" s="19">
        <f>SUMIFS([1]日报透视!F:F,[1]日报透视!A:A,A38,[1]日报透视!B:B,B38)</f>
        <v>600.793904761905</v>
      </c>
      <c r="E38" s="19">
        <f>SUMIFS([1]日报透视!G:G,[1]日报透视!A:A,A38,[1]日报透视!B:B,B38)-M38</f>
        <v>282.156095238095</v>
      </c>
      <c r="F38" s="22">
        <f t="shared" si="0"/>
        <v>5.86034482758621</v>
      </c>
      <c r="G38" s="19">
        <f>SUMIFS([1]日报透视!I:I,[1]日报透视!A:A,A38,[1]日报透视!B:B,B38)</f>
        <v>339.9</v>
      </c>
      <c r="H38" s="19">
        <f>SUMIFS([1]日报透视!J:J,[1]日报透视!A:A,A38,[1]日报透视!B:B,B38)</f>
        <v>70.64</v>
      </c>
      <c r="I38" s="19">
        <f>SUMIFS([1]日报透视!K:K,[1]日报透视!A:A,A38,[1]日报透视!B:B,B38)</f>
        <v>248.882</v>
      </c>
      <c r="J38" s="19">
        <f>SUMIFS([1]日报透视!L:L,[1]日报透视!A:A,A38,[1]日报透视!B:B,B38)</f>
        <v>58</v>
      </c>
      <c r="K38" s="32">
        <f t="shared" si="1"/>
        <v>4.29106896551724</v>
      </c>
      <c r="L38" s="32">
        <f ca="1" t="shared" si="2"/>
        <v>253.070922552004</v>
      </c>
      <c r="M38" s="28">
        <f>SUMIFS([1]日报透视!N:N,[1]日报透视!A:A,A38,[1]日报透视!B:B,B38)</f>
        <v>87.2499999999999</v>
      </c>
      <c r="N38" s="29">
        <f ca="1" t="shared" si="3"/>
        <v>29.0851726860912</v>
      </c>
      <c r="O38" s="33" t="str">
        <f>VLOOKUP(B38,[1]门店ID对应关系!J:K,2,0)</f>
        <v>自营</v>
      </c>
      <c r="P38" s="34"/>
      <c r="Q38" s="1" t="str">
        <f t="shared" si="4"/>
        <v>凤城二路店</v>
      </c>
      <c r="R38" s="1" t="str">
        <f>VLOOKUP(Q38,$B$4:$B$42,1,0)</f>
        <v>凤城二路店</v>
      </c>
      <c r="S38" s="6"/>
      <c r="T38" s="44">
        <f ca="1">VLOOKUP(B38,[1]房租水电人工成本!A:N,14,0)*V38*$W$1</f>
        <v>253.070922552004</v>
      </c>
      <c r="U38" s="45">
        <f>SUMIFS([1]饿了么推广费!W:W,[1]饿了么推广费!V:V,$U$1,[1]饿了么推广费!U:U,B38)</f>
        <v>87.25</v>
      </c>
      <c r="V38" s="1">
        <f>IFERROR(J38/SUMIF(B:B,B38,J:J),0.25)</f>
        <v>0.397260273972603</v>
      </c>
      <c r="W38" s="1">
        <f t="shared" si="5"/>
        <v>34.6609589041096</v>
      </c>
      <c r="XES38" s="7"/>
      <c r="XET38" s="7"/>
      <c r="XEU38" s="7"/>
      <c r="XEV38" s="7"/>
      <c r="XEW38" s="7"/>
      <c r="XEX38" s="7"/>
      <c r="XEY38" s="7"/>
      <c r="XEZ38" s="7"/>
      <c r="XFA38" s="7"/>
      <c r="XFB38" s="7"/>
      <c r="XFC38" s="7"/>
      <c r="XFD38" s="7"/>
    </row>
    <row r="39" s="1" customFormat="1" ht="16.5" spans="1:16384">
      <c r="A39" s="20" t="s">
        <v>19</v>
      </c>
      <c r="B39" s="21" t="s">
        <v>55</v>
      </c>
      <c r="C39" s="22">
        <f>SUMIFS([1]日报透视!E:E,[1]日报透视!A:A,A39,[1]日报透视!B:B,B39)</f>
        <v>305.84</v>
      </c>
      <c r="D39" s="19">
        <f>SUMIFS([1]日报透视!F:F,[1]日报透视!A:A,A39,[1]日报透视!B:B,B39)</f>
        <v>156.778333333333</v>
      </c>
      <c r="E39" s="19">
        <f>SUMIFS([1]日报透视!G:G,[1]日报透视!A:A,A39,[1]日报透视!B:B,B39)-M39</f>
        <v>124.181666666667</v>
      </c>
      <c r="F39" s="22">
        <f t="shared" si="0"/>
        <v>5.00833333333333</v>
      </c>
      <c r="G39" s="19">
        <f>SUMIFS([1]日报透视!I:I,[1]日报透视!A:A,A39,[1]日报透视!B:B,B39)</f>
        <v>120.2</v>
      </c>
      <c r="H39" s="19">
        <f>SUMIFS([1]日报透视!J:J,[1]日报透视!A:A,A39,[1]日报透视!B:B,B39)</f>
        <v>17.05</v>
      </c>
      <c r="I39" s="19">
        <f>SUMIFS([1]日报透视!K:K,[1]日报透视!A:A,A39,[1]日报透视!B:B,B39)</f>
        <v>66.434</v>
      </c>
      <c r="J39" s="19">
        <f>SUMIFS([1]日报透视!L:L,[1]日报透视!A:A,A39,[1]日报透视!B:B,B39)</f>
        <v>24</v>
      </c>
      <c r="K39" s="32">
        <f t="shared" si="1"/>
        <v>2.76808333333333</v>
      </c>
      <c r="L39" s="32">
        <f ca="1" t="shared" si="2"/>
        <v>181.128024550264</v>
      </c>
      <c r="M39" s="28">
        <f>SUMIFS([1]日报透视!N:N,[1]日报透视!A:A,A39,[1]日报透视!B:B,B39)</f>
        <v>24.88</v>
      </c>
      <c r="N39" s="29">
        <f ca="1" t="shared" si="3"/>
        <v>-56.9463578835974</v>
      </c>
      <c r="O39" s="33" t="str">
        <f>VLOOKUP(B39,[1]门店ID对应关系!J:K,2,0)</f>
        <v>自营</v>
      </c>
      <c r="P39" s="34"/>
      <c r="Q39" s="1" t="str">
        <f t="shared" si="4"/>
        <v>青羊店</v>
      </c>
      <c r="R39" s="1" t="str">
        <f>VLOOKUP(Q39,$B$4:$B$42,1,0)</f>
        <v>青羊店</v>
      </c>
      <c r="S39" s="6"/>
      <c r="T39" s="44">
        <f ca="1">VLOOKUP(B39,[1]房租水电人工成本!A:N,14,0)*V39*$W$1</f>
        <v>181.128024550264</v>
      </c>
      <c r="U39" s="45">
        <f>SUMIFS([1]饿了么推广费!W:W,[1]饿了么推广费!V:V,$U$1,[1]饿了么推广费!U:U,B39)</f>
        <v>24.88</v>
      </c>
      <c r="V39" s="1">
        <f>IFERROR(J39/SUMIF(B:B,B39,J:J),0.25)</f>
        <v>0.380952380952381</v>
      </c>
      <c r="W39" s="1">
        <f t="shared" si="5"/>
        <v>9.47809523809524</v>
      </c>
      <c r="XES39" s="7"/>
      <c r="XET39" s="7"/>
      <c r="XEU39" s="7"/>
      <c r="XEV39" s="7"/>
      <c r="XEW39" s="7"/>
      <c r="XEX39" s="7"/>
      <c r="XEY39" s="7"/>
      <c r="XEZ39" s="7"/>
      <c r="XFA39" s="7"/>
      <c r="XFB39" s="7"/>
      <c r="XFC39" s="7"/>
      <c r="XFD39" s="7"/>
    </row>
    <row r="40" s="1" customFormat="1" ht="16.5" spans="1:16384">
      <c r="A40" s="20" t="s">
        <v>19</v>
      </c>
      <c r="B40" s="21" t="s">
        <v>56</v>
      </c>
      <c r="C40" s="22">
        <f>SUMIFS([1]日报透视!E:E,[1]日报透视!A:A,A40,[1]日报透视!B:B,B40)</f>
        <v>887.69</v>
      </c>
      <c r="D40" s="19">
        <f>SUMIFS([1]日报透视!F:F,[1]日报透视!A:A,A40,[1]日报透视!B:B,B40)</f>
        <v>600.936</v>
      </c>
      <c r="E40" s="19">
        <f>SUMIFS([1]日报透视!G:G,[1]日报透视!A:A,A40,[1]日报透视!B:B,B40)-M40</f>
        <v>204.884</v>
      </c>
      <c r="F40" s="22">
        <f t="shared" si="0"/>
        <v>8.36734693877551</v>
      </c>
      <c r="G40" s="19">
        <f>SUMIFS([1]日报透视!I:I,[1]日报透视!A:A,A40,[1]日报透视!B:B,B40)</f>
        <v>410</v>
      </c>
      <c r="H40" s="19">
        <f>SUMIFS([1]日报透视!J:J,[1]日报透视!A:A,A40,[1]日报透视!B:B,B40)</f>
        <v>39.48</v>
      </c>
      <c r="I40" s="19">
        <f>SUMIFS([1]日报透视!K:K,[1]日报透视!A:A,A40,[1]日报透视!B:B,B40)</f>
        <v>158.061</v>
      </c>
      <c r="J40" s="19">
        <f>SUMIFS([1]日报透视!L:L,[1]日报透视!A:A,A40,[1]日报透视!B:B,B40)</f>
        <v>49</v>
      </c>
      <c r="K40" s="32">
        <f t="shared" si="1"/>
        <v>3.22573469387755</v>
      </c>
      <c r="L40" s="32">
        <f ca="1" t="shared" si="2"/>
        <v>227.262946859903</v>
      </c>
      <c r="M40" s="28">
        <f>SUMIFS([1]日报透视!N:N,[1]日报透视!A:A,A40,[1]日报透视!B:B,B40)</f>
        <v>81.8700000000001</v>
      </c>
      <c r="N40" s="29">
        <f ca="1" t="shared" si="3"/>
        <v>-22.3789468599034</v>
      </c>
      <c r="O40" s="33" t="str">
        <f>VLOOKUP(B40,[1]门店ID对应关系!J:K,2,0)</f>
        <v>自营</v>
      </c>
      <c r="P40" s="34"/>
      <c r="Q40" s="1" t="str">
        <f t="shared" si="4"/>
        <v>滨江店</v>
      </c>
      <c r="R40" s="1" t="str">
        <f>VLOOKUP(Q40,$B$4:$B$42,1,0)</f>
        <v>滨江店</v>
      </c>
      <c r="S40" s="6"/>
      <c r="T40" s="44">
        <f ca="1">VLOOKUP(B40,[1]房租水电人工成本!A:N,14,0)*V40*$W$1</f>
        <v>227.262946859903</v>
      </c>
      <c r="U40" s="45">
        <f>SUMIFS([1]饿了么推广费!W:W,[1]饿了么推广费!V:V,$U$1,[1]饿了么推广费!U:U,B40)</f>
        <v>81.87</v>
      </c>
      <c r="V40" s="1">
        <f>IFERROR(J40/SUMIF(B:B,B40,J:J),0.25)</f>
        <v>0.426086956521739</v>
      </c>
      <c r="W40" s="1">
        <f t="shared" si="5"/>
        <v>34.8837391304348</v>
      </c>
      <c r="XES40" s="7"/>
      <c r="XET40" s="7"/>
      <c r="XEU40" s="7"/>
      <c r="XEV40" s="7"/>
      <c r="XEW40" s="7"/>
      <c r="XEX40" s="7"/>
      <c r="XEY40" s="7"/>
      <c r="XEZ40" s="7"/>
      <c r="XFA40" s="7"/>
      <c r="XFB40" s="7"/>
      <c r="XFC40" s="7"/>
      <c r="XFD40" s="7"/>
    </row>
    <row r="41" s="1" customFormat="1" ht="16.5" spans="1:16384">
      <c r="A41" s="20" t="s">
        <v>19</v>
      </c>
      <c r="B41" s="21" t="s">
        <v>57</v>
      </c>
      <c r="C41" s="22">
        <f>SUMIFS([1]日报透视!E:E,[1]日报透视!A:A,A41,[1]日报透视!B:B,B41)</f>
        <v>1013.82</v>
      </c>
      <c r="D41" s="19">
        <f>SUMIFS([1]日报透视!F:F,[1]日报透视!A:A,A41,[1]日报透视!B:B,B41)</f>
        <v>660.467857142857</v>
      </c>
      <c r="E41" s="19">
        <f>SUMIFS([1]日报透视!G:G,[1]日报透视!A:A,A41,[1]日报透视!B:B,B41)-M41</f>
        <v>257.582142857143</v>
      </c>
      <c r="F41" s="22">
        <f t="shared" si="0"/>
        <v>8.1551724137931</v>
      </c>
      <c r="G41" s="19">
        <f>SUMIFS([1]日报透视!I:I,[1]日报透视!A:A,A41,[1]日报透视!B:B,B41)</f>
        <v>473</v>
      </c>
      <c r="H41" s="19">
        <f>SUMIFS([1]日报透视!J:J,[1]日报透视!A:A,A41,[1]日报透视!B:B,B41)</f>
        <v>44.93</v>
      </c>
      <c r="I41" s="19">
        <f>SUMIFS([1]日报透视!K:K,[1]日报透视!A:A,A41,[1]日报透视!B:B,B41)</f>
        <v>209.627</v>
      </c>
      <c r="J41" s="19">
        <f>SUMIFS([1]日报透视!L:L,[1]日报透视!A:A,A41,[1]日报透视!B:B,B41)</f>
        <v>58</v>
      </c>
      <c r="K41" s="32">
        <f t="shared" si="1"/>
        <v>3.61425862068965</v>
      </c>
      <c r="L41" s="32">
        <f ca="1" t="shared" si="2"/>
        <v>296.525578181004</v>
      </c>
      <c r="M41" s="28">
        <f>SUMIFS([1]日报透视!N:N,[1]日报透视!A:A,A41,[1]日报透视!B:B,B41)</f>
        <v>95.7699999999999</v>
      </c>
      <c r="N41" s="29">
        <f ca="1" t="shared" si="3"/>
        <v>-38.9434353238604</v>
      </c>
      <c r="O41" s="33" t="str">
        <f>VLOOKUP(B41,[1]门店ID对应关系!J:K,2,0)</f>
        <v>自营</v>
      </c>
      <c r="P41" s="34"/>
      <c r="Q41" s="1" t="str">
        <f t="shared" si="4"/>
        <v>西湖店</v>
      </c>
      <c r="R41" s="1" t="str">
        <f>VLOOKUP(Q41,$B$4:$B$42,1,0)</f>
        <v>西湖店</v>
      </c>
      <c r="S41" s="6"/>
      <c r="T41" s="44">
        <f ca="1">VLOOKUP(B41,[1]房租水电人工成本!A:N,14,0)*V41*$W$1</f>
        <v>296.525578181004</v>
      </c>
      <c r="U41" s="45">
        <f>SUMIFS([1]饿了么推广费!W:W,[1]饿了么推广费!V:V,$U$1,[1]饿了么推广费!U:U,B41)</f>
        <v>95.77</v>
      </c>
      <c r="V41" s="1">
        <f>IFERROR(J41/SUMIF(B:B,B41,J:J),0.25)</f>
        <v>0.467741935483871</v>
      </c>
      <c r="W41" s="1">
        <f t="shared" si="5"/>
        <v>44.7956451612903</v>
      </c>
      <c r="XES41" s="7"/>
      <c r="XET41" s="7"/>
      <c r="XEU41" s="7"/>
      <c r="XEV41" s="7"/>
      <c r="XEW41" s="7"/>
      <c r="XEX41" s="7"/>
      <c r="XEY41" s="7"/>
      <c r="XEZ41" s="7"/>
      <c r="XFA41" s="7"/>
      <c r="XFB41" s="7"/>
      <c r="XFC41" s="7"/>
      <c r="XFD41" s="7"/>
    </row>
    <row r="42" s="1" customFormat="1" ht="17.25" spans="1:16384">
      <c r="A42" s="23" t="s">
        <v>19</v>
      </c>
      <c r="B42" s="24" t="s">
        <v>58</v>
      </c>
      <c r="C42" s="25">
        <f>SUMIFS([1]日报透视!E:E,[1]日报透视!A:A,A42,[1]日报透视!B:B,B42)</f>
        <v>503.36</v>
      </c>
      <c r="D42" s="26">
        <f>SUMIFS([1]日报透视!F:F,[1]日报透视!A:A,A42,[1]日报透视!B:B,B42)</f>
        <v>266.35</v>
      </c>
      <c r="E42" s="26">
        <f>SUMIFS([1]日报透视!G:G,[1]日报透视!A:A,A42,[1]日报透视!B:B,B42)-M42</f>
        <v>206.29</v>
      </c>
      <c r="F42" s="25">
        <f t="shared" si="0"/>
        <v>6.25777777777778</v>
      </c>
      <c r="G42" s="26">
        <f>SUMIFS([1]日报透视!I:I,[1]日报透视!A:A,A42,[1]日报透视!B:B,B42)</f>
        <v>56.32</v>
      </c>
      <c r="H42" s="26">
        <f>SUMIFS([1]日报透视!J:J,[1]日报透视!A:A,A42,[1]日报透视!B:B,B42)</f>
        <v>37.54</v>
      </c>
      <c r="I42" s="26">
        <f>SUMIFS([1]日报透视!K:K,[1]日报透视!A:A,A42,[1]日报透视!B:B,B42)</f>
        <v>37.92</v>
      </c>
      <c r="J42" s="26">
        <f>SUMIFS([1]日报透视!L:L,[1]日报透视!A:A,A42,[1]日报透视!B:B,B42)</f>
        <v>9</v>
      </c>
      <c r="K42" s="35">
        <f t="shared" si="1"/>
        <v>4.21333333333333</v>
      </c>
      <c r="L42" s="35">
        <f ca="1" t="shared" si="2"/>
        <v>174.193548387097</v>
      </c>
      <c r="M42" s="36">
        <f>SUMIFS([1]日报透视!N:N,[1]日报透视!A:A,A42,[1]日报透视!B:B,B42)</f>
        <v>19.4</v>
      </c>
      <c r="N42" s="37">
        <f ca="1" t="shared" si="3"/>
        <v>32.0964516129032</v>
      </c>
      <c r="O42" s="38" t="str">
        <f>VLOOKUP(B42,[1]门店ID对应关系!J:K,2,0)</f>
        <v>加盟</v>
      </c>
      <c r="P42" s="39"/>
      <c r="Q42" s="1" t="str">
        <f t="shared" si="4"/>
        <v>南安店</v>
      </c>
      <c r="R42" s="1" t="str">
        <f>VLOOKUP(Q42,$B$4:$B$42,1,0)</f>
        <v>南安店</v>
      </c>
      <c r="S42" s="6"/>
      <c r="T42" s="44">
        <f ca="1">VLOOKUP(B42,[1]房租水电人工成本!A:N,14,0)*V42*$W$1</f>
        <v>174.193548387097</v>
      </c>
      <c r="U42" s="45">
        <f>SUMIFS([1]饿了么推广费!W:W,[1]饿了么推广费!V:V,$U$1,[1]饿了么推广费!U:U,B42)</f>
        <v>19.4</v>
      </c>
      <c r="V42" s="1">
        <f>IFERROR(J42/SUMIF(B:B,B42,J:J),0.25)</f>
        <v>0.290322580645161</v>
      </c>
      <c r="W42" s="1">
        <f t="shared" si="5"/>
        <v>5.63225806451613</v>
      </c>
      <c r="XES42" s="7"/>
      <c r="XET42" s="7"/>
      <c r="XEU42" s="7"/>
      <c r="XEV42" s="7"/>
      <c r="XEW42" s="7"/>
      <c r="XEX42" s="7"/>
      <c r="XEY42" s="7"/>
      <c r="XEZ42" s="7"/>
      <c r="XFA42" s="7"/>
      <c r="XFB42" s="7"/>
      <c r="XFC42" s="7"/>
      <c r="XFD42" s="7"/>
    </row>
    <row r="43" s="1" customFormat="1" ht="16.5" spans="1:16384">
      <c r="A43" s="15" t="s">
        <v>59</v>
      </c>
      <c r="B43" s="16" t="s">
        <v>20</v>
      </c>
      <c r="C43" s="17">
        <f>SUMIFS([1]日报透视!E:E,[1]日报透视!A:A,A43,[1]日报透视!B:B,B43)</f>
        <v>15.3</v>
      </c>
      <c r="D43" s="18">
        <f>SUMIFS([1]日报透视!F:F,[1]日报透视!A:A,A43,[1]日报透视!B:B,B43)</f>
        <v>5.22</v>
      </c>
      <c r="E43" s="19">
        <f>SUMIFS([1]日报透视!G:G,[1]日报透视!A:A,A43,[1]日报透视!B:B,B43)-M43</f>
        <v>10.08</v>
      </c>
      <c r="F43" s="17">
        <f t="shared" si="0"/>
        <v>1.8</v>
      </c>
      <c r="G43" s="18">
        <f>SUMIFS([1]日报透视!I:I,[1]日报透视!A:A,A43,[1]日报透视!B:B,B43)</f>
        <v>1.8</v>
      </c>
      <c r="H43" s="18">
        <f>SUMIFS([1]日报透视!J:J,[1]日报透视!A:A,A43,[1]日报透视!B:B,B43)</f>
        <v>0.9</v>
      </c>
      <c r="I43" s="18">
        <f>SUMIFS([1]日报透视!K:K,[1]日报透视!A:A,A43,[1]日报透视!B:B,B43)</f>
        <v>1.87</v>
      </c>
      <c r="J43" s="18">
        <f>SUMIFS([1]日报透视!L:L,[1]日报透视!A:A,A43,[1]日报透视!B:B,B43)</f>
        <v>1</v>
      </c>
      <c r="K43" s="27">
        <f t="shared" si="1"/>
        <v>1.87</v>
      </c>
      <c r="L43" s="32">
        <f ca="1" t="shared" si="2"/>
        <v>3.41319069958847</v>
      </c>
      <c r="M43" s="28">
        <f>SUMIFS([1]日报透视!N:N,[1]日报透视!A:A,A43,[1]日报透视!B:B,B43)</f>
        <v>0</v>
      </c>
      <c r="N43" s="29">
        <f ca="1" t="shared" si="3"/>
        <v>6.66680930041153</v>
      </c>
      <c r="O43" s="30" t="str">
        <f>VLOOKUP(B43,[1]门店ID对应关系!J:K,2,0)</f>
        <v>自营</v>
      </c>
      <c r="P43" s="31">
        <f ca="1">SUM($N$43:$N$81)</f>
        <v>282.638336465776</v>
      </c>
      <c r="Q43" s="1" t="str">
        <f t="shared" si="4"/>
        <v>余杭店</v>
      </c>
      <c r="R43" s="1" t="str">
        <f>VLOOKUP(Q43,$B$4:$B$42,1,0)</f>
        <v>余杭店</v>
      </c>
      <c r="S43" s="6"/>
      <c r="T43" s="44">
        <f ca="1">VLOOKUP(B43,[1]房租水电人工成本!A:N,14,0)*V43*$W$1</f>
        <v>3.41319069958847</v>
      </c>
      <c r="U43" s="46">
        <v>0</v>
      </c>
      <c r="V43" s="1">
        <f>IFERROR(J43/SUMIF(B:B,B43,J:J),0.25)</f>
        <v>0.00740740740740741</v>
      </c>
      <c r="W43" s="1">
        <f t="shared" si="5"/>
        <v>0</v>
      </c>
      <c r="XES43" s="7"/>
      <c r="XET43" s="7"/>
      <c r="XEU43" s="7"/>
      <c r="XEV43" s="7"/>
      <c r="XEW43" s="7"/>
      <c r="XEX43" s="7"/>
      <c r="XEY43" s="7"/>
      <c r="XEZ43" s="7"/>
      <c r="XFA43" s="7"/>
      <c r="XFB43" s="7"/>
      <c r="XFC43" s="7"/>
      <c r="XFD43" s="7"/>
    </row>
    <row r="44" s="1" customFormat="1" ht="16.5" spans="1:16384">
      <c r="A44" s="20" t="s">
        <v>59</v>
      </c>
      <c r="B44" s="21" t="s">
        <v>29</v>
      </c>
      <c r="C44" s="22">
        <f>SUMIFS([1]日报透视!E:E,[1]日报透视!A:A,A44,[1]日报透视!B:B,B44)</f>
        <v>0</v>
      </c>
      <c r="D44" s="19">
        <f>SUMIFS([1]日报透视!F:F,[1]日报透视!A:A,A44,[1]日报透视!B:B,B44)</f>
        <v>0</v>
      </c>
      <c r="E44" s="19">
        <f>SUMIFS([1]日报透视!G:G,[1]日报透视!A:A,A44,[1]日报透视!B:B,B44)-M44</f>
        <v>0</v>
      </c>
      <c r="F44" s="22">
        <f t="shared" si="0"/>
        <v>0</v>
      </c>
      <c r="G44" s="19">
        <f>SUMIFS([1]日报透视!I:I,[1]日报透视!A:A,A44,[1]日报透视!B:B,B44)</f>
        <v>0</v>
      </c>
      <c r="H44" s="19">
        <f>SUMIFS([1]日报透视!J:J,[1]日报透视!A:A,A44,[1]日报透视!B:B,B44)</f>
        <v>0</v>
      </c>
      <c r="I44" s="19">
        <f>SUMIFS([1]日报透视!K:K,[1]日报透视!A:A,A44,[1]日报透视!B:B,B44)</f>
        <v>0</v>
      </c>
      <c r="J44" s="19">
        <f>SUMIFS([1]日报透视!L:L,[1]日报透视!A:A,A44,[1]日报透视!B:B,B44)</f>
        <v>0</v>
      </c>
      <c r="K44" s="32">
        <f t="shared" si="1"/>
        <v>0</v>
      </c>
      <c r="L44" s="32">
        <f ca="1" t="shared" si="2"/>
        <v>0</v>
      </c>
      <c r="M44" s="28">
        <f>SUMIFS([1]日报透视!N:N,[1]日报透视!A:A,A44,[1]日报透视!B:B,B44)</f>
        <v>0</v>
      </c>
      <c r="N44" s="29">
        <f ca="1" t="shared" si="3"/>
        <v>0</v>
      </c>
      <c r="O44" s="33" t="str">
        <f>VLOOKUP(B44,[1]门店ID对应关系!J:K,2,0)</f>
        <v>自营</v>
      </c>
      <c r="P44" s="34"/>
      <c r="Q44" s="1" t="str">
        <f t="shared" si="4"/>
        <v>济南店</v>
      </c>
      <c r="R44" s="1" t="str">
        <f>VLOOKUP(Q44,$B$4:$B$42,1,0)</f>
        <v>济南店</v>
      </c>
      <c r="S44" s="6"/>
      <c r="T44" s="44">
        <f ca="1">VLOOKUP(B44,[1]房租水电人工成本!A:N,14,0)*V44*$W$1</f>
        <v>0</v>
      </c>
      <c r="U44" s="46">
        <v>0</v>
      </c>
      <c r="V44" s="1">
        <f>IFERROR(J44/SUMIF(B:B,B44,J:J),0.25)</f>
        <v>0</v>
      </c>
      <c r="W44" s="1">
        <f t="shared" si="5"/>
        <v>0</v>
      </c>
      <c r="XES44" s="7"/>
      <c r="XET44" s="7"/>
      <c r="XEU44" s="7"/>
      <c r="XEV44" s="7"/>
      <c r="XEW44" s="7"/>
      <c r="XEX44" s="7"/>
      <c r="XEY44" s="7"/>
      <c r="XEZ44" s="7"/>
      <c r="XFA44" s="7"/>
      <c r="XFB44" s="7"/>
      <c r="XFC44" s="7"/>
      <c r="XFD44" s="7"/>
    </row>
    <row r="45" s="1" customFormat="1" ht="16.5" spans="1:23">
      <c r="A45" s="20" t="s">
        <v>59</v>
      </c>
      <c r="B45" s="21" t="s">
        <v>55</v>
      </c>
      <c r="C45" s="22">
        <f>SUMIFS([1]日报透视!E:E,[1]日报透视!A:A,A45,[1]日报透视!B:B,B45)</f>
        <v>340</v>
      </c>
      <c r="D45" s="19">
        <f>SUMIFS([1]日报透视!F:F,[1]日报透视!A:A,A45,[1]日报透视!B:B,B45)</f>
        <v>221</v>
      </c>
      <c r="E45" s="19">
        <f>SUMIFS([1]日报透视!G:G,[1]日报透视!A:A,A45,[1]日报透视!B:B,B45)-M45</f>
        <v>119</v>
      </c>
      <c r="F45" s="22">
        <f t="shared" si="0"/>
        <v>2</v>
      </c>
      <c r="G45" s="19">
        <f>SUMIFS([1]日报透视!I:I,[1]日报透视!A:A,A45,[1]日报透视!B:B,B45)</f>
        <v>2</v>
      </c>
      <c r="H45" s="19">
        <f>SUMIFS([1]日报透视!J:J,[1]日报透视!A:A,A45,[1]日报透视!B:B,B45)</f>
        <v>18</v>
      </c>
      <c r="I45" s="19">
        <f>SUMIFS([1]日报透视!K:K,[1]日报透视!A:A,A45,[1]日报透视!B:B,B45)</f>
        <v>9.056</v>
      </c>
      <c r="J45" s="19">
        <f>SUMIFS([1]日报透视!L:L,[1]日报透视!A:A,A45,[1]日报透视!B:B,B45)</f>
        <v>1</v>
      </c>
      <c r="K45" s="32">
        <f t="shared" si="1"/>
        <v>9.056</v>
      </c>
      <c r="L45" s="32">
        <f ca="1" t="shared" si="2"/>
        <v>7.54700102292768</v>
      </c>
      <c r="M45" s="28">
        <f>SUMIFS([1]日报透视!N:N,[1]日报透视!A:A,A45,[1]日报透视!B:B,B45)</f>
        <v>0</v>
      </c>
      <c r="N45" s="29">
        <f ca="1" t="shared" si="3"/>
        <v>111.452998977072</v>
      </c>
      <c r="O45" s="33" t="str">
        <f>VLOOKUP(B45,[1]门店ID对应关系!J:K,2,0)</f>
        <v>自营</v>
      </c>
      <c r="P45" s="34"/>
      <c r="Q45" s="1" t="str">
        <f t="shared" si="4"/>
        <v>青羊店</v>
      </c>
      <c r="R45" s="1" t="str">
        <f>VLOOKUP(Q45,$B$4:$B$42,1,0)</f>
        <v>青羊店</v>
      </c>
      <c r="S45" s="6"/>
      <c r="T45" s="44">
        <f ca="1">VLOOKUP(B45,[1]房租水电人工成本!A:N,14,0)*V45*$W$1</f>
        <v>7.54700102292768</v>
      </c>
      <c r="U45" s="46">
        <v>0</v>
      </c>
      <c r="V45" s="1">
        <f>IFERROR(J45/SUMIF(B:B,B45,J:J),0.25)</f>
        <v>0.0158730158730159</v>
      </c>
      <c r="W45" s="1">
        <f t="shared" si="5"/>
        <v>0</v>
      </c>
    </row>
    <row r="46" s="1" customFormat="1" ht="16.5" spans="1:23">
      <c r="A46" s="20" t="s">
        <v>59</v>
      </c>
      <c r="B46" s="21" t="s">
        <v>57</v>
      </c>
      <c r="C46" s="22">
        <f>SUMIFS([1]日报透视!E:E,[1]日报透视!A:A,A46,[1]日报透视!B:B,B46)</f>
        <v>0</v>
      </c>
      <c r="D46" s="19">
        <f>SUMIFS([1]日报透视!F:F,[1]日报透视!A:A,A46,[1]日报透视!B:B,B46)</f>
        <v>0</v>
      </c>
      <c r="E46" s="19">
        <f>SUMIFS([1]日报透视!G:G,[1]日报透视!A:A,A46,[1]日报透视!B:B,B46)-M46</f>
        <v>0</v>
      </c>
      <c r="F46" s="22">
        <f t="shared" si="0"/>
        <v>0</v>
      </c>
      <c r="G46" s="19">
        <f>SUMIFS([1]日报透视!I:I,[1]日报透视!A:A,A46,[1]日报透视!B:B,B46)</f>
        <v>0</v>
      </c>
      <c r="H46" s="19">
        <f>SUMIFS([1]日报透视!J:J,[1]日报透视!A:A,A46,[1]日报透视!B:B,B46)</f>
        <v>0</v>
      </c>
      <c r="I46" s="19">
        <f>SUMIFS([1]日报透视!K:K,[1]日报透视!A:A,A46,[1]日报透视!B:B,B46)</f>
        <v>0</v>
      </c>
      <c r="J46" s="19">
        <f>SUMIFS([1]日报透视!L:L,[1]日报透视!A:A,A46,[1]日报透视!B:B,B46)</f>
        <v>0</v>
      </c>
      <c r="K46" s="32">
        <f t="shared" si="1"/>
        <v>0</v>
      </c>
      <c r="L46" s="32">
        <f ca="1" t="shared" si="2"/>
        <v>0</v>
      </c>
      <c r="M46" s="28">
        <f>SUMIFS([1]日报透视!N:N,[1]日报透视!A:A,A46,[1]日报透视!B:B,B46)</f>
        <v>0</v>
      </c>
      <c r="N46" s="29">
        <f ca="1" t="shared" si="3"/>
        <v>0</v>
      </c>
      <c r="O46" s="33" t="str">
        <f>VLOOKUP(B46,[1]门店ID对应关系!J:K,2,0)</f>
        <v>自营</v>
      </c>
      <c r="P46" s="34"/>
      <c r="Q46" s="1" t="str">
        <f t="shared" si="4"/>
        <v>西湖店</v>
      </c>
      <c r="R46" s="1" t="str">
        <f>VLOOKUP(Q46,$B$4:$B$42,1,0)</f>
        <v>西湖店</v>
      </c>
      <c r="S46" s="6"/>
      <c r="T46" s="44">
        <f ca="1">VLOOKUP(B46,[1]房租水电人工成本!A:N,14,0)*V46*$W$1</f>
        <v>0</v>
      </c>
      <c r="U46" s="46">
        <v>0</v>
      </c>
      <c r="V46" s="1">
        <f>IFERROR(J46/SUMIF(B:B,B46,J:J),0.25)</f>
        <v>0</v>
      </c>
      <c r="W46" s="1">
        <f t="shared" si="5"/>
        <v>0</v>
      </c>
    </row>
    <row r="47" s="1" customFormat="1" ht="17.25" spans="1:23">
      <c r="A47" s="20" t="s">
        <v>59</v>
      </c>
      <c r="B47" s="21" t="s">
        <v>46</v>
      </c>
      <c r="C47" s="22">
        <f>SUMIFS([1]日报透视!E:E,[1]日报透视!A:A,A47,[1]日报透视!B:B,B47)</f>
        <v>22.9</v>
      </c>
      <c r="D47" s="19">
        <f>SUMIFS([1]日报透视!F:F,[1]日报透视!A:A,A47,[1]日报透视!B:B,B47)</f>
        <v>5.6</v>
      </c>
      <c r="E47" s="26">
        <f>SUMIFS([1]日报透视!G:G,[1]日报透视!A:A,A47,[1]日报透视!B:B,B47)-M47</f>
        <v>17.3</v>
      </c>
      <c r="F47" s="25">
        <f t="shared" si="0"/>
        <v>1.8</v>
      </c>
      <c r="G47" s="26">
        <f>SUMIFS([1]日报透视!I:I,[1]日报透视!A:A,A47,[1]日报透视!B:B,B47)</f>
        <v>1.8</v>
      </c>
      <c r="H47" s="26">
        <f>SUMIFS([1]日报透视!J:J,[1]日报透视!A:A,A47,[1]日报透视!B:B,B47)</f>
        <v>1.3</v>
      </c>
      <c r="I47" s="26">
        <f>SUMIFS([1]日报透视!K:K,[1]日报透视!A:A,A47,[1]日报透视!B:B,B47)</f>
        <v>1.368</v>
      </c>
      <c r="J47" s="26">
        <f>SUMIFS([1]日报透视!L:L,[1]日报透视!A:A,A47,[1]日报透视!B:B,B47)</f>
        <v>1</v>
      </c>
      <c r="K47" s="35">
        <f t="shared" si="1"/>
        <v>1.368</v>
      </c>
      <c r="L47" s="35">
        <f ca="1" t="shared" si="2"/>
        <v>4.44447245663385</v>
      </c>
      <c r="M47" s="36">
        <f>SUMIFS([1]日报透视!N:N,[1]日报透视!A:A,A47,[1]日报透视!B:B,B47)</f>
        <v>0</v>
      </c>
      <c r="N47" s="37">
        <f ca="1" t="shared" si="3"/>
        <v>12.8555275433662</v>
      </c>
      <c r="O47" s="38" t="str">
        <f>VLOOKUP(B47,[1]门店ID对应关系!J:K,2,0)</f>
        <v>自营</v>
      </c>
      <c r="P47" s="34"/>
      <c r="Q47" s="1" t="str">
        <f t="shared" si="4"/>
        <v>大坪店</v>
      </c>
      <c r="R47" s="1" t="str">
        <f>VLOOKUP(Q47,$B$4:$B$42,1,0)</f>
        <v>大坪店</v>
      </c>
      <c r="S47" s="6"/>
      <c r="T47" s="44">
        <f ca="1">VLOOKUP(B47,[1]房租水电人工成本!A:N,14,0)*V47*$W$1</f>
        <v>4.44447245663385</v>
      </c>
      <c r="U47" s="46">
        <v>0</v>
      </c>
      <c r="V47" s="1">
        <f>IFERROR(J47/SUMIF(B:B,B47,J:J),0.25)</f>
        <v>0.0126582278481013</v>
      </c>
      <c r="W47" s="1">
        <f t="shared" si="5"/>
        <v>0</v>
      </c>
    </row>
    <row r="48" s="1" customFormat="1" ht="16.5" spans="1:23">
      <c r="A48" s="20" t="s">
        <v>59</v>
      </c>
      <c r="B48" s="21" t="s">
        <v>28</v>
      </c>
      <c r="C48" s="22">
        <f>SUMIFS([1]日报透视!E:E,[1]日报透视!A:A,A48,[1]日报透视!B:B,B48)</f>
        <v>0</v>
      </c>
      <c r="D48" s="19">
        <f>SUMIFS([1]日报透视!F:F,[1]日报透视!A:A,A48,[1]日报透视!B:B,B48)</f>
        <v>0</v>
      </c>
      <c r="E48" s="19">
        <f>SUMIFS([1]日报透视!G:G,[1]日报透视!A:A,A48,[1]日报透视!B:B,B48)-M48</f>
        <v>0</v>
      </c>
      <c r="F48" s="22">
        <f t="shared" si="0"/>
        <v>0</v>
      </c>
      <c r="G48" s="19">
        <f>SUMIFS([1]日报透视!I:I,[1]日报透视!A:A,A48,[1]日报透视!B:B,B48)</f>
        <v>0</v>
      </c>
      <c r="H48" s="19">
        <f>SUMIFS([1]日报透视!J:J,[1]日报透视!A:A,A48,[1]日报透视!B:B,B48)</f>
        <v>0</v>
      </c>
      <c r="I48" s="19">
        <f>SUMIFS([1]日报透视!K:K,[1]日报透视!A:A,A48,[1]日报透视!B:B,B48)</f>
        <v>0</v>
      </c>
      <c r="J48" s="19">
        <f>SUMIFS([1]日报透视!L:L,[1]日报透视!A:A,A48,[1]日报透视!B:B,B48)</f>
        <v>0</v>
      </c>
      <c r="K48" s="32">
        <f t="shared" si="1"/>
        <v>0</v>
      </c>
      <c r="L48" s="32">
        <f ca="1" t="shared" si="2"/>
        <v>0</v>
      </c>
      <c r="M48" s="28">
        <f>SUMIFS([1]日报透视!N:N,[1]日报透视!A:A,A48,[1]日报透视!B:B,B48)</f>
        <v>0</v>
      </c>
      <c r="N48" s="29">
        <f ca="1" t="shared" si="3"/>
        <v>0</v>
      </c>
      <c r="O48" s="33" t="str">
        <f>VLOOKUP(B48,[1]门店ID对应关系!J:K,2,0)</f>
        <v>自营</v>
      </c>
      <c r="P48" s="34"/>
      <c r="Q48" s="1" t="str">
        <f t="shared" si="4"/>
        <v>百捷店</v>
      </c>
      <c r="R48" s="1" t="str">
        <f>VLOOKUP(Q48,$B$4:$B$42,1,0)</f>
        <v>百捷店</v>
      </c>
      <c r="S48" s="6"/>
      <c r="T48" s="44">
        <f ca="1">VLOOKUP(B48,[1]房租水电人工成本!A:N,14,0)*V48*$W$1</f>
        <v>0</v>
      </c>
      <c r="U48" s="46">
        <v>0</v>
      </c>
      <c r="V48" s="1">
        <f>IFERROR(J48/SUMIF(B:B,B48,J:J),0.25)</f>
        <v>0</v>
      </c>
      <c r="W48" s="1">
        <f t="shared" si="5"/>
        <v>0</v>
      </c>
    </row>
    <row r="49" s="1" customFormat="1" ht="16.5" spans="1:23">
      <c r="A49" s="20" t="s">
        <v>59</v>
      </c>
      <c r="B49" s="21" t="s">
        <v>39</v>
      </c>
      <c r="C49" s="22">
        <f>SUMIFS([1]日报透视!E:E,[1]日报透视!A:A,A49,[1]日报透视!B:B,B49)</f>
        <v>0</v>
      </c>
      <c r="D49" s="19">
        <f>SUMIFS([1]日报透视!F:F,[1]日报透视!A:A,A49,[1]日报透视!B:B,B49)</f>
        <v>0</v>
      </c>
      <c r="E49" s="19">
        <f>SUMIFS([1]日报透视!G:G,[1]日报透视!A:A,A49,[1]日报透视!B:B,B49)-M49</f>
        <v>0</v>
      </c>
      <c r="F49" s="22">
        <f t="shared" si="0"/>
        <v>0</v>
      </c>
      <c r="G49" s="19">
        <f>SUMIFS([1]日报透视!I:I,[1]日报透视!A:A,A49,[1]日报透视!B:B,B49)</f>
        <v>0</v>
      </c>
      <c r="H49" s="19">
        <f>SUMIFS([1]日报透视!J:J,[1]日报透视!A:A,A49,[1]日报透视!B:B,B49)</f>
        <v>0</v>
      </c>
      <c r="I49" s="19">
        <f>SUMIFS([1]日报透视!K:K,[1]日报透视!A:A,A49,[1]日报透视!B:B,B49)</f>
        <v>0</v>
      </c>
      <c r="J49" s="19">
        <f>SUMIFS([1]日报透视!L:L,[1]日报透视!A:A,A49,[1]日报透视!B:B,B49)</f>
        <v>0</v>
      </c>
      <c r="K49" s="32">
        <f t="shared" si="1"/>
        <v>0</v>
      </c>
      <c r="L49" s="32">
        <f ca="1" t="shared" si="2"/>
        <v>0</v>
      </c>
      <c r="M49" s="28">
        <f>SUMIFS([1]日报透视!N:N,[1]日报透视!A:A,A49,[1]日报透视!B:B,B49)</f>
        <v>0</v>
      </c>
      <c r="N49" s="29">
        <f ca="1" t="shared" si="3"/>
        <v>0</v>
      </c>
      <c r="O49" s="33" t="str">
        <f>VLOOKUP(B49,[1]门店ID对应关系!J:K,2,0)</f>
        <v>自营</v>
      </c>
      <c r="P49" s="34"/>
      <c r="Q49" s="1" t="str">
        <f t="shared" si="4"/>
        <v>百丈店</v>
      </c>
      <c r="R49" s="1" t="str">
        <f>VLOOKUP(Q49,$B$4:$B$42,1,0)</f>
        <v>百丈店</v>
      </c>
      <c r="S49" s="6"/>
      <c r="T49" s="44">
        <f ca="1">VLOOKUP(B49,[1]房租水电人工成本!A:N,14,0)*V49*$W$1</f>
        <v>0</v>
      </c>
      <c r="U49" s="46">
        <v>0</v>
      </c>
      <c r="V49" s="1">
        <f>IFERROR(J49/SUMIF(B:B,B49,J:J),0.25)</f>
        <v>0</v>
      </c>
      <c r="W49" s="1">
        <f t="shared" si="5"/>
        <v>0</v>
      </c>
    </row>
    <row r="50" s="1" customFormat="1" ht="16.5" spans="1:23">
      <c r="A50" s="20" t="s">
        <v>59</v>
      </c>
      <c r="B50" s="21" t="s">
        <v>53</v>
      </c>
      <c r="C50" s="22">
        <f>SUMIFS([1]日报透视!E:E,[1]日报透视!A:A,A50,[1]日报透视!B:B,B50)</f>
        <v>0</v>
      </c>
      <c r="D50" s="19">
        <f>SUMIFS([1]日报透视!F:F,[1]日报透视!A:A,A50,[1]日报透视!B:B,B50)</f>
        <v>0</v>
      </c>
      <c r="E50" s="19">
        <f>SUMIFS([1]日报透视!G:G,[1]日报透视!A:A,A50,[1]日报透视!B:B,B50)-M50</f>
        <v>0</v>
      </c>
      <c r="F50" s="22">
        <f t="shared" si="0"/>
        <v>0</v>
      </c>
      <c r="G50" s="19">
        <f>SUMIFS([1]日报透视!I:I,[1]日报透视!A:A,A50,[1]日报透视!B:B,B50)</f>
        <v>0</v>
      </c>
      <c r="H50" s="19">
        <f>SUMIFS([1]日报透视!J:J,[1]日报透视!A:A,A50,[1]日报透视!B:B,B50)</f>
        <v>0</v>
      </c>
      <c r="I50" s="19">
        <f>SUMIFS([1]日报透视!K:K,[1]日报透视!A:A,A50,[1]日报透视!B:B,B50)</f>
        <v>0</v>
      </c>
      <c r="J50" s="19">
        <f>SUMIFS([1]日报透视!L:L,[1]日报透视!A:A,A50,[1]日报透视!B:B,B50)</f>
        <v>0</v>
      </c>
      <c r="K50" s="32">
        <f t="shared" si="1"/>
        <v>0</v>
      </c>
      <c r="L50" s="32">
        <f ca="1" t="shared" si="2"/>
        <v>0</v>
      </c>
      <c r="M50" s="28">
        <f>SUMIFS([1]日报透视!N:N,[1]日报透视!A:A,A50,[1]日报透视!B:B,B50)</f>
        <v>0</v>
      </c>
      <c r="N50" s="29">
        <f ca="1" t="shared" si="3"/>
        <v>0</v>
      </c>
      <c r="O50" s="33" t="str">
        <f>VLOOKUP(B50,[1]门店ID对应关系!J:K,2,0)</f>
        <v>自营</v>
      </c>
      <c r="P50" s="34"/>
      <c r="Q50" s="1" t="str">
        <f t="shared" si="4"/>
        <v>成华店</v>
      </c>
      <c r="R50" s="1" t="str">
        <f>VLOOKUP(Q50,$B$4:$B$42,1,0)</f>
        <v>成华店</v>
      </c>
      <c r="S50" s="6"/>
      <c r="T50" s="44">
        <f ca="1">VLOOKUP(B50,[1]房租水电人工成本!A:N,14,0)*V50*$W$1</f>
        <v>0</v>
      </c>
      <c r="U50" s="46">
        <v>0</v>
      </c>
      <c r="V50" s="1">
        <f>IFERROR(J50/SUMIF(B:B,B50,J:J),0.25)</f>
        <v>0</v>
      </c>
      <c r="W50" s="1">
        <f t="shared" si="5"/>
        <v>0</v>
      </c>
    </row>
    <row r="51" s="1" customFormat="1" ht="16.5" spans="1:23">
      <c r="A51" s="20" t="s">
        <v>59</v>
      </c>
      <c r="B51" s="21" t="s">
        <v>32</v>
      </c>
      <c r="C51" s="22">
        <f>SUMIFS([1]日报透视!E:E,[1]日报透视!A:A,A51,[1]日报透视!B:B,B51)</f>
        <v>0</v>
      </c>
      <c r="D51" s="19">
        <f>SUMIFS([1]日报透视!F:F,[1]日报透视!A:A,A51,[1]日报透视!B:B,B51)</f>
        <v>0</v>
      </c>
      <c r="E51" s="19">
        <f>SUMIFS([1]日报透视!G:G,[1]日报透视!A:A,A51,[1]日报透视!B:B,B51)-M51</f>
        <v>0</v>
      </c>
      <c r="F51" s="22">
        <f t="shared" si="0"/>
        <v>0</v>
      </c>
      <c r="G51" s="19">
        <f>SUMIFS([1]日报透视!I:I,[1]日报透视!A:A,A51,[1]日报透视!B:B,B51)</f>
        <v>0</v>
      </c>
      <c r="H51" s="19">
        <f>SUMIFS([1]日报透视!J:J,[1]日报透视!A:A,A51,[1]日报透视!B:B,B51)</f>
        <v>0</v>
      </c>
      <c r="I51" s="19">
        <f>SUMIFS([1]日报透视!K:K,[1]日报透视!A:A,A51,[1]日报透视!B:B,B51)</f>
        <v>0</v>
      </c>
      <c r="J51" s="19">
        <f>SUMIFS([1]日报透视!L:L,[1]日报透视!A:A,A51,[1]日报透视!B:B,B51)</f>
        <v>0</v>
      </c>
      <c r="K51" s="32">
        <f t="shared" si="1"/>
        <v>0</v>
      </c>
      <c r="L51" s="32">
        <f ca="1" t="shared" si="2"/>
        <v>0</v>
      </c>
      <c r="M51" s="28">
        <f>SUMIFS([1]日报透视!N:N,[1]日报透视!A:A,A51,[1]日报透视!B:B,B51)</f>
        <v>0</v>
      </c>
      <c r="N51" s="29">
        <f ca="1" t="shared" si="3"/>
        <v>0</v>
      </c>
      <c r="O51" s="33" t="str">
        <f>VLOOKUP(B51,[1]门店ID对应关系!J:K,2,0)</f>
        <v>自营</v>
      </c>
      <c r="P51" s="34"/>
      <c r="Q51" s="1" t="str">
        <f t="shared" si="4"/>
        <v>东新店</v>
      </c>
      <c r="R51" s="1" t="str">
        <f>VLOOKUP(Q51,$B$4:$B$42,1,0)</f>
        <v>东新店</v>
      </c>
      <c r="S51" s="6"/>
      <c r="T51" s="44">
        <f ca="1">VLOOKUP(B51,[1]房租水电人工成本!A:N,14,0)*V51*$W$1</f>
        <v>0</v>
      </c>
      <c r="U51" s="46">
        <v>0</v>
      </c>
      <c r="V51" s="1">
        <f>IFERROR(J51/SUMIF(B:B,B51,J:J),0.25)</f>
        <v>0</v>
      </c>
      <c r="W51" s="1">
        <f t="shared" si="5"/>
        <v>0</v>
      </c>
    </row>
    <row r="52" s="1" customFormat="1" ht="16.5" spans="1:23">
      <c r="A52" s="20" t="s">
        <v>59</v>
      </c>
      <c r="B52" s="21" t="s">
        <v>54</v>
      </c>
      <c r="C52" s="22">
        <f>SUMIFS([1]日报透视!E:E,[1]日报透视!A:A,A52,[1]日报透视!B:B,B52)</f>
        <v>31.45</v>
      </c>
      <c r="D52" s="19">
        <f>SUMIFS([1]日报透视!F:F,[1]日报透视!A:A,A52,[1]日报透视!B:B,B52)</f>
        <v>9</v>
      </c>
      <c r="E52" s="19">
        <f>SUMIFS([1]日报透视!G:G,[1]日报透视!A:A,A52,[1]日报透视!B:B,B52)-M52</f>
        <v>22.45</v>
      </c>
      <c r="F52" s="22">
        <f t="shared" si="0"/>
        <v>1.8</v>
      </c>
      <c r="G52" s="19">
        <f>SUMIFS([1]日报透视!I:I,[1]日报透视!A:A,A52,[1]日报透视!B:B,B52)</f>
        <v>1.8</v>
      </c>
      <c r="H52" s="19">
        <f>SUMIFS([1]日报透视!J:J,[1]日报透视!A:A,A52,[1]日报透视!B:B,B52)</f>
        <v>1.75</v>
      </c>
      <c r="I52" s="19">
        <f>SUMIFS([1]日报透视!K:K,[1]日报透视!A:A,A52,[1]日报透视!B:B,B52)</f>
        <v>0.178</v>
      </c>
      <c r="J52" s="19">
        <f>SUMIFS([1]日报透视!L:L,[1]日报透视!A:A,A52,[1]日报透视!B:B,B52)</f>
        <v>1</v>
      </c>
      <c r="K52" s="32">
        <f t="shared" si="1"/>
        <v>0.178</v>
      </c>
      <c r="L52" s="32">
        <f ca="1" t="shared" si="2"/>
        <v>4.363291768138</v>
      </c>
      <c r="M52" s="28">
        <f>SUMIFS([1]日报透视!N:N,[1]日报透视!A:A,A52,[1]日报透视!B:B,B52)</f>
        <v>0</v>
      </c>
      <c r="N52" s="29">
        <f ca="1" t="shared" si="3"/>
        <v>18.086708231862</v>
      </c>
      <c r="O52" s="33" t="str">
        <f>VLOOKUP(B52,[1]门店ID对应关系!J:K,2,0)</f>
        <v>自营</v>
      </c>
      <c r="P52" s="34"/>
      <c r="Q52" s="1" t="str">
        <f t="shared" si="4"/>
        <v>凤城二路店</v>
      </c>
      <c r="R52" s="1" t="str">
        <f>VLOOKUP(Q52,$B$4:$B$42,1,0)</f>
        <v>凤城二路店</v>
      </c>
      <c r="S52" s="6"/>
      <c r="T52" s="44">
        <f ca="1">VLOOKUP(B52,[1]房租水电人工成本!A:N,14,0)*V52*$W$1</f>
        <v>4.363291768138</v>
      </c>
      <c r="U52" s="46">
        <v>0</v>
      </c>
      <c r="V52" s="1">
        <f>IFERROR(J52/SUMIF(B:B,B52,J:J),0.25)</f>
        <v>0.00684931506849315</v>
      </c>
      <c r="W52" s="1">
        <f t="shared" si="5"/>
        <v>0</v>
      </c>
    </row>
    <row r="53" s="1" customFormat="1" ht="16.5" spans="1:23">
      <c r="A53" s="20" t="s">
        <v>59</v>
      </c>
      <c r="B53" s="21" t="s">
        <v>30</v>
      </c>
      <c r="C53" s="22">
        <f>SUMIFS([1]日报透视!E:E,[1]日报透视!A:A,A53,[1]日报透视!B:B,B53)</f>
        <v>0</v>
      </c>
      <c r="D53" s="19">
        <f>SUMIFS([1]日报透视!F:F,[1]日报透视!A:A,A53,[1]日报透视!B:B,B53)</f>
        <v>0</v>
      </c>
      <c r="E53" s="19">
        <f>SUMIFS([1]日报透视!G:G,[1]日报透视!A:A,A53,[1]日报透视!B:B,B53)-M53</f>
        <v>0</v>
      </c>
      <c r="F53" s="22">
        <f t="shared" si="0"/>
        <v>0</v>
      </c>
      <c r="G53" s="19">
        <f>SUMIFS([1]日报透视!I:I,[1]日报透视!A:A,A53,[1]日报透视!B:B,B53)</f>
        <v>0</v>
      </c>
      <c r="H53" s="19">
        <f>SUMIFS([1]日报透视!J:J,[1]日报透视!A:A,A53,[1]日报透视!B:B,B53)</f>
        <v>0</v>
      </c>
      <c r="I53" s="19">
        <f>SUMIFS([1]日报透视!K:K,[1]日报透视!A:A,A53,[1]日报透视!B:B,B53)</f>
        <v>0</v>
      </c>
      <c r="J53" s="19">
        <f>SUMIFS([1]日报透视!L:L,[1]日报透视!A:A,A53,[1]日报透视!B:B,B53)</f>
        <v>0</v>
      </c>
      <c r="K53" s="32">
        <f t="shared" si="1"/>
        <v>0</v>
      </c>
      <c r="L53" s="32">
        <f ca="1" t="shared" si="2"/>
        <v>0</v>
      </c>
      <c r="M53" s="28">
        <f>SUMIFS([1]日报透视!N:N,[1]日报透视!A:A,A53,[1]日报透视!B:B,B53)</f>
        <v>0</v>
      </c>
      <c r="N53" s="29">
        <f ca="1" t="shared" si="3"/>
        <v>0</v>
      </c>
      <c r="O53" s="33" t="str">
        <f>VLOOKUP(B53,[1]门店ID对应关系!J:K,2,0)</f>
        <v>自营</v>
      </c>
      <c r="P53" s="34"/>
      <c r="Q53" s="1" t="str">
        <f t="shared" si="4"/>
        <v>高新店</v>
      </c>
      <c r="R53" s="1" t="str">
        <f>VLOOKUP(Q53,$B$4:$B$42,1,0)</f>
        <v>高新店</v>
      </c>
      <c r="S53" s="6"/>
      <c r="T53" s="44">
        <f ca="1">VLOOKUP(B53,[1]房租水电人工成本!A:N,14,0)*V53*$W$1</f>
        <v>0</v>
      </c>
      <c r="U53" s="46">
        <v>0</v>
      </c>
      <c r="V53" s="1">
        <f>IFERROR(J53/SUMIF(B:B,B53,J:J),0.25)</f>
        <v>0</v>
      </c>
      <c r="W53" s="1">
        <f t="shared" si="5"/>
        <v>0</v>
      </c>
    </row>
    <row r="54" s="1" customFormat="1" ht="16.5" spans="1:23">
      <c r="A54" s="20" t="s">
        <v>59</v>
      </c>
      <c r="B54" s="21" t="s">
        <v>27</v>
      </c>
      <c r="C54" s="22">
        <f>SUMIFS([1]日报透视!E:E,[1]日报透视!A:A,A54,[1]日报透视!B:B,B54)</f>
        <v>0</v>
      </c>
      <c r="D54" s="19">
        <f>SUMIFS([1]日报透视!F:F,[1]日报透视!A:A,A54,[1]日报透视!B:B,B54)</f>
        <v>0</v>
      </c>
      <c r="E54" s="19">
        <f>SUMIFS([1]日报透视!G:G,[1]日报透视!A:A,A54,[1]日报透视!B:B,B54)-M54</f>
        <v>0</v>
      </c>
      <c r="F54" s="22">
        <f t="shared" si="0"/>
        <v>0</v>
      </c>
      <c r="G54" s="19">
        <f>SUMIFS([1]日报透视!I:I,[1]日报透视!A:A,A54,[1]日报透视!B:B,B54)</f>
        <v>0</v>
      </c>
      <c r="H54" s="19">
        <f>SUMIFS([1]日报透视!J:J,[1]日报透视!A:A,A54,[1]日报透视!B:B,B54)</f>
        <v>0</v>
      </c>
      <c r="I54" s="19">
        <f>SUMIFS([1]日报透视!K:K,[1]日报透视!A:A,A54,[1]日报透视!B:B,B54)</f>
        <v>0</v>
      </c>
      <c r="J54" s="19">
        <f>SUMIFS([1]日报透视!L:L,[1]日报透视!A:A,A54,[1]日报透视!B:B,B54)</f>
        <v>0</v>
      </c>
      <c r="K54" s="32">
        <f t="shared" si="1"/>
        <v>0</v>
      </c>
      <c r="L54" s="32">
        <f ca="1" t="shared" si="2"/>
        <v>0</v>
      </c>
      <c r="M54" s="28">
        <f>SUMIFS([1]日报透视!N:N,[1]日报透视!A:A,A54,[1]日报透视!B:B,B54)</f>
        <v>0</v>
      </c>
      <c r="N54" s="29">
        <f ca="1" t="shared" si="3"/>
        <v>0</v>
      </c>
      <c r="O54" s="33" t="str">
        <f>VLOOKUP(B54,[1]门店ID对应关系!J:K,2,0)</f>
        <v>自营</v>
      </c>
      <c r="P54" s="34"/>
      <c r="Q54" s="1" t="str">
        <f t="shared" si="4"/>
        <v>鼓楼店</v>
      </c>
      <c r="R54" s="1" t="str">
        <f>VLOOKUP(Q54,$B$4:$B$42,1,0)</f>
        <v>鼓楼店</v>
      </c>
      <c r="S54" s="6"/>
      <c r="T54" s="44">
        <f ca="1">VLOOKUP(B54,[1]房租水电人工成本!A:N,14,0)*V54*$W$1</f>
        <v>0</v>
      </c>
      <c r="U54" s="46">
        <v>0</v>
      </c>
      <c r="V54" s="1">
        <f>IFERROR(J54/SUMIF(B:B,B54,J:J),0.25)</f>
        <v>0</v>
      </c>
      <c r="W54" s="1">
        <f t="shared" si="5"/>
        <v>0</v>
      </c>
    </row>
    <row r="55" s="1" customFormat="1" ht="16.5" spans="1:23">
      <c r="A55" s="20" t="s">
        <v>59</v>
      </c>
      <c r="B55" s="21" t="s">
        <v>37</v>
      </c>
      <c r="C55" s="22">
        <f>SUMIFS([1]日报透视!E:E,[1]日报透视!A:A,A55,[1]日报透视!B:B,B55)</f>
        <v>64.7</v>
      </c>
      <c r="D55" s="19">
        <f>SUMIFS([1]日报透视!F:F,[1]日报透视!A:A,A55,[1]日报透视!B:B,B55)</f>
        <v>37.8</v>
      </c>
      <c r="E55" s="19">
        <f>SUMIFS([1]日报透视!G:G,[1]日报透视!A:A,A55,[1]日报透视!B:B,B55)-M55</f>
        <v>26.9</v>
      </c>
      <c r="F55" s="22">
        <f t="shared" si="0"/>
        <v>1.8</v>
      </c>
      <c r="G55" s="19">
        <f>SUMIFS([1]日报透视!I:I,[1]日报透视!A:A,A55,[1]日报透视!B:B,B55)</f>
        <v>1.8</v>
      </c>
      <c r="H55" s="19">
        <f>SUMIFS([1]日报透视!J:J,[1]日报透视!A:A,A55,[1]日报透视!B:B,B55)</f>
        <v>3.5</v>
      </c>
      <c r="I55" s="19">
        <f>SUMIFS([1]日报透视!K:K,[1]日报透视!A:A,A55,[1]日报透视!B:B,B55)</f>
        <v>0.562</v>
      </c>
      <c r="J55" s="19">
        <f>SUMIFS([1]日报透视!L:L,[1]日报透视!A:A,A55,[1]日报透视!B:B,B55)</f>
        <v>1</v>
      </c>
      <c r="K55" s="32">
        <f t="shared" si="1"/>
        <v>0.562</v>
      </c>
      <c r="L55" s="32">
        <f ca="1" t="shared" si="2"/>
        <v>3.2016711833785</v>
      </c>
      <c r="M55" s="28">
        <f>SUMIFS([1]日报透视!N:N,[1]日报透视!A:A,A55,[1]日报透视!B:B,B55)</f>
        <v>0</v>
      </c>
      <c r="N55" s="29">
        <f ca="1" t="shared" si="3"/>
        <v>23.6983288166215</v>
      </c>
      <c r="O55" s="33" t="str">
        <f>VLOOKUP(B55,[1]门店ID对应关系!J:K,2,0)</f>
        <v>自营</v>
      </c>
      <c r="P55" s="34"/>
      <c r="Q55" s="1" t="str">
        <f t="shared" si="4"/>
        <v>观桥店</v>
      </c>
      <c r="R55" s="1" t="str">
        <f>VLOOKUP(Q55,$B$4:$B$42,1,0)</f>
        <v>观桥店</v>
      </c>
      <c r="S55" s="6"/>
      <c r="T55" s="44">
        <f ca="1">VLOOKUP(B55,[1]房租水电人工成本!A:N,14,0)*V55*$W$1</f>
        <v>3.2016711833785</v>
      </c>
      <c r="U55" s="46">
        <v>0</v>
      </c>
      <c r="V55" s="1">
        <f>IFERROR(J55/SUMIF(B:B,B55,J:J),0.25)</f>
        <v>0.0121951219512195</v>
      </c>
      <c r="W55" s="1">
        <f t="shared" si="5"/>
        <v>0</v>
      </c>
    </row>
    <row r="56" s="1" customFormat="1" ht="16.5" spans="1:23">
      <c r="A56" s="20" t="s">
        <v>59</v>
      </c>
      <c r="B56" s="21" t="s">
        <v>49</v>
      </c>
      <c r="C56" s="22">
        <f>SUMIFS([1]日报透视!E:E,[1]日报透视!A:A,A56,[1]日报透视!B:B,B56)</f>
        <v>0</v>
      </c>
      <c r="D56" s="19">
        <f>SUMIFS([1]日报透视!F:F,[1]日报透视!A:A,A56,[1]日报透视!B:B,B56)</f>
        <v>0</v>
      </c>
      <c r="E56" s="19">
        <f>SUMIFS([1]日报透视!G:G,[1]日报透视!A:A,A56,[1]日报透视!B:B,B56)-M56</f>
        <v>0</v>
      </c>
      <c r="F56" s="22">
        <f t="shared" si="0"/>
        <v>0</v>
      </c>
      <c r="G56" s="19">
        <f>SUMIFS([1]日报透视!I:I,[1]日报透视!A:A,A56,[1]日报透视!B:B,B56)</f>
        <v>0</v>
      </c>
      <c r="H56" s="19">
        <f>SUMIFS([1]日报透视!J:J,[1]日报透视!A:A,A56,[1]日报透视!B:B,B56)</f>
        <v>0</v>
      </c>
      <c r="I56" s="19">
        <f>SUMIFS([1]日报透视!K:K,[1]日报透视!A:A,A56,[1]日报透视!B:B,B56)</f>
        <v>0</v>
      </c>
      <c r="J56" s="19">
        <f>SUMIFS([1]日报透视!L:L,[1]日报透视!A:A,A56,[1]日报透视!B:B,B56)</f>
        <v>0</v>
      </c>
      <c r="K56" s="32">
        <f t="shared" si="1"/>
        <v>0</v>
      </c>
      <c r="L56" s="32">
        <f ca="1" t="shared" si="2"/>
        <v>0</v>
      </c>
      <c r="M56" s="28">
        <f>SUMIFS([1]日报透视!N:N,[1]日报透视!A:A,A56,[1]日报透视!B:B,B56)</f>
        <v>0</v>
      </c>
      <c r="N56" s="29">
        <f ca="1" t="shared" si="3"/>
        <v>0</v>
      </c>
      <c r="O56" s="33" t="str">
        <f>VLOOKUP(B56,[1]门店ID对应关系!J:K,2,0)</f>
        <v>加盟</v>
      </c>
      <c r="P56" s="34"/>
      <c r="Q56" s="1" t="str">
        <f t="shared" si="4"/>
        <v>文灶店</v>
      </c>
      <c r="R56" s="1" t="str">
        <f>VLOOKUP(Q56,$B$4:$B$42,1,0)</f>
        <v>文灶店</v>
      </c>
      <c r="S56" s="6"/>
      <c r="T56" s="44">
        <f ca="1">VLOOKUP(B56,[1]房租水电人工成本!A:N,14,0)*V56*$W$1</f>
        <v>0</v>
      </c>
      <c r="U56" s="46">
        <v>1</v>
      </c>
      <c r="V56" s="1">
        <f>IFERROR(J56/SUMIF(B:B,B56,J:J),0.25)</f>
        <v>0</v>
      </c>
      <c r="W56" s="1">
        <f t="shared" si="5"/>
        <v>0</v>
      </c>
    </row>
    <row r="57" s="1" customFormat="1" ht="16.5" spans="1:23">
      <c r="A57" s="20" t="s">
        <v>59</v>
      </c>
      <c r="B57" s="21" t="s">
        <v>56</v>
      </c>
      <c r="C57" s="22">
        <f>SUMIFS([1]日报透视!E:E,[1]日报透视!A:A,A57,[1]日报透视!B:B,B57)</f>
        <v>0</v>
      </c>
      <c r="D57" s="19">
        <f>SUMIFS([1]日报透视!F:F,[1]日报透视!A:A,A57,[1]日报透视!B:B,B57)</f>
        <v>0</v>
      </c>
      <c r="E57" s="19">
        <f>SUMIFS([1]日报透视!G:G,[1]日报透视!A:A,A57,[1]日报透视!B:B,B57)-M57</f>
        <v>0</v>
      </c>
      <c r="F57" s="22">
        <f t="shared" si="0"/>
        <v>0</v>
      </c>
      <c r="G57" s="19">
        <f>SUMIFS([1]日报透视!I:I,[1]日报透视!A:A,A57,[1]日报透视!B:B,B57)</f>
        <v>0</v>
      </c>
      <c r="H57" s="19">
        <f>SUMIFS([1]日报透视!J:J,[1]日报透视!A:A,A57,[1]日报透视!B:B,B57)</f>
        <v>0</v>
      </c>
      <c r="I57" s="19">
        <f>SUMIFS([1]日报透视!K:K,[1]日报透视!A:A,A57,[1]日报透视!B:B,B57)</f>
        <v>0</v>
      </c>
      <c r="J57" s="19">
        <f>SUMIFS([1]日报透视!L:L,[1]日报透视!A:A,A57,[1]日报透视!B:B,B57)</f>
        <v>0</v>
      </c>
      <c r="K57" s="32">
        <f t="shared" si="1"/>
        <v>0</v>
      </c>
      <c r="L57" s="32">
        <f ca="1" t="shared" si="2"/>
        <v>0</v>
      </c>
      <c r="M57" s="28">
        <f>SUMIFS([1]日报透视!N:N,[1]日报透视!A:A,A57,[1]日报透视!B:B,B57)</f>
        <v>0</v>
      </c>
      <c r="N57" s="29">
        <f ca="1" t="shared" si="3"/>
        <v>0</v>
      </c>
      <c r="O57" s="33" t="str">
        <f>VLOOKUP(B57,[1]门店ID对应关系!J:K,2,0)</f>
        <v>自营</v>
      </c>
      <c r="P57" s="34"/>
      <c r="Q57" s="1" t="str">
        <f t="shared" si="4"/>
        <v>滨江店</v>
      </c>
      <c r="R57" s="1" t="str">
        <f>VLOOKUP(Q57,$B$4:$B$42,1,0)</f>
        <v>滨江店</v>
      </c>
      <c r="S57" s="6"/>
      <c r="T57" s="44">
        <f ca="1">VLOOKUP(B57,[1]房租水电人工成本!A:N,14,0)*V57*$W$1</f>
        <v>0</v>
      </c>
      <c r="U57" s="46">
        <v>0</v>
      </c>
      <c r="V57" s="1">
        <f>IFERROR(J57/SUMIF(B:B,B57,J:J),0.25)</f>
        <v>0</v>
      </c>
      <c r="W57" s="1">
        <f t="shared" si="5"/>
        <v>0</v>
      </c>
    </row>
    <row r="58" s="4" customFormat="1" ht="16.5" spans="1:23">
      <c r="A58" s="20" t="s">
        <v>59</v>
      </c>
      <c r="B58" s="21" t="s">
        <v>44</v>
      </c>
      <c r="C58" s="22">
        <f>SUMIFS([1]日报透视!E:E,[1]日报透视!A:A,A58,[1]日报透视!B:B,B58)</f>
        <v>0</v>
      </c>
      <c r="D58" s="19">
        <f>SUMIFS([1]日报透视!F:F,[1]日报透视!A:A,A58,[1]日报透视!B:B,B58)</f>
        <v>0</v>
      </c>
      <c r="E58" s="19">
        <f>SUMIFS([1]日报透视!G:G,[1]日报透视!A:A,A58,[1]日报透视!B:B,B58)-M58</f>
        <v>0</v>
      </c>
      <c r="F58" s="22">
        <f t="shared" si="0"/>
        <v>0</v>
      </c>
      <c r="G58" s="19">
        <f>SUMIFS([1]日报透视!I:I,[1]日报透视!A:A,A58,[1]日报透视!B:B,B58)</f>
        <v>0</v>
      </c>
      <c r="H58" s="19">
        <f>SUMIFS([1]日报透视!J:J,[1]日报透视!A:A,A58,[1]日报透视!B:B,B58)</f>
        <v>0</v>
      </c>
      <c r="I58" s="19">
        <f>SUMIFS([1]日报透视!K:K,[1]日报透视!A:A,A58,[1]日报透视!B:B,B58)</f>
        <v>0</v>
      </c>
      <c r="J58" s="19">
        <f>SUMIFS([1]日报透视!L:L,[1]日报透视!A:A,A58,[1]日报透视!B:B,B58)</f>
        <v>0</v>
      </c>
      <c r="K58" s="32">
        <f t="shared" si="1"/>
        <v>0</v>
      </c>
      <c r="L58" s="32">
        <f ca="1" t="shared" si="2"/>
        <v>0</v>
      </c>
      <c r="M58" s="28">
        <f>SUMIFS([1]日报透视!N:N,[1]日报透视!A:A,A58,[1]日报透视!B:B,B58)</f>
        <v>0</v>
      </c>
      <c r="N58" s="29">
        <f ca="1" t="shared" si="3"/>
        <v>0</v>
      </c>
      <c r="O58" s="33" t="str">
        <f>VLOOKUP(B58,[1]门店ID对应关系!J:K,2,0)</f>
        <v>自营</v>
      </c>
      <c r="P58" s="34"/>
      <c r="Q58" s="1" t="str">
        <f t="shared" si="4"/>
        <v>下沙店</v>
      </c>
      <c r="R58" s="1" t="str">
        <f>VLOOKUP(Q58,$B$4:$B$42,1,0)</f>
        <v>下沙店</v>
      </c>
      <c r="S58" s="6"/>
      <c r="T58" s="44">
        <f ca="1">VLOOKUP(B58,[1]房租水电人工成本!A:N,14,0)*V58*$W$1</f>
        <v>0</v>
      </c>
      <c r="U58" s="46">
        <v>0</v>
      </c>
      <c r="V58" s="1">
        <f>IFERROR(J58/SUMIF(B:B,B58,J:J),0.25)</f>
        <v>0</v>
      </c>
      <c r="W58" s="1">
        <f t="shared" si="5"/>
        <v>0</v>
      </c>
    </row>
    <row r="59" s="1" customFormat="1" ht="16.5" spans="1:23">
      <c r="A59" s="20" t="s">
        <v>59</v>
      </c>
      <c r="B59" s="21" t="s">
        <v>33</v>
      </c>
      <c r="C59" s="22">
        <f>SUMIFS([1]日报透视!E:E,[1]日报透视!A:A,A59,[1]日报透视!B:B,B59)</f>
        <v>0</v>
      </c>
      <c r="D59" s="19">
        <f>SUMIFS([1]日报透视!F:F,[1]日报透视!A:A,A59,[1]日报透视!B:B,B59)</f>
        <v>0</v>
      </c>
      <c r="E59" s="19">
        <f>SUMIFS([1]日报透视!G:G,[1]日报透视!A:A,A59,[1]日报透视!B:B,B59)-M59</f>
        <v>0</v>
      </c>
      <c r="F59" s="22">
        <f t="shared" si="0"/>
        <v>0</v>
      </c>
      <c r="G59" s="19">
        <f>SUMIFS([1]日报透视!I:I,[1]日报透视!A:A,A59,[1]日报透视!B:B,B59)</f>
        <v>0</v>
      </c>
      <c r="H59" s="19">
        <f>SUMIFS([1]日报透视!J:J,[1]日报透视!A:A,A59,[1]日报透视!B:B,B59)</f>
        <v>0</v>
      </c>
      <c r="I59" s="19">
        <f>SUMIFS([1]日报透视!K:K,[1]日报透视!A:A,A59,[1]日报透视!B:B,B59)</f>
        <v>0</v>
      </c>
      <c r="J59" s="19">
        <f>SUMIFS([1]日报透视!L:L,[1]日报透视!A:A,A59,[1]日报透视!B:B,B59)</f>
        <v>0</v>
      </c>
      <c r="K59" s="32">
        <f t="shared" si="1"/>
        <v>0</v>
      </c>
      <c r="L59" s="32">
        <f ca="1" t="shared" si="2"/>
        <v>0</v>
      </c>
      <c r="M59" s="28">
        <f>SUMIFS([1]日报透视!N:N,[1]日报透视!A:A,A59,[1]日报透视!B:B,B59)</f>
        <v>0</v>
      </c>
      <c r="N59" s="29">
        <f ca="1" t="shared" si="3"/>
        <v>0</v>
      </c>
      <c r="O59" s="33" t="str">
        <f>VLOOKUP(B59,[1]门店ID对应关系!J:K,2,0)</f>
        <v>加盟</v>
      </c>
      <c r="P59" s="34"/>
      <c r="Q59" s="1" t="str">
        <f t="shared" si="4"/>
        <v>东海店</v>
      </c>
      <c r="R59" s="1" t="str">
        <f>VLOOKUP(Q59,$B$4:$B$42,1,0)</f>
        <v>东海店</v>
      </c>
      <c r="S59" s="6"/>
      <c r="T59" s="44">
        <f ca="1">VLOOKUP(B59,[1]房租水电人工成本!A:N,14,0)*V59*$W$1</f>
        <v>0</v>
      </c>
      <c r="U59" s="46">
        <v>0</v>
      </c>
      <c r="V59" s="1">
        <f>IFERROR(J59/SUMIF(B:B,B59,J:J),0.25)</f>
        <v>0</v>
      </c>
      <c r="W59" s="1">
        <f t="shared" si="5"/>
        <v>0</v>
      </c>
    </row>
    <row r="60" s="1" customFormat="1" ht="16.5" spans="1:23">
      <c r="A60" s="20" t="s">
        <v>59</v>
      </c>
      <c r="B60" s="21" t="s">
        <v>23</v>
      </c>
      <c r="C60" s="22">
        <f>SUMIFS([1]日报透视!E:E,[1]日报透视!A:A,A60,[1]日报透视!B:B,B60)</f>
        <v>0</v>
      </c>
      <c r="D60" s="19">
        <f>SUMIFS([1]日报透视!F:F,[1]日报透视!A:A,A60,[1]日报透视!B:B,B60)</f>
        <v>0</v>
      </c>
      <c r="E60" s="19">
        <f>SUMIFS([1]日报透视!G:G,[1]日报透视!A:A,A60,[1]日报透视!B:B,B60)-M60</f>
        <v>0</v>
      </c>
      <c r="F60" s="22">
        <f t="shared" si="0"/>
        <v>0</v>
      </c>
      <c r="G60" s="19">
        <f>SUMIFS([1]日报透视!I:I,[1]日报透视!A:A,A60,[1]日报透视!B:B,B60)</f>
        <v>0</v>
      </c>
      <c r="H60" s="19">
        <f>SUMIFS([1]日报透视!J:J,[1]日报透视!A:A,A60,[1]日报透视!B:B,B60)</f>
        <v>0</v>
      </c>
      <c r="I60" s="19">
        <f>SUMIFS([1]日报透视!K:K,[1]日报透视!A:A,A60,[1]日报透视!B:B,B60)</f>
        <v>0</v>
      </c>
      <c r="J60" s="19">
        <f>SUMIFS([1]日报透视!L:L,[1]日报透视!A:A,A60,[1]日报透视!B:B,B60)</f>
        <v>0</v>
      </c>
      <c r="K60" s="32">
        <f t="shared" si="1"/>
        <v>0</v>
      </c>
      <c r="L60" s="32">
        <f ca="1" t="shared" si="2"/>
        <v>0</v>
      </c>
      <c r="M60" s="28">
        <f>SUMIFS([1]日报透视!N:N,[1]日报透视!A:A,A60,[1]日报透视!B:B,B60)</f>
        <v>0</v>
      </c>
      <c r="N60" s="29">
        <f ca="1" t="shared" si="3"/>
        <v>0</v>
      </c>
      <c r="O60" s="33" t="str">
        <f>VLOOKUP(B60,[1]门店ID对应关系!J:K,2,0)</f>
        <v>自营</v>
      </c>
      <c r="P60" s="34"/>
      <c r="Q60" s="1" t="str">
        <f t="shared" si="4"/>
        <v>泉秀店</v>
      </c>
      <c r="R60" s="1" t="str">
        <f>VLOOKUP(Q60,$B$4:$B$42,1,0)</f>
        <v>泉秀店</v>
      </c>
      <c r="S60" s="6"/>
      <c r="T60" s="44">
        <f ca="1">VLOOKUP(B60,[1]房租水电人工成本!A:N,14,0)*V60*$W$1</f>
        <v>0</v>
      </c>
      <c r="U60" s="46">
        <v>0</v>
      </c>
      <c r="V60" s="1">
        <f>IFERROR(J60/SUMIF(B:B,B60,J:J),0.25)</f>
        <v>0</v>
      </c>
      <c r="W60" s="1">
        <f t="shared" si="5"/>
        <v>0</v>
      </c>
    </row>
    <row r="61" s="1" customFormat="1" ht="16.5" spans="1:23">
      <c r="A61" s="20" t="s">
        <v>59</v>
      </c>
      <c r="B61" s="21" t="s">
        <v>41</v>
      </c>
      <c r="C61" s="22">
        <f>SUMIFS([1]日报透视!E:E,[1]日报透视!A:A,A61,[1]日报透视!B:B,B61)</f>
        <v>0</v>
      </c>
      <c r="D61" s="19">
        <f>SUMIFS([1]日报透视!F:F,[1]日报透视!A:A,A61,[1]日报透视!B:B,B61)</f>
        <v>0</v>
      </c>
      <c r="E61" s="19">
        <f>SUMIFS([1]日报透视!G:G,[1]日报透视!A:A,A61,[1]日报透视!B:B,B61)-M61</f>
        <v>0</v>
      </c>
      <c r="F61" s="22">
        <f t="shared" si="0"/>
        <v>0</v>
      </c>
      <c r="G61" s="19">
        <f>SUMIFS([1]日报透视!I:I,[1]日报透视!A:A,A61,[1]日报透视!B:B,B61)</f>
        <v>0</v>
      </c>
      <c r="H61" s="19">
        <f>SUMIFS([1]日报透视!J:J,[1]日报透视!A:A,A61,[1]日报透视!B:B,B61)</f>
        <v>0</v>
      </c>
      <c r="I61" s="19">
        <f>SUMIFS([1]日报透视!K:K,[1]日报透视!A:A,A61,[1]日报透视!B:B,B61)</f>
        <v>0</v>
      </c>
      <c r="J61" s="19">
        <f>SUMIFS([1]日报透视!L:L,[1]日报透视!A:A,A61,[1]日报透视!B:B,B61)</f>
        <v>0</v>
      </c>
      <c r="K61" s="32">
        <f t="shared" si="1"/>
        <v>0</v>
      </c>
      <c r="L61" s="32">
        <f ca="1" t="shared" si="2"/>
        <v>0</v>
      </c>
      <c r="M61" s="28">
        <f>SUMIFS([1]日报透视!N:N,[1]日报透视!A:A,A61,[1]日报透视!B:B,B61)</f>
        <v>0</v>
      </c>
      <c r="N61" s="29">
        <f ca="1" t="shared" si="3"/>
        <v>0</v>
      </c>
      <c r="O61" s="33" t="str">
        <f>VLOOKUP(B61,[1]门店ID对应关系!J:K,2,0)</f>
        <v>自营</v>
      </c>
      <c r="P61" s="34"/>
      <c r="Q61" s="1" t="str">
        <f t="shared" si="4"/>
        <v>观音桥店</v>
      </c>
      <c r="R61" s="1" t="str">
        <f>VLOOKUP(Q61,$B$4:$B$42,1,0)</f>
        <v>观音桥店</v>
      </c>
      <c r="S61" s="6"/>
      <c r="T61" s="44">
        <f ca="1">VLOOKUP(B61,[1]房租水电人工成本!A:N,14,0)*V61*$W$1</f>
        <v>0</v>
      </c>
      <c r="U61" s="46">
        <v>0</v>
      </c>
      <c r="V61" s="1">
        <f>IFERROR(J61/SUMIF(B:B,B61,J:J),0.25)</f>
        <v>0</v>
      </c>
      <c r="W61" s="1">
        <f t="shared" si="5"/>
        <v>0</v>
      </c>
    </row>
    <row r="62" s="1" customFormat="1" ht="16.5" spans="1:23">
      <c r="A62" s="20" t="s">
        <v>59</v>
      </c>
      <c r="B62" s="21" t="s">
        <v>38</v>
      </c>
      <c r="C62" s="22">
        <f>SUMIFS([1]日报透视!E:E,[1]日报透视!A:A,A62,[1]日报透视!B:B,B62)</f>
        <v>0</v>
      </c>
      <c r="D62" s="19">
        <f>SUMIFS([1]日报透视!F:F,[1]日报透视!A:A,A62,[1]日报透视!B:B,B62)</f>
        <v>0</v>
      </c>
      <c r="E62" s="19">
        <f>SUMIFS([1]日报透视!G:G,[1]日报透视!A:A,A62,[1]日报透视!B:B,B62)-M62</f>
        <v>0</v>
      </c>
      <c r="F62" s="22">
        <f t="shared" si="0"/>
        <v>0</v>
      </c>
      <c r="G62" s="19">
        <f>SUMIFS([1]日报透视!I:I,[1]日报透视!A:A,A62,[1]日报透视!B:B,B62)</f>
        <v>0</v>
      </c>
      <c r="H62" s="19">
        <f>SUMIFS([1]日报透视!J:J,[1]日报透视!A:A,A62,[1]日报透视!B:B,B62)</f>
        <v>0</v>
      </c>
      <c r="I62" s="19">
        <f>SUMIFS([1]日报透视!K:K,[1]日报透视!A:A,A62,[1]日报透视!B:B,B62)</f>
        <v>0</v>
      </c>
      <c r="J62" s="19">
        <f>SUMIFS([1]日报透视!L:L,[1]日报透视!A:A,A62,[1]日报透视!B:B,B62)</f>
        <v>0</v>
      </c>
      <c r="K62" s="32">
        <f t="shared" si="1"/>
        <v>0</v>
      </c>
      <c r="L62" s="32">
        <f ca="1" t="shared" si="2"/>
        <v>0</v>
      </c>
      <c r="M62" s="28">
        <f>SUMIFS([1]日报透视!N:N,[1]日报透视!A:A,A62,[1]日报透视!B:B,B62)</f>
        <v>0</v>
      </c>
      <c r="N62" s="29">
        <f ca="1" t="shared" si="3"/>
        <v>0</v>
      </c>
      <c r="O62" s="33" t="str">
        <f>VLOOKUP(B62,[1]门店ID对应关系!J:K,2,0)</f>
        <v>自营</v>
      </c>
      <c r="P62" s="34"/>
      <c r="Q62" s="1" t="str">
        <f t="shared" si="4"/>
        <v>官渡店</v>
      </c>
      <c r="R62" s="1" t="str">
        <f>VLOOKUP(Q62,$B$4:$B$42,1,0)</f>
        <v>官渡店</v>
      </c>
      <c r="S62" s="6"/>
      <c r="T62" s="44">
        <f ca="1">VLOOKUP(B62,[1]房租水电人工成本!A:N,14,0)*V62*$W$1</f>
        <v>0</v>
      </c>
      <c r="U62" s="46">
        <v>0</v>
      </c>
      <c r="V62" s="1">
        <f>IFERROR(J62/SUMIF(B:B,B62,J:J),0.25)</f>
        <v>0</v>
      </c>
      <c r="W62" s="1">
        <f t="shared" si="5"/>
        <v>0</v>
      </c>
    </row>
    <row r="63" s="1" customFormat="1" ht="16.5" spans="1:23">
      <c r="A63" s="20" t="s">
        <v>59</v>
      </c>
      <c r="B63" s="21" t="s">
        <v>50</v>
      </c>
      <c r="C63" s="22">
        <f>SUMIFS([1]日报透视!E:E,[1]日报透视!A:A,A63,[1]日报透视!B:B,B63)</f>
        <v>0</v>
      </c>
      <c r="D63" s="19">
        <f>SUMIFS([1]日报透视!F:F,[1]日报透视!A:A,A63,[1]日报透视!B:B,B63)</f>
        <v>0</v>
      </c>
      <c r="E63" s="19">
        <f>SUMIFS([1]日报透视!G:G,[1]日报透视!A:A,A63,[1]日报透视!B:B,B63)-M63</f>
        <v>0</v>
      </c>
      <c r="F63" s="22">
        <f t="shared" si="0"/>
        <v>0</v>
      </c>
      <c r="G63" s="19">
        <f>SUMIFS([1]日报透视!I:I,[1]日报透视!A:A,A63,[1]日报透视!B:B,B63)</f>
        <v>0</v>
      </c>
      <c r="H63" s="19">
        <f>SUMIFS([1]日报透视!J:J,[1]日报透视!A:A,A63,[1]日报透视!B:B,B63)</f>
        <v>0</v>
      </c>
      <c r="I63" s="19">
        <f>SUMIFS([1]日报透视!K:K,[1]日报透视!A:A,A63,[1]日报透视!B:B,B63)</f>
        <v>0</v>
      </c>
      <c r="J63" s="19">
        <f>SUMIFS([1]日报透视!L:L,[1]日报透视!A:A,A63,[1]日报透视!B:B,B63)</f>
        <v>0</v>
      </c>
      <c r="K63" s="32">
        <f t="shared" si="1"/>
        <v>0</v>
      </c>
      <c r="L63" s="32">
        <f ca="1" t="shared" si="2"/>
        <v>0</v>
      </c>
      <c r="M63" s="28">
        <f>SUMIFS([1]日报透视!N:N,[1]日报透视!A:A,A63,[1]日报透视!B:B,B63)</f>
        <v>0</v>
      </c>
      <c r="N63" s="29">
        <f ca="1" t="shared" si="3"/>
        <v>0</v>
      </c>
      <c r="O63" s="33" t="str">
        <f>VLOOKUP(B63,[1]门店ID对应关系!J:K,2,0)</f>
        <v>加盟</v>
      </c>
      <c r="P63" s="34"/>
      <c r="Q63" s="1" t="str">
        <f t="shared" si="4"/>
        <v>海口店</v>
      </c>
      <c r="R63" s="1" t="str">
        <f>VLOOKUP(Q63,$B$4:$B$42,1,0)</f>
        <v>海口店</v>
      </c>
      <c r="S63" s="6"/>
      <c r="T63" s="44">
        <f ca="1">VLOOKUP(B63,[1]房租水电人工成本!A:N,14,0)*V63*$W$1</f>
        <v>0</v>
      </c>
      <c r="U63" s="46">
        <v>0</v>
      </c>
      <c r="V63" s="1">
        <f>IFERROR(J63/SUMIF(B:B,B63,J:J),0.25)</f>
        <v>0</v>
      </c>
      <c r="W63" s="1">
        <f t="shared" si="5"/>
        <v>0</v>
      </c>
    </row>
    <row r="64" s="1" customFormat="1" ht="16.5" spans="1:23">
      <c r="A64" s="20" t="s">
        <v>59</v>
      </c>
      <c r="B64" s="21" t="s">
        <v>26</v>
      </c>
      <c r="C64" s="22">
        <f>SUMIFS([1]日报透视!E:E,[1]日报透视!A:A,A64,[1]日报透视!B:B,B64)</f>
        <v>261.45</v>
      </c>
      <c r="D64" s="19">
        <f>SUMIFS([1]日报透视!F:F,[1]日报透视!A:A,A64,[1]日报透视!B:B,B64)</f>
        <v>166</v>
      </c>
      <c r="E64" s="19">
        <f>SUMIFS([1]日报透视!G:G,[1]日报透视!A:A,A64,[1]日报透视!B:B,B64)-M64</f>
        <v>95.45</v>
      </c>
      <c r="F64" s="22">
        <f t="shared" si="0"/>
        <v>1.8</v>
      </c>
      <c r="G64" s="19">
        <f>SUMIFS([1]日报透视!I:I,[1]日报透视!A:A,A64,[1]日报透视!B:B,B64)</f>
        <v>3.6</v>
      </c>
      <c r="H64" s="19">
        <f>SUMIFS([1]日报透视!J:J,[1]日报透视!A:A,A64,[1]日报透视!B:B,B64)</f>
        <v>13.95</v>
      </c>
      <c r="I64" s="19">
        <f>SUMIFS([1]日报透视!K:K,[1]日报透视!A:A,A64,[1]日报透视!B:B,B64)</f>
        <v>6.991</v>
      </c>
      <c r="J64" s="19">
        <f>SUMIFS([1]日报透视!L:L,[1]日报透视!A:A,A64,[1]日报透视!B:B,B64)</f>
        <v>2</v>
      </c>
      <c r="K64" s="32">
        <f t="shared" si="1"/>
        <v>3.4955</v>
      </c>
      <c r="L64" s="32">
        <f ca="1" t="shared" si="2"/>
        <v>8.22721758974359</v>
      </c>
      <c r="M64" s="28">
        <f>SUMIFS([1]日报透视!N:N,[1]日报透视!A:A,A64,[1]日报透视!B:B,B64)</f>
        <v>0</v>
      </c>
      <c r="N64" s="29">
        <f ca="1" t="shared" si="3"/>
        <v>87.2227824102564</v>
      </c>
      <c r="O64" s="33" t="str">
        <f>VLOOKUP(B64,[1]门店ID对应关系!J:K,2,0)</f>
        <v>自营</v>
      </c>
      <c r="P64" s="34"/>
      <c r="Q64" s="1" t="str">
        <f t="shared" si="4"/>
        <v>湖里店</v>
      </c>
      <c r="R64" s="1" t="str">
        <f>VLOOKUP(Q64,$B$4:$B$42,1,0)</f>
        <v>湖里店</v>
      </c>
      <c r="S64" s="6"/>
      <c r="T64" s="44">
        <f ca="1">VLOOKUP(B64,[1]房租水电人工成本!A:N,14,0)*V64*$W$1</f>
        <v>8.22721758974359</v>
      </c>
      <c r="U64" s="46">
        <v>0</v>
      </c>
      <c r="V64" s="1">
        <f>IFERROR(J64/SUMIF(B:B,B64,J:J),0.25)</f>
        <v>0.0153846153846154</v>
      </c>
      <c r="W64" s="1">
        <f t="shared" si="5"/>
        <v>0</v>
      </c>
    </row>
    <row r="65" s="1" customFormat="1" ht="16.5" spans="1:23">
      <c r="A65" s="20" t="s">
        <v>59</v>
      </c>
      <c r="B65" s="21" t="s">
        <v>45</v>
      </c>
      <c r="C65" s="22">
        <f>SUMIFS([1]日报透视!E:E,[1]日报透视!A:A,A65,[1]日报透视!B:B,B65)</f>
        <v>0</v>
      </c>
      <c r="D65" s="19">
        <f>SUMIFS([1]日报透视!F:F,[1]日报透视!A:A,A65,[1]日报透视!B:B,B65)</f>
        <v>0</v>
      </c>
      <c r="E65" s="19">
        <f>SUMIFS([1]日报透视!G:G,[1]日报透视!A:A,A65,[1]日报透视!B:B,B65)-M65</f>
        <v>0</v>
      </c>
      <c r="F65" s="22">
        <f t="shared" si="0"/>
        <v>0</v>
      </c>
      <c r="G65" s="19">
        <f>SUMIFS([1]日报透视!I:I,[1]日报透视!A:A,A65,[1]日报透视!B:B,B65)</f>
        <v>0</v>
      </c>
      <c r="H65" s="19">
        <f>SUMIFS([1]日报透视!J:J,[1]日报透视!A:A,A65,[1]日报透视!B:B,B65)</f>
        <v>0</v>
      </c>
      <c r="I65" s="19">
        <f>SUMIFS([1]日报透视!K:K,[1]日报透视!A:A,A65,[1]日报透视!B:B,B65)</f>
        <v>0</v>
      </c>
      <c r="J65" s="19">
        <f>SUMIFS([1]日报透视!L:L,[1]日报透视!A:A,A65,[1]日报透视!B:B,B65)</f>
        <v>0</v>
      </c>
      <c r="K65" s="32">
        <f t="shared" si="1"/>
        <v>0</v>
      </c>
      <c r="L65" s="32">
        <f ca="1" t="shared" si="2"/>
        <v>0</v>
      </c>
      <c r="M65" s="28">
        <f>SUMIFS([1]日报透视!N:N,[1]日报透视!A:A,A65,[1]日报透视!B:B,B65)</f>
        <v>0</v>
      </c>
      <c r="N65" s="29">
        <f ca="1" t="shared" si="3"/>
        <v>0</v>
      </c>
      <c r="O65" s="33" t="str">
        <f>VLOOKUP(B65,[1]门店ID对应关系!J:K,2,0)</f>
        <v>自营</v>
      </c>
      <c r="P65" s="34"/>
      <c r="Q65" s="1" t="str">
        <f t="shared" si="4"/>
        <v>华信店</v>
      </c>
      <c r="R65" s="1" t="str">
        <f>VLOOKUP(Q65,$B$4:$B$42,1,0)</f>
        <v>华信店</v>
      </c>
      <c r="S65" s="6"/>
      <c r="T65" s="44">
        <f ca="1">VLOOKUP(B65,[1]房租水电人工成本!A:N,14,0)*V65*$W$1</f>
        <v>0</v>
      </c>
      <c r="U65" s="46">
        <v>0</v>
      </c>
      <c r="V65" s="1">
        <f>IFERROR(J65/SUMIF(B:B,B65,J:J),0.25)</f>
        <v>0</v>
      </c>
      <c r="W65" s="1">
        <f t="shared" si="5"/>
        <v>0</v>
      </c>
    </row>
    <row r="66" s="1" customFormat="1" ht="16.5" spans="1:23">
      <c r="A66" s="20" t="s">
        <v>59</v>
      </c>
      <c r="B66" s="21" t="s">
        <v>47</v>
      </c>
      <c r="C66" s="22">
        <f>SUMIFS([1]日报透视!E:E,[1]日报透视!A:A,A66,[1]日报透视!B:B,B66)</f>
        <v>0</v>
      </c>
      <c r="D66" s="19">
        <f>SUMIFS([1]日报透视!F:F,[1]日报透视!A:A,A66,[1]日报透视!B:B,B66)</f>
        <v>0</v>
      </c>
      <c r="E66" s="19">
        <f>SUMIFS([1]日报透视!G:G,[1]日报透视!A:A,A66,[1]日报透视!B:B,B66)-M66</f>
        <v>0</v>
      </c>
      <c r="F66" s="22">
        <f t="shared" si="0"/>
        <v>0</v>
      </c>
      <c r="G66" s="19">
        <f>SUMIFS([1]日报透视!I:I,[1]日报透视!A:A,A66,[1]日报透视!B:B,B66)</f>
        <v>0</v>
      </c>
      <c r="H66" s="19">
        <f>SUMIFS([1]日报透视!J:J,[1]日报透视!A:A,A66,[1]日报透视!B:B,B66)</f>
        <v>0</v>
      </c>
      <c r="I66" s="19">
        <f>SUMIFS([1]日报透视!K:K,[1]日报透视!A:A,A66,[1]日报透视!B:B,B66)</f>
        <v>0</v>
      </c>
      <c r="J66" s="19">
        <f>SUMIFS([1]日报透视!L:L,[1]日报透视!A:A,A66,[1]日报透视!B:B,B66)</f>
        <v>0</v>
      </c>
      <c r="K66" s="32">
        <f t="shared" si="1"/>
        <v>0</v>
      </c>
      <c r="L66" s="32">
        <f ca="1" t="shared" si="2"/>
        <v>0</v>
      </c>
      <c r="M66" s="28">
        <f>SUMIFS([1]日报透视!N:N,[1]日报透视!A:A,A66,[1]日报透视!B:B,B66)</f>
        <v>0</v>
      </c>
      <c r="N66" s="29">
        <f ca="1" t="shared" si="3"/>
        <v>0</v>
      </c>
      <c r="O66" s="33" t="str">
        <f>VLOOKUP(B66,[1]门店ID对应关系!J:K,2,0)</f>
        <v>自营</v>
      </c>
      <c r="P66" s="34"/>
      <c r="Q66" s="1" t="str">
        <f t="shared" si="4"/>
        <v>槐荫店</v>
      </c>
      <c r="R66" s="1" t="str">
        <f>VLOOKUP(Q66,$B$4:$B$42,1,0)</f>
        <v>槐荫店</v>
      </c>
      <c r="S66" s="6"/>
      <c r="T66" s="44">
        <f ca="1">VLOOKUP(B66,[1]房租水电人工成本!A:N,14,0)*V66*$W$1</f>
        <v>0</v>
      </c>
      <c r="U66" s="46">
        <v>0</v>
      </c>
      <c r="V66" s="1">
        <f>IFERROR(J66/SUMIF(B:B,B66,J:J),0.25)</f>
        <v>0</v>
      </c>
      <c r="W66" s="1">
        <f t="shared" si="5"/>
        <v>0</v>
      </c>
    </row>
    <row r="67" s="1" customFormat="1" ht="16.5" spans="1:23">
      <c r="A67" s="20" t="s">
        <v>59</v>
      </c>
      <c r="B67" s="21" t="s">
        <v>43</v>
      </c>
      <c r="C67" s="22">
        <f>SUMIFS([1]日报透视!E:E,[1]日报透视!A:A,A67,[1]日报透视!B:B,B67)</f>
        <v>0</v>
      </c>
      <c r="D67" s="19">
        <f>SUMIFS([1]日报透视!F:F,[1]日报透视!A:A,A67,[1]日报透视!B:B,B67)</f>
        <v>0</v>
      </c>
      <c r="E67" s="19">
        <f>SUMIFS([1]日报透视!G:G,[1]日报透视!A:A,A67,[1]日报透视!B:B,B67)-M67</f>
        <v>0</v>
      </c>
      <c r="F67" s="22">
        <f t="shared" si="0"/>
        <v>0</v>
      </c>
      <c r="G67" s="19">
        <f>SUMIFS([1]日报透视!I:I,[1]日报透视!A:A,A67,[1]日报透视!B:B,B67)</f>
        <v>0</v>
      </c>
      <c r="H67" s="19">
        <f>SUMIFS([1]日报透视!J:J,[1]日报透视!A:A,A67,[1]日报透视!B:B,B67)</f>
        <v>0</v>
      </c>
      <c r="I67" s="19">
        <f>SUMIFS([1]日报透视!K:K,[1]日报透视!A:A,A67,[1]日报透视!B:B,B67)</f>
        <v>0</v>
      </c>
      <c r="J67" s="19">
        <f>SUMIFS([1]日报透视!L:L,[1]日报透视!A:A,A67,[1]日报透视!B:B,B67)</f>
        <v>0</v>
      </c>
      <c r="K67" s="32">
        <f t="shared" si="1"/>
        <v>0</v>
      </c>
      <c r="L67" s="32">
        <f ca="1" t="shared" si="2"/>
        <v>0</v>
      </c>
      <c r="M67" s="28">
        <f>SUMIFS([1]日报透视!N:N,[1]日报透视!A:A,A67,[1]日报透视!B:B,B67)</f>
        <v>0</v>
      </c>
      <c r="N67" s="29">
        <f ca="1" t="shared" si="3"/>
        <v>0</v>
      </c>
      <c r="O67" s="33" t="str">
        <f>VLOOKUP(B67,[1]门店ID对应关系!J:K,2,0)</f>
        <v>自营</v>
      </c>
      <c r="P67" s="34"/>
      <c r="Q67" s="1" t="str">
        <f t="shared" si="4"/>
        <v>黄雁村店</v>
      </c>
      <c r="R67" s="1" t="str">
        <f>VLOOKUP(Q67,$B$4:$B$42,1,0)</f>
        <v>黄雁村店</v>
      </c>
      <c r="S67" s="6"/>
      <c r="T67" s="44">
        <f ca="1">VLOOKUP(B67,[1]房租水电人工成本!A:N,14,0)*V67*$W$1</f>
        <v>0</v>
      </c>
      <c r="U67" s="46">
        <v>0</v>
      </c>
      <c r="V67" s="1">
        <f>IFERROR(J67/SUMIF(B:B,B67,J:J),0.25)</f>
        <v>0</v>
      </c>
      <c r="W67" s="1">
        <f t="shared" si="5"/>
        <v>0</v>
      </c>
    </row>
    <row r="68" s="1" customFormat="1" ht="16.5" spans="1:23">
      <c r="A68" s="20" t="s">
        <v>59</v>
      </c>
      <c r="B68" s="21" t="s">
        <v>40</v>
      </c>
      <c r="C68" s="22">
        <f>SUMIFS([1]日报透视!E:E,[1]日报透视!A:A,A68,[1]日报透视!B:B,B68)</f>
        <v>0</v>
      </c>
      <c r="D68" s="19">
        <f>SUMIFS([1]日报透视!F:F,[1]日报透视!A:A,A68,[1]日报透视!B:B,B68)</f>
        <v>0</v>
      </c>
      <c r="E68" s="19">
        <f>SUMIFS([1]日报透视!G:G,[1]日报透视!A:A,A68,[1]日报透视!B:B,B68)-M68</f>
        <v>0</v>
      </c>
      <c r="F68" s="22">
        <f t="shared" ref="F68:F121" si="6">IFERROR(G68/J68,0)</f>
        <v>0</v>
      </c>
      <c r="G68" s="19">
        <f>SUMIFS([1]日报透视!I:I,[1]日报透视!A:A,A68,[1]日报透视!B:B,B68)</f>
        <v>0</v>
      </c>
      <c r="H68" s="19">
        <f>SUMIFS([1]日报透视!J:J,[1]日报透视!A:A,A68,[1]日报透视!B:B,B68)</f>
        <v>0</v>
      </c>
      <c r="I68" s="19">
        <f>SUMIFS([1]日报透视!K:K,[1]日报透视!A:A,A68,[1]日报透视!B:B,B68)</f>
        <v>0</v>
      </c>
      <c r="J68" s="19">
        <f>SUMIFS([1]日报透视!L:L,[1]日报透视!A:A,A68,[1]日报透视!B:B,B68)</f>
        <v>0</v>
      </c>
      <c r="K68" s="32">
        <f t="shared" ref="K68:K121" si="7">IFERROR(I68/J68,0)</f>
        <v>0</v>
      </c>
      <c r="L68" s="32">
        <f ca="1" t="shared" ref="L68:L120" si="8">T68</f>
        <v>0</v>
      </c>
      <c r="M68" s="28">
        <f>SUMIFS([1]日报透视!N:N,[1]日报透视!A:A,A68,[1]日报透视!B:B,B68)</f>
        <v>0</v>
      </c>
      <c r="N68" s="29">
        <f ca="1" t="shared" ref="N68:N120" si="9">E68-L68</f>
        <v>0</v>
      </c>
      <c r="O68" s="33" t="str">
        <f>VLOOKUP(B68,[1]门店ID对应关系!J:K,2,0)</f>
        <v>自营</v>
      </c>
      <c r="P68" s="34"/>
      <c r="Q68" s="1" t="str">
        <f t="shared" ref="Q68:Q121" si="10">B68</f>
        <v>金牛店</v>
      </c>
      <c r="R68" s="1" t="str">
        <f>VLOOKUP(Q68,$B$4:$B$42,1,0)</f>
        <v>金牛店</v>
      </c>
      <c r="S68" s="6"/>
      <c r="T68" s="44">
        <f ca="1">VLOOKUP(B68,[1]房租水电人工成本!A:N,14,0)*V68*$W$1</f>
        <v>0</v>
      </c>
      <c r="U68" s="46">
        <v>0</v>
      </c>
      <c r="V68" s="1">
        <f>IFERROR(J68/SUMIF(B:B,B68,J:J),0.25)</f>
        <v>0</v>
      </c>
      <c r="W68" s="1">
        <f t="shared" ref="W68:W121" si="11">IFERROR(U68*V68,0.25)</f>
        <v>0</v>
      </c>
    </row>
    <row r="69" s="1" customFormat="1" ht="16.5" spans="1:23">
      <c r="A69" s="20" t="s">
        <v>59</v>
      </c>
      <c r="B69" s="21" t="s">
        <v>35</v>
      </c>
      <c r="C69" s="22">
        <f>SUMIFS([1]日报透视!E:E,[1]日报透视!A:A,A69,[1]日报透视!B:B,B69)</f>
        <v>0</v>
      </c>
      <c r="D69" s="19">
        <f>SUMIFS([1]日报透视!F:F,[1]日报透视!A:A,A69,[1]日报透视!B:B,B69)</f>
        <v>0</v>
      </c>
      <c r="E69" s="19">
        <f>SUMIFS([1]日报透视!G:G,[1]日报透视!A:A,A69,[1]日报透视!B:B,B69)-M69</f>
        <v>0</v>
      </c>
      <c r="F69" s="22">
        <f t="shared" si="6"/>
        <v>0</v>
      </c>
      <c r="G69" s="19">
        <f>SUMIFS([1]日报透视!I:I,[1]日报透视!A:A,A69,[1]日报透视!B:B,B69)</f>
        <v>0</v>
      </c>
      <c r="H69" s="19">
        <f>SUMIFS([1]日报透视!J:J,[1]日报透视!A:A,A69,[1]日报透视!B:B,B69)</f>
        <v>0</v>
      </c>
      <c r="I69" s="19">
        <f>SUMIFS([1]日报透视!K:K,[1]日报透视!A:A,A69,[1]日报透视!B:B,B69)</f>
        <v>0</v>
      </c>
      <c r="J69" s="19">
        <f>SUMIFS([1]日报透视!L:L,[1]日报透视!A:A,A69,[1]日报透视!B:B,B69)</f>
        <v>0</v>
      </c>
      <c r="K69" s="32">
        <f t="shared" si="7"/>
        <v>0</v>
      </c>
      <c r="L69" s="32">
        <f ca="1" t="shared" si="8"/>
        <v>0</v>
      </c>
      <c r="M69" s="28">
        <f>SUMIFS([1]日报透视!N:N,[1]日报透视!A:A,A69,[1]日报透视!B:B,B69)</f>
        <v>0</v>
      </c>
      <c r="N69" s="29">
        <f ca="1" t="shared" si="9"/>
        <v>0</v>
      </c>
      <c r="O69" s="33" t="str">
        <f>VLOOKUP(B69,[1]门店ID对应关系!J:K,2,0)</f>
        <v>自营</v>
      </c>
      <c r="P69" s="34"/>
      <c r="Q69" s="1" t="str">
        <f t="shared" si="10"/>
        <v>洛江店</v>
      </c>
      <c r="R69" s="1" t="str">
        <f>VLOOKUP(Q69,$B$4:$B$42,1,0)</f>
        <v>洛江店</v>
      </c>
      <c r="S69" s="6"/>
      <c r="T69" s="44">
        <f ca="1">VLOOKUP(B69,[1]房租水电人工成本!A:N,14,0)*V69*$W$1</f>
        <v>0</v>
      </c>
      <c r="U69" s="46">
        <v>0</v>
      </c>
      <c r="V69" s="1">
        <f>IFERROR(J69/SUMIF(B:B,B69,J:J),0.25)</f>
        <v>0</v>
      </c>
      <c r="W69" s="1">
        <f t="shared" si="11"/>
        <v>0</v>
      </c>
    </row>
    <row r="70" s="1" customFormat="1" ht="16.5" spans="1:23">
      <c r="A70" s="20" t="s">
        <v>59</v>
      </c>
      <c r="B70" s="21" t="s">
        <v>58</v>
      </c>
      <c r="C70" s="22">
        <f>SUMIFS([1]日报透视!E:E,[1]日报透视!A:A,A70,[1]日报透视!B:B,B70)</f>
        <v>0</v>
      </c>
      <c r="D70" s="19">
        <f>SUMIFS([1]日报透视!F:F,[1]日报透视!A:A,A70,[1]日报透视!B:B,B70)</f>
        <v>0</v>
      </c>
      <c r="E70" s="19">
        <f>SUMIFS([1]日报透视!G:G,[1]日报透视!A:A,A70,[1]日报透视!B:B,B70)-M70</f>
        <v>0</v>
      </c>
      <c r="F70" s="22">
        <f t="shared" si="6"/>
        <v>0</v>
      </c>
      <c r="G70" s="19">
        <f>SUMIFS([1]日报透视!I:I,[1]日报透视!A:A,A70,[1]日报透视!B:B,B70)</f>
        <v>0</v>
      </c>
      <c r="H70" s="19">
        <f>SUMIFS([1]日报透视!J:J,[1]日报透视!A:A,A70,[1]日报透视!B:B,B70)</f>
        <v>0</v>
      </c>
      <c r="I70" s="19">
        <f>SUMIFS([1]日报透视!K:K,[1]日报透视!A:A,A70,[1]日报透视!B:B,B70)</f>
        <v>0</v>
      </c>
      <c r="J70" s="19">
        <f>SUMIFS([1]日报透视!L:L,[1]日报透视!A:A,A70,[1]日报透视!B:B,B70)</f>
        <v>0</v>
      </c>
      <c r="K70" s="32">
        <f t="shared" si="7"/>
        <v>0</v>
      </c>
      <c r="L70" s="32">
        <f ca="1" t="shared" si="8"/>
        <v>0</v>
      </c>
      <c r="M70" s="28">
        <f>SUMIFS([1]日报透视!N:N,[1]日报透视!A:A,A70,[1]日报透视!B:B,B70)</f>
        <v>0</v>
      </c>
      <c r="N70" s="29">
        <f ca="1" t="shared" si="9"/>
        <v>0</v>
      </c>
      <c r="O70" s="33" t="str">
        <f>VLOOKUP(B70,[1]门店ID对应关系!J:K,2,0)</f>
        <v>加盟</v>
      </c>
      <c r="P70" s="34"/>
      <c r="Q70" s="1" t="str">
        <f t="shared" si="10"/>
        <v>南安店</v>
      </c>
      <c r="R70" s="1" t="str">
        <f>VLOOKUP(Q70,$B$4:$B$42,1,0)</f>
        <v>南安店</v>
      </c>
      <c r="S70" s="6"/>
      <c r="T70" s="44">
        <f ca="1">VLOOKUP(B70,[1]房租水电人工成本!A:N,14,0)*V70*$W$1</f>
        <v>0</v>
      </c>
      <c r="U70" s="46">
        <v>0</v>
      </c>
      <c r="V70" s="1">
        <f>IFERROR(J70/SUMIF(B:B,B70,J:J),0.25)</f>
        <v>0</v>
      </c>
      <c r="W70" s="1">
        <f t="shared" si="11"/>
        <v>0</v>
      </c>
    </row>
    <row r="71" s="1" customFormat="1" ht="16.5" spans="1:23">
      <c r="A71" s="20" t="s">
        <v>59</v>
      </c>
      <c r="B71" s="21" t="s">
        <v>36</v>
      </c>
      <c r="C71" s="22">
        <f>SUMIFS([1]日报透视!E:E,[1]日报透视!A:A,A71,[1]日报透视!B:B,B71)</f>
        <v>0</v>
      </c>
      <c r="D71" s="19">
        <f>SUMIFS([1]日报透视!F:F,[1]日报透视!A:A,A71,[1]日报透视!B:B,B71)</f>
        <v>0</v>
      </c>
      <c r="E71" s="19">
        <f>SUMIFS([1]日报透视!G:G,[1]日报透视!A:A,A71,[1]日报透视!B:B,B71)-M71</f>
        <v>0</v>
      </c>
      <c r="F71" s="22">
        <f t="shared" si="6"/>
        <v>0</v>
      </c>
      <c r="G71" s="19">
        <f>SUMIFS([1]日报透视!I:I,[1]日报透视!A:A,A71,[1]日报透视!B:B,B71)</f>
        <v>0</v>
      </c>
      <c r="H71" s="19">
        <f>SUMIFS([1]日报透视!J:J,[1]日报透视!A:A,A71,[1]日报透视!B:B,B71)</f>
        <v>0</v>
      </c>
      <c r="I71" s="19">
        <f>SUMIFS([1]日报透视!K:K,[1]日报透视!A:A,A71,[1]日报透视!B:B,B71)</f>
        <v>0</v>
      </c>
      <c r="J71" s="19">
        <f>SUMIFS([1]日报透视!L:L,[1]日报透视!A:A,A71,[1]日报透视!B:B,B71)</f>
        <v>0</v>
      </c>
      <c r="K71" s="32">
        <f t="shared" si="7"/>
        <v>0</v>
      </c>
      <c r="L71" s="32">
        <f ca="1" t="shared" si="8"/>
        <v>0</v>
      </c>
      <c r="M71" s="28">
        <f>SUMIFS([1]日报透视!N:N,[1]日报透视!A:A,A71,[1]日报透视!B:B,B71)</f>
        <v>0</v>
      </c>
      <c r="N71" s="29">
        <f ca="1" t="shared" si="9"/>
        <v>0</v>
      </c>
      <c r="O71" s="33" t="str">
        <f>VLOOKUP(B71,[1]门店ID对应关系!J:K,2,0)</f>
        <v>自营</v>
      </c>
      <c r="P71" s="34"/>
      <c r="Q71" s="1" t="str">
        <f t="shared" si="10"/>
        <v>启点店</v>
      </c>
      <c r="R71" s="1" t="str">
        <f>VLOOKUP(Q71,$B$4:$B$42,1,0)</f>
        <v>启点店</v>
      </c>
      <c r="S71" s="6"/>
      <c r="T71" s="44">
        <f ca="1">VLOOKUP(B71,[1]房租水电人工成本!A:N,14,0)*V71*$W$1</f>
        <v>0</v>
      </c>
      <c r="U71" s="46">
        <v>0</v>
      </c>
      <c r="V71" s="1">
        <f>IFERROR(J71/SUMIF(B:B,B71,J:J),0.25)</f>
        <v>0</v>
      </c>
      <c r="W71" s="1">
        <f t="shared" si="11"/>
        <v>0</v>
      </c>
    </row>
    <row r="72" s="1" customFormat="1" ht="16.5" spans="1:23">
      <c r="A72" s="20" t="s">
        <v>59</v>
      </c>
      <c r="B72" s="21" t="s">
        <v>51</v>
      </c>
      <c r="C72" s="22">
        <f>SUMIFS([1]日报透视!E:E,[1]日报透视!A:A,A72,[1]日报透视!B:B,B72)</f>
        <v>0</v>
      </c>
      <c r="D72" s="19">
        <f>SUMIFS([1]日报透视!F:F,[1]日报透视!A:A,A72,[1]日报透视!B:B,B72)</f>
        <v>0</v>
      </c>
      <c r="E72" s="19">
        <f>SUMIFS([1]日报透视!G:G,[1]日报透视!A:A,A72,[1]日报透视!B:B,B72)-M72</f>
        <v>0</v>
      </c>
      <c r="F72" s="22">
        <f t="shared" si="6"/>
        <v>0</v>
      </c>
      <c r="G72" s="19">
        <f>SUMIFS([1]日报透视!I:I,[1]日报透视!A:A,A72,[1]日报透视!B:B,B72)</f>
        <v>0</v>
      </c>
      <c r="H72" s="19">
        <f>SUMIFS([1]日报透视!J:J,[1]日报透视!A:A,A72,[1]日报透视!B:B,B72)</f>
        <v>0</v>
      </c>
      <c r="I72" s="19">
        <f>SUMIFS([1]日报透视!K:K,[1]日报透视!A:A,A72,[1]日报透视!B:B,B72)</f>
        <v>0</v>
      </c>
      <c r="J72" s="19">
        <f>SUMIFS([1]日报透视!L:L,[1]日报透视!A:A,A72,[1]日报透视!B:B,B72)</f>
        <v>0</v>
      </c>
      <c r="K72" s="32">
        <f t="shared" si="7"/>
        <v>0</v>
      </c>
      <c r="L72" s="32">
        <f ca="1" t="shared" si="8"/>
        <v>0</v>
      </c>
      <c r="M72" s="28">
        <f>SUMIFS([1]日报透视!N:N,[1]日报透视!A:A,A72,[1]日报透视!B:B,B72)</f>
        <v>0</v>
      </c>
      <c r="N72" s="29">
        <f ca="1" t="shared" si="9"/>
        <v>0</v>
      </c>
      <c r="O72" s="33" t="str">
        <f>VLOOKUP(B72,[1]门店ID对应关系!J:K,2,0)</f>
        <v>自营</v>
      </c>
      <c r="P72" s="34"/>
      <c r="Q72" s="1" t="str">
        <f t="shared" si="10"/>
        <v>沙坪坝店</v>
      </c>
      <c r="R72" s="1" t="str">
        <f>VLOOKUP(Q72,$B$4:$B$42,1,0)</f>
        <v>沙坪坝店</v>
      </c>
      <c r="S72" s="6"/>
      <c r="T72" s="44">
        <f ca="1">VLOOKUP(B72,[1]房租水电人工成本!A:N,14,0)*V72*$W$1</f>
        <v>0</v>
      </c>
      <c r="U72" s="46">
        <v>0</v>
      </c>
      <c r="V72" s="1">
        <f>IFERROR(J72/SUMIF(B:B,B72,J:J),0.25)</f>
        <v>0</v>
      </c>
      <c r="W72" s="1">
        <f t="shared" si="11"/>
        <v>0</v>
      </c>
    </row>
    <row r="73" s="1" customFormat="1" ht="16.5" spans="1:23">
      <c r="A73" s="20" t="s">
        <v>59</v>
      </c>
      <c r="B73" s="21" t="s">
        <v>52</v>
      </c>
      <c r="C73" s="22">
        <f>SUMIFS([1]日报透视!E:E,[1]日报透视!A:A,A73,[1]日报透视!B:B,B73)</f>
        <v>0</v>
      </c>
      <c r="D73" s="19">
        <f>SUMIFS([1]日报透视!F:F,[1]日报透视!A:A,A73,[1]日报透视!B:B,B73)</f>
        <v>0</v>
      </c>
      <c r="E73" s="19">
        <f>SUMIFS([1]日报透视!G:G,[1]日报透视!A:A,A73,[1]日报透视!B:B,B73)-M73</f>
        <v>0</v>
      </c>
      <c r="F73" s="22">
        <f t="shared" si="6"/>
        <v>0</v>
      </c>
      <c r="G73" s="19">
        <f>SUMIFS([1]日报透视!I:I,[1]日报透视!A:A,A73,[1]日报透视!B:B,B73)</f>
        <v>0</v>
      </c>
      <c r="H73" s="19">
        <f>SUMIFS([1]日报透视!J:J,[1]日报透视!A:A,A73,[1]日报透视!B:B,B73)</f>
        <v>0</v>
      </c>
      <c r="I73" s="19">
        <f>SUMIFS([1]日报透视!K:K,[1]日报透视!A:A,A73,[1]日报透视!B:B,B73)</f>
        <v>0</v>
      </c>
      <c r="J73" s="19">
        <f>SUMIFS([1]日报透视!L:L,[1]日报透视!A:A,A73,[1]日报透视!B:B,B73)</f>
        <v>0</v>
      </c>
      <c r="K73" s="32">
        <f t="shared" si="7"/>
        <v>0</v>
      </c>
      <c r="L73" s="32">
        <f ca="1" t="shared" si="8"/>
        <v>0</v>
      </c>
      <c r="M73" s="28">
        <f>SUMIFS([1]日报透视!N:N,[1]日报透视!A:A,A73,[1]日报透视!B:B,B73)</f>
        <v>0</v>
      </c>
      <c r="N73" s="29">
        <f ca="1" t="shared" si="9"/>
        <v>0</v>
      </c>
      <c r="O73" s="33" t="str">
        <f>VLOOKUP(B73,[1]门店ID对应关系!J:K,2,0)</f>
        <v>自营</v>
      </c>
      <c r="P73" s="34"/>
      <c r="Q73" s="1" t="str">
        <f t="shared" si="10"/>
        <v>文昌店</v>
      </c>
      <c r="R73" s="1" t="str">
        <f>VLOOKUP(Q73,$B$4:$B$42,1,0)</f>
        <v>文昌店</v>
      </c>
      <c r="S73" s="6"/>
      <c r="T73" s="44">
        <f ca="1">VLOOKUP(B73,[1]房租水电人工成本!A:N,14,0)*V73*$W$1</f>
        <v>0</v>
      </c>
      <c r="U73" s="46">
        <v>0</v>
      </c>
      <c r="V73" s="1">
        <f>IFERROR(J73/SUMIF(B:B,B73,J:J),0.25)</f>
        <v>0</v>
      </c>
      <c r="W73" s="1">
        <f t="shared" si="11"/>
        <v>0</v>
      </c>
    </row>
    <row r="74" s="1" customFormat="1" ht="16.5" spans="1:23">
      <c r="A74" s="20" t="s">
        <v>59</v>
      </c>
      <c r="B74" s="21" t="s">
        <v>31</v>
      </c>
      <c r="C74" s="22">
        <f>SUMIFS([1]日报透视!E:E,[1]日报透视!A:A,A74,[1]日报透视!B:B,B74)</f>
        <v>0</v>
      </c>
      <c r="D74" s="19">
        <f>SUMIFS([1]日报透视!F:F,[1]日报透视!A:A,A74,[1]日报透视!B:B,B74)</f>
        <v>0</v>
      </c>
      <c r="E74" s="19">
        <f>SUMIFS([1]日报透视!G:G,[1]日报透视!A:A,A74,[1]日报透视!B:B,B74)-M74</f>
        <v>0</v>
      </c>
      <c r="F74" s="22">
        <f t="shared" si="6"/>
        <v>0</v>
      </c>
      <c r="G74" s="19">
        <f>SUMIFS([1]日报透视!I:I,[1]日报透视!A:A,A74,[1]日报透视!B:B,B74)</f>
        <v>0</v>
      </c>
      <c r="H74" s="19">
        <f>SUMIFS([1]日报透视!J:J,[1]日报透视!A:A,A74,[1]日报透视!B:B,B74)</f>
        <v>0</v>
      </c>
      <c r="I74" s="19">
        <f>SUMIFS([1]日报透视!K:K,[1]日报透视!A:A,A74,[1]日报透视!B:B,B74)</f>
        <v>0</v>
      </c>
      <c r="J74" s="19">
        <f>SUMIFS([1]日报透视!L:L,[1]日报透视!A:A,A74,[1]日报透视!B:B,B74)</f>
        <v>0</v>
      </c>
      <c r="K74" s="32">
        <f t="shared" si="7"/>
        <v>0</v>
      </c>
      <c r="L74" s="32">
        <f ca="1" t="shared" si="8"/>
        <v>0</v>
      </c>
      <c r="M74" s="28">
        <f>SUMIFS([1]日报透视!N:N,[1]日报透视!A:A,A74,[1]日报透视!B:B,B74)</f>
        <v>0</v>
      </c>
      <c r="N74" s="29">
        <f ca="1" t="shared" si="9"/>
        <v>0</v>
      </c>
      <c r="O74" s="33" t="str">
        <f>VLOOKUP(B74,[1]门店ID对应关系!J:K,2,0)</f>
        <v>自营</v>
      </c>
      <c r="P74" s="34"/>
      <c r="Q74" s="1" t="str">
        <f t="shared" si="10"/>
        <v>五华店</v>
      </c>
      <c r="R74" s="1" t="str">
        <f>VLOOKUP(Q74,$B$4:$B$42,1,0)</f>
        <v>五华店</v>
      </c>
      <c r="S74" s="6"/>
      <c r="T74" s="44">
        <f ca="1">VLOOKUP(B74,[1]房租水电人工成本!A:N,14,0)*V74*$W$1</f>
        <v>0</v>
      </c>
      <c r="U74" s="46">
        <v>0</v>
      </c>
      <c r="V74" s="1">
        <f>IFERROR(J74/SUMIF(B:B,B74,J:J),0.25)</f>
        <v>0</v>
      </c>
      <c r="W74" s="1">
        <f t="shared" si="11"/>
        <v>0</v>
      </c>
    </row>
    <row r="75" s="1" customFormat="1" ht="16.5" spans="1:23">
      <c r="A75" s="20" t="s">
        <v>59</v>
      </c>
      <c r="B75" s="21" t="s">
        <v>42</v>
      </c>
      <c r="C75" s="22">
        <f>SUMIFS([1]日报透视!E:E,[1]日报透视!A:A,A75,[1]日报透视!B:B,B75)</f>
        <v>0</v>
      </c>
      <c r="D75" s="19">
        <f>SUMIFS([1]日报透视!F:F,[1]日报透视!A:A,A75,[1]日报透视!B:B,B75)</f>
        <v>0</v>
      </c>
      <c r="E75" s="19">
        <f>SUMIFS([1]日报透视!G:G,[1]日报透视!A:A,A75,[1]日报透视!B:B,B75)-M75</f>
        <v>0</v>
      </c>
      <c r="F75" s="22">
        <f t="shared" si="6"/>
        <v>0</v>
      </c>
      <c r="G75" s="19">
        <f>SUMIFS([1]日报透视!I:I,[1]日报透视!A:A,A75,[1]日报透视!B:B,B75)</f>
        <v>0</v>
      </c>
      <c r="H75" s="19">
        <f>SUMIFS([1]日报透视!J:J,[1]日报透视!A:A,A75,[1]日报透视!B:B,B75)</f>
        <v>0</v>
      </c>
      <c r="I75" s="19">
        <f>SUMIFS([1]日报透视!K:K,[1]日报透视!A:A,A75,[1]日报透视!B:B,B75)</f>
        <v>0</v>
      </c>
      <c r="J75" s="19">
        <f>SUMIFS([1]日报透视!L:L,[1]日报透视!A:A,A75,[1]日报透视!B:B,B75)</f>
        <v>0</v>
      </c>
      <c r="K75" s="32">
        <f t="shared" si="7"/>
        <v>0</v>
      </c>
      <c r="L75" s="32">
        <f ca="1" t="shared" si="8"/>
        <v>0</v>
      </c>
      <c r="M75" s="28">
        <f>SUMIFS([1]日报透视!N:N,[1]日报透视!A:A,A75,[1]日报透视!B:B,B75)</f>
        <v>0</v>
      </c>
      <c r="N75" s="29">
        <f ca="1" t="shared" si="9"/>
        <v>0</v>
      </c>
      <c r="O75" s="33" t="str">
        <f>VLOOKUP(B75,[1]门店ID对应关系!J:K,2,0)</f>
        <v>自营</v>
      </c>
      <c r="P75" s="34"/>
      <c r="Q75" s="1" t="str">
        <f t="shared" si="10"/>
        <v>五路口店</v>
      </c>
      <c r="R75" s="1" t="str">
        <f>VLOOKUP(Q75,$B$4:$B$42,1,0)</f>
        <v>五路口店</v>
      </c>
      <c r="S75" s="6"/>
      <c r="T75" s="44">
        <f ca="1">VLOOKUP(B75,[1]房租水电人工成本!A:N,14,0)*V75*$W$1</f>
        <v>0</v>
      </c>
      <c r="U75" s="46">
        <v>0</v>
      </c>
      <c r="V75" s="1">
        <f>IFERROR(J75/SUMIF(B:B,B75,J:J),0.25)</f>
        <v>0</v>
      </c>
      <c r="W75" s="1">
        <f t="shared" si="11"/>
        <v>0</v>
      </c>
    </row>
    <row r="76" s="1" customFormat="1" ht="16.5" spans="1:23">
      <c r="A76" s="20" t="s">
        <v>59</v>
      </c>
      <c r="B76" s="21" t="s">
        <v>25</v>
      </c>
      <c r="C76" s="22">
        <f>SUMIFS([1]日报透视!E:E,[1]日报透视!A:A,A76,[1]日报透视!B:B,B76)</f>
        <v>0</v>
      </c>
      <c r="D76" s="19">
        <f>SUMIFS([1]日报透视!F:F,[1]日报透视!A:A,A76,[1]日报透视!B:B,B76)</f>
        <v>0</v>
      </c>
      <c r="E76" s="19">
        <f>SUMIFS([1]日报透视!G:G,[1]日报透视!A:A,A76,[1]日报透视!B:B,B76)-M76</f>
        <v>0</v>
      </c>
      <c r="F76" s="22">
        <f t="shared" si="6"/>
        <v>0</v>
      </c>
      <c r="G76" s="19">
        <f>SUMIFS([1]日报透视!I:I,[1]日报透视!A:A,A76,[1]日报透视!B:B,B76)</f>
        <v>0</v>
      </c>
      <c r="H76" s="19">
        <f>SUMIFS([1]日报透视!J:J,[1]日报透视!A:A,A76,[1]日报透视!B:B,B76)</f>
        <v>0</v>
      </c>
      <c r="I76" s="19">
        <f>SUMIFS([1]日报透视!K:K,[1]日报透视!A:A,A76,[1]日报透视!B:B,B76)</f>
        <v>0</v>
      </c>
      <c r="J76" s="19">
        <f>SUMIFS([1]日报透视!L:L,[1]日报透视!A:A,A76,[1]日报透视!B:B,B76)</f>
        <v>0</v>
      </c>
      <c r="K76" s="32">
        <f t="shared" si="7"/>
        <v>0</v>
      </c>
      <c r="L76" s="32">
        <f ca="1" t="shared" si="8"/>
        <v>0</v>
      </c>
      <c r="M76" s="28">
        <f>SUMIFS([1]日报透视!N:N,[1]日报透视!A:A,A76,[1]日报透视!B:B,B76)</f>
        <v>0</v>
      </c>
      <c r="N76" s="29">
        <f ca="1" t="shared" si="9"/>
        <v>0</v>
      </c>
      <c r="O76" s="33" t="str">
        <f>VLOOKUP(B76,[1]门店ID对应关系!J:K,2,0)</f>
        <v>自营</v>
      </c>
      <c r="P76" s="34"/>
      <c r="Q76" s="1" t="str">
        <f t="shared" si="10"/>
        <v>武侯店</v>
      </c>
      <c r="R76" s="1" t="str">
        <f>VLOOKUP(Q76,$B$4:$B$42,1,0)</f>
        <v>武侯店</v>
      </c>
      <c r="S76" s="6"/>
      <c r="T76" s="44">
        <f ca="1">VLOOKUP(B76,[1]房租水电人工成本!A:N,14,0)*V76*$W$1</f>
        <v>0</v>
      </c>
      <c r="U76" s="46">
        <v>0</v>
      </c>
      <c r="V76" s="1">
        <f>IFERROR(J76/SUMIF(B:B,B76,J:J),0.25)</f>
        <v>0</v>
      </c>
      <c r="W76" s="1">
        <f t="shared" si="11"/>
        <v>0</v>
      </c>
    </row>
    <row r="77" s="1" customFormat="1" ht="16.5" spans="1:23">
      <c r="A77" s="20" t="s">
        <v>59</v>
      </c>
      <c r="B77" s="21" t="s">
        <v>48</v>
      </c>
      <c r="C77" s="22">
        <f>SUMIFS([1]日报透视!E:E,[1]日报透视!A:A,A77,[1]日报透视!B:B,B77)</f>
        <v>0</v>
      </c>
      <c r="D77" s="19">
        <f>SUMIFS([1]日报透视!F:F,[1]日报透视!A:A,A77,[1]日报透视!B:B,B77)</f>
        <v>0</v>
      </c>
      <c r="E77" s="19">
        <f>SUMIFS([1]日报透视!G:G,[1]日报透视!A:A,A77,[1]日报透视!B:B,B77)-M77</f>
        <v>0</v>
      </c>
      <c r="F77" s="22">
        <f t="shared" si="6"/>
        <v>0</v>
      </c>
      <c r="G77" s="19">
        <f>SUMIFS([1]日报透视!I:I,[1]日报透视!A:A,A77,[1]日报透视!B:B,B77)</f>
        <v>0</v>
      </c>
      <c r="H77" s="19">
        <f>SUMIFS([1]日报透视!J:J,[1]日报透视!A:A,A77,[1]日报透视!B:B,B77)</f>
        <v>0</v>
      </c>
      <c r="I77" s="19">
        <f>SUMIFS([1]日报透视!K:K,[1]日报透视!A:A,A77,[1]日报透视!B:B,B77)</f>
        <v>0</v>
      </c>
      <c r="J77" s="19">
        <f>SUMIFS([1]日报透视!L:L,[1]日报透视!A:A,A77,[1]日报透视!B:B,B77)</f>
        <v>0</v>
      </c>
      <c r="K77" s="32">
        <f t="shared" si="7"/>
        <v>0</v>
      </c>
      <c r="L77" s="32">
        <f ca="1" t="shared" si="8"/>
        <v>0</v>
      </c>
      <c r="M77" s="28">
        <f>SUMIFS([1]日报透视!N:N,[1]日报透视!A:A,A77,[1]日报透视!B:B,B77)</f>
        <v>0</v>
      </c>
      <c r="N77" s="29">
        <f ca="1" t="shared" si="9"/>
        <v>0</v>
      </c>
      <c r="O77" s="33" t="str">
        <f>VLOOKUP(B77,[1]门店ID对应关系!J:K,2,0)</f>
        <v>自营</v>
      </c>
      <c r="P77" s="34"/>
      <c r="Q77" s="1" t="str">
        <f t="shared" si="10"/>
        <v>西山店</v>
      </c>
      <c r="R77" s="1" t="str">
        <f>VLOOKUP(Q77,$B$4:$B$42,1,0)</f>
        <v>西山店</v>
      </c>
      <c r="S77" s="6"/>
      <c r="T77" s="44">
        <f ca="1">VLOOKUP(B77,[1]房租水电人工成本!A:N,14,0)*V77*$W$1</f>
        <v>0</v>
      </c>
      <c r="U77" s="46">
        <v>0</v>
      </c>
      <c r="V77" s="1">
        <f>IFERROR(J77/SUMIF(B:B,B77,J:J),0.25)</f>
        <v>0</v>
      </c>
      <c r="W77" s="1">
        <f t="shared" si="11"/>
        <v>0</v>
      </c>
    </row>
    <row r="78" s="1" customFormat="1" ht="16.5" spans="1:23">
      <c r="A78" s="20" t="s">
        <v>59</v>
      </c>
      <c r="B78" s="21" t="s">
        <v>34</v>
      </c>
      <c r="C78" s="22">
        <f>SUMIFS([1]日报透视!E:E,[1]日报透视!A:A,A78,[1]日报透视!B:B,B78)</f>
        <v>0</v>
      </c>
      <c r="D78" s="19">
        <f>SUMIFS([1]日报透视!F:F,[1]日报透视!A:A,A78,[1]日报透视!B:B,B78)</f>
        <v>0</v>
      </c>
      <c r="E78" s="19">
        <f>SUMIFS([1]日报透视!G:G,[1]日报透视!A:A,A78,[1]日报透视!B:B,B78)-M78</f>
        <v>0</v>
      </c>
      <c r="F78" s="22">
        <f t="shared" si="6"/>
        <v>0</v>
      </c>
      <c r="G78" s="19">
        <f>SUMIFS([1]日报透视!I:I,[1]日报透视!A:A,A78,[1]日报透视!B:B,B78)</f>
        <v>0</v>
      </c>
      <c r="H78" s="19">
        <f>SUMIFS([1]日报透视!J:J,[1]日报透视!A:A,A78,[1]日报透视!B:B,B78)</f>
        <v>0</v>
      </c>
      <c r="I78" s="19">
        <f>SUMIFS([1]日报透视!K:K,[1]日报透视!A:A,A78,[1]日报透视!B:B,B78)</f>
        <v>0</v>
      </c>
      <c r="J78" s="19">
        <f>SUMIFS([1]日报透视!L:L,[1]日报透视!A:A,A78,[1]日报透视!B:B,B78)</f>
        <v>0</v>
      </c>
      <c r="K78" s="32">
        <f t="shared" si="7"/>
        <v>0</v>
      </c>
      <c r="L78" s="32">
        <f ca="1" t="shared" si="8"/>
        <v>0</v>
      </c>
      <c r="M78" s="28">
        <f>SUMIFS([1]日报透视!N:N,[1]日报透视!A:A,A78,[1]日报透视!B:B,B78)</f>
        <v>0</v>
      </c>
      <c r="N78" s="29">
        <f ca="1" t="shared" si="9"/>
        <v>0</v>
      </c>
      <c r="O78" s="33" t="str">
        <f>VLOOKUP(B78,[1]门店ID对应关系!J:K,2,0)</f>
        <v>（加盟）</v>
      </c>
      <c r="P78" s="34"/>
      <c r="Q78" s="1" t="str">
        <f t="shared" si="10"/>
        <v>长沙店</v>
      </c>
      <c r="R78" s="1" t="str">
        <f>VLOOKUP(Q78,$B$4:$B$42,1,0)</f>
        <v>长沙店</v>
      </c>
      <c r="S78" s="6"/>
      <c r="T78" s="44">
        <f ca="1">VLOOKUP(B78,[1]房租水电人工成本!A:N,14,0)*V78*$W$1</f>
        <v>0</v>
      </c>
      <c r="U78" s="46">
        <v>0</v>
      </c>
      <c r="V78" s="1">
        <f>IFERROR(J78/SUMIF(B:B,B78,J:J),0.25)</f>
        <v>0</v>
      </c>
      <c r="W78" s="1">
        <f t="shared" si="11"/>
        <v>0</v>
      </c>
    </row>
    <row r="79" s="1" customFormat="1" ht="16.5" spans="1:23">
      <c r="A79" s="20" t="s">
        <v>59</v>
      </c>
      <c r="B79" s="21" t="s">
        <v>22</v>
      </c>
      <c r="C79" s="22">
        <f>SUMIFS([1]日报透视!E:E,[1]日报透视!A:A,A79,[1]日报透视!B:B,B79)</f>
        <v>0</v>
      </c>
      <c r="D79" s="19">
        <f>SUMIFS([1]日报透视!F:F,[1]日报透视!A:A,A79,[1]日报透视!B:B,B79)</f>
        <v>0</v>
      </c>
      <c r="E79" s="47">
        <f>SUMIFS([1]日报透视!G:G,[1]日报透视!A:A,A79,[1]日报透视!B:B,B79)-M79</f>
        <v>0</v>
      </c>
      <c r="F79" s="19">
        <f t="shared" si="6"/>
        <v>0</v>
      </c>
      <c r="G79" s="19">
        <f>SUMIFS([1]日报透视!I:I,[1]日报透视!A:A,A79,[1]日报透视!B:B,B79)</f>
        <v>0</v>
      </c>
      <c r="H79" s="19">
        <f>SUMIFS([1]日报透视!J:J,[1]日报透视!A:A,A79,[1]日报透视!B:B,B79)</f>
        <v>0</v>
      </c>
      <c r="I79" s="19">
        <f>SUMIFS([1]日报透视!K:K,[1]日报透视!A:A,A79,[1]日报透视!B:B,B79)</f>
        <v>0</v>
      </c>
      <c r="J79" s="19">
        <f>SUMIFS([1]日报透视!L:L,[1]日报透视!A:A,A79,[1]日报透视!B:B,B79)</f>
        <v>0</v>
      </c>
      <c r="K79" s="32">
        <f t="shared" si="7"/>
        <v>0</v>
      </c>
      <c r="L79" s="32">
        <f ca="1" t="shared" si="8"/>
        <v>0</v>
      </c>
      <c r="M79" s="28">
        <f>SUMIFS([1]日报透视!N:N,[1]日报透视!A:A,A79,[1]日报透视!B:B,B79)</f>
        <v>0</v>
      </c>
      <c r="N79" s="29">
        <f ca="1" t="shared" si="9"/>
        <v>0</v>
      </c>
      <c r="O79" s="33" t="str">
        <f>VLOOKUP(B79,[1]门店ID对应关系!J:K,2,0)</f>
        <v>自营</v>
      </c>
      <c r="P79" s="34"/>
      <c r="Q79" s="1" t="str">
        <f t="shared" si="10"/>
        <v>首山店</v>
      </c>
      <c r="R79" s="1" t="str">
        <f>VLOOKUP(Q79,$B$4:$B$42,1,0)</f>
        <v>首山店</v>
      </c>
      <c r="S79" s="6"/>
      <c r="T79" s="44">
        <f ca="1">VLOOKUP(B79,[1]房租水电人工成本!A:N,14,0)*V79*$W$1</f>
        <v>0</v>
      </c>
      <c r="U79" s="46">
        <v>0</v>
      </c>
      <c r="V79" s="1">
        <f>IFERROR(J79/SUMIF(B:B,B79,J:J),0.25)</f>
        <v>0</v>
      </c>
      <c r="W79" s="1">
        <f t="shared" si="11"/>
        <v>0</v>
      </c>
    </row>
    <row r="80" s="1" customFormat="1" ht="16.5" spans="1:23">
      <c r="A80" s="20" t="s">
        <v>59</v>
      </c>
      <c r="B80" s="21" t="s">
        <v>24</v>
      </c>
      <c r="C80" s="22">
        <f>SUMIFS([1]日报透视!E:E,[1]日报透视!A:A,A80,[1]日报透视!B:B,B80)</f>
        <v>0</v>
      </c>
      <c r="D80" s="19">
        <f>SUMIFS([1]日报透视!F:F,[1]日报透视!A:A,A80,[1]日报透视!B:B,B80)</f>
        <v>0</v>
      </c>
      <c r="E80" s="19">
        <f>SUMIFS([1]日报透视!G:G,[1]日报透视!A:A,A80,[1]日报透视!B:B,B80)-M80</f>
        <v>0</v>
      </c>
      <c r="F80" s="22">
        <f t="shared" si="6"/>
        <v>0</v>
      </c>
      <c r="G80" s="19">
        <f>SUMIFS([1]日报透视!I:I,[1]日报透视!A:A,A80,[1]日报透视!B:B,B80)</f>
        <v>0</v>
      </c>
      <c r="H80" s="19">
        <f>SUMIFS([1]日报透视!J:J,[1]日报透视!A:A,A80,[1]日报透视!B:B,B80)</f>
        <v>0</v>
      </c>
      <c r="I80" s="19">
        <f>SUMIFS([1]日报透视!K:K,[1]日报透视!A:A,A80,[1]日报透视!B:B,B80)</f>
        <v>0</v>
      </c>
      <c r="J80" s="19">
        <f>SUMIFS([1]日报透视!L:L,[1]日报透视!A:A,A80,[1]日报透视!B:B,B80)</f>
        <v>0</v>
      </c>
      <c r="K80" s="32">
        <f t="shared" si="7"/>
        <v>0</v>
      </c>
      <c r="L80" s="32">
        <f ca="1" t="shared" si="8"/>
        <v>0</v>
      </c>
      <c r="M80" s="28">
        <f>SUMIFS([1]日报透视!N:N,[1]日报透视!A:A,A80,[1]日报透视!B:B,B80)</f>
        <v>0</v>
      </c>
      <c r="N80" s="29">
        <f ca="1" t="shared" si="9"/>
        <v>0</v>
      </c>
      <c r="O80" s="33" t="str">
        <f>VLOOKUP(B80,[1]门店ID对应关系!J:K,2,0)</f>
        <v>自营</v>
      </c>
      <c r="P80" s="34"/>
      <c r="Q80" s="1" t="str">
        <f t="shared" si="10"/>
        <v>诚毅店</v>
      </c>
      <c r="R80" s="1" t="str">
        <f>VLOOKUP(Q80,$B$4:$B$42,1,0)</f>
        <v>诚毅店</v>
      </c>
      <c r="S80" s="6"/>
      <c r="T80" s="44">
        <f ca="1">VLOOKUP(B80,[1]房租水电人工成本!A:N,14,0)*V80*$W$1</f>
        <v>0</v>
      </c>
      <c r="U80" s="46">
        <v>0</v>
      </c>
      <c r="V80" s="1">
        <f>IFERROR(J80/SUMIF(B:B,B80,J:J),0.25)</f>
        <v>0</v>
      </c>
      <c r="W80" s="1">
        <f t="shared" si="11"/>
        <v>0</v>
      </c>
    </row>
    <row r="81" s="1" customFormat="1" ht="17.25" spans="1:23">
      <c r="A81" s="23" t="s">
        <v>59</v>
      </c>
      <c r="B81" s="24" t="s">
        <v>21</v>
      </c>
      <c r="C81" s="25">
        <f>SUMIFS([1]日报透视!E:E,[1]日报透视!A:A,A81,[1]日报透视!B:B,B81)</f>
        <v>39.05</v>
      </c>
      <c r="D81" s="26">
        <f>SUMIFS([1]日报透视!F:F,[1]日报透视!A:A,A81,[1]日报透视!B:B,B81)</f>
        <v>12.72</v>
      </c>
      <c r="E81" s="26">
        <f>SUMIFS([1]日报透视!G:G,[1]日报透视!A:A,A81,[1]日报透视!B:B,B81)-M81</f>
        <v>26.33</v>
      </c>
      <c r="F81" s="25">
        <f t="shared" si="6"/>
        <v>1.8</v>
      </c>
      <c r="G81" s="26">
        <f>SUMIFS([1]日报透视!I:I,[1]日报透视!A:A,A81,[1]日报透视!B:B,B81)</f>
        <v>1.8</v>
      </c>
      <c r="H81" s="26">
        <f>SUMIFS([1]日报透视!J:J,[1]日报透视!A:A,A81,[1]日报透视!B:B,B81)</f>
        <v>2.15</v>
      </c>
      <c r="I81" s="26">
        <f>SUMIFS([1]日报透视!K:K,[1]日报透视!A:A,A81,[1]日报透视!B:B,B81)</f>
        <v>14.415</v>
      </c>
      <c r="J81" s="26">
        <f>SUMIFS([1]日报透视!L:L,[1]日报透视!A:A,A81,[1]日报透视!B:B,B81)</f>
        <v>1</v>
      </c>
      <c r="K81" s="35">
        <f t="shared" si="7"/>
        <v>14.415</v>
      </c>
      <c r="L81" s="35">
        <f ca="1" t="shared" si="8"/>
        <v>3.67481881381381</v>
      </c>
      <c r="M81" s="36">
        <f>SUMIFS([1]日报透视!N:N,[1]日报透视!A:A,A81,[1]日报透视!B:B,B81)</f>
        <v>0</v>
      </c>
      <c r="N81" s="37">
        <f ca="1" t="shared" si="9"/>
        <v>22.6551811861862</v>
      </c>
      <c r="O81" s="38" t="str">
        <f>VLOOKUP(B81,[1]门店ID对应关系!J:K,2,0)</f>
        <v>自营</v>
      </c>
      <c r="P81" s="39"/>
      <c r="Q81" s="1" t="str">
        <f t="shared" si="10"/>
        <v>首南店</v>
      </c>
      <c r="R81" s="1" t="str">
        <f>VLOOKUP(Q81,$B$4:$B$42,1,0)</f>
        <v>首南店</v>
      </c>
      <c r="S81" s="6"/>
      <c r="T81" s="44">
        <f ca="1">VLOOKUP(B81,[1]房租水电人工成本!A:N,14,0)*V81*$W$1</f>
        <v>3.67481881381381</v>
      </c>
      <c r="U81" s="46">
        <v>0</v>
      </c>
      <c r="V81" s="1">
        <f>IFERROR(J81/SUMIF(B:B,B81,J:J),0.25)</f>
        <v>0.00675675675675676</v>
      </c>
      <c r="W81" s="1">
        <f t="shared" si="11"/>
        <v>0</v>
      </c>
    </row>
    <row r="82" s="1" customFormat="1" ht="16.5" spans="1:23">
      <c r="A82" s="48" t="s">
        <v>60</v>
      </c>
      <c r="B82" s="49" t="s">
        <v>50</v>
      </c>
      <c r="C82" s="50">
        <f>SUMIFS([1]日报透视!E:E,[1]日报透视!A:A,A82,[1]日报透视!B:B,B82)</f>
        <v>2785.45510871591</v>
      </c>
      <c r="D82" s="51">
        <f>SUMIFS([1]日报透视!F:F,[1]日报透视!A:A,A82,[1]日报透视!B:B,B82)</f>
        <v>1973.17333333333</v>
      </c>
      <c r="E82" s="52">
        <f>SUMIFS([1]日报透视!G:G,[1]日报透视!A:A,A82,[1]日报透视!B:B,B82)-M82</f>
        <v>590.131775382573</v>
      </c>
      <c r="F82" s="50">
        <f t="shared" si="6"/>
        <v>6.82717124003357</v>
      </c>
      <c r="G82" s="51">
        <f>SUMIFS([1]日报透视!I:I,[1]日报透视!A:A,A82,[1]日报透视!B:B,B82)</f>
        <v>832.914891284095</v>
      </c>
      <c r="H82" s="51">
        <f>SUMIFS([1]日报透视!J:J,[1]日报透视!A:A,A82,[1]日报透视!B:B,B82)</f>
        <v>269.97</v>
      </c>
      <c r="I82" s="51">
        <f>SUMIFS([1]日报透视!K:K,[1]日报透视!A:A,A82,[1]日报透视!B:B,B82)</f>
        <v>584.398</v>
      </c>
      <c r="J82" s="51">
        <f>SUMIFS([1]日报透视!L:L,[1]日报透视!A:A,A82,[1]日报透视!B:B,B82)</f>
        <v>122</v>
      </c>
      <c r="K82" s="66">
        <f t="shared" si="7"/>
        <v>4.79014754098361</v>
      </c>
      <c r="L82" s="32">
        <f ca="1" t="shared" si="8"/>
        <v>534.306569343066</v>
      </c>
      <c r="M82" s="67">
        <f>SUMIFS([1]日报透视!M:M,[1]日报透视!A:A,A82,[1]日报透视!B:B,B82)</f>
        <v>222.149999999999</v>
      </c>
      <c r="N82" s="68">
        <f ca="1" t="shared" si="9"/>
        <v>55.8252060395074</v>
      </c>
      <c r="O82" s="69" t="str">
        <f>VLOOKUP(B82,[1]门店ID对应关系!J:K,2,0)</f>
        <v>加盟</v>
      </c>
      <c r="P82" s="31">
        <f ca="1">SUM($N$82:$N$120)</f>
        <v>827.112669814584</v>
      </c>
      <c r="Q82" s="1" t="str">
        <f t="shared" si="10"/>
        <v>海口店</v>
      </c>
      <c r="R82" s="1" t="str">
        <f>VLOOKUP(Q82,$B$4:$B$42,1,0)</f>
        <v>海口店</v>
      </c>
      <c r="S82" s="6"/>
      <c r="T82" s="44">
        <f ca="1">VLOOKUP(B82,[1]房租水电人工成本!A:N,14,0)*V82*$W$1</f>
        <v>534.306569343066</v>
      </c>
      <c r="U82" s="45">
        <f>-SUMIFS([1]美团推广费!J:J,[1]美团推广费!C:C,"推广订单扣款",[1]美团推广费!H:H,B82,[1]美团推广费!I:I,$U$1)</f>
        <v>222.15</v>
      </c>
      <c r="V82" s="1">
        <f>IFERROR(J82/SUMIF(B:B,B82,J:J),0.25)</f>
        <v>0.89051094890511</v>
      </c>
      <c r="W82" s="1">
        <f t="shared" si="11"/>
        <v>197.82700729927</v>
      </c>
    </row>
    <row r="83" s="1" customFormat="1" ht="16.5" spans="1:23">
      <c r="A83" s="20" t="s">
        <v>60</v>
      </c>
      <c r="B83" s="21" t="s">
        <v>21</v>
      </c>
      <c r="C83" s="53">
        <f>SUMIFS([1]日报透视!E:E,[1]日报透视!A:A,A83,[1]日报透视!B:B,B83)</f>
        <v>2000.54278356202</v>
      </c>
      <c r="D83" s="52">
        <f>SUMIFS([1]日报透视!F:F,[1]日报透视!A:A,A83,[1]日报透视!B:B,B83)</f>
        <v>1292.84007142857</v>
      </c>
      <c r="E83" s="52">
        <f>SUMIFS([1]日报透视!G:G,[1]日报透视!A:A,A83,[1]日报透视!B:B,B83)-M83</f>
        <v>562.392712133452</v>
      </c>
      <c r="F83" s="22">
        <f t="shared" si="6"/>
        <v>7.90414198022753</v>
      </c>
      <c r="G83" s="19">
        <f>SUMIFS([1]日报透视!I:I,[1]日报透视!A:A,A83,[1]日报透视!B:B,B83)</f>
        <v>624.427216437975</v>
      </c>
      <c r="H83" s="19">
        <f>SUMIFS([1]日报透视!J:J,[1]日报透视!A:A,A83,[1]日报透视!B:B,B83)</f>
        <v>191.97</v>
      </c>
      <c r="I83" s="19">
        <f>SUMIFS([1]日报透视!K:K,[1]日报透视!A:A,A83,[1]日报透视!B:B,B83)</f>
        <v>364.911</v>
      </c>
      <c r="J83" s="19">
        <f>SUMIFS([1]日报透视!L:L,[1]日报透视!A:A,A83,[1]日报透视!B:B,B83)</f>
        <v>79</v>
      </c>
      <c r="K83" s="32">
        <f t="shared" si="7"/>
        <v>4.61912658227848</v>
      </c>
      <c r="L83" s="32">
        <f ca="1" t="shared" si="8"/>
        <v>290.310686291291</v>
      </c>
      <c r="M83" s="67">
        <f>SUMIFS([1]日报透视!M:M,[1]日报透视!A:A,A83,[1]日报透视!B:B,B83)</f>
        <v>145.310000000001</v>
      </c>
      <c r="N83" s="29">
        <f ca="1" t="shared" si="9"/>
        <v>272.082025842161</v>
      </c>
      <c r="O83" s="33" t="str">
        <f>VLOOKUP(B83,[1]门店ID对应关系!J:K,2,0)</f>
        <v>自营</v>
      </c>
      <c r="P83" s="34"/>
      <c r="Q83" s="1" t="str">
        <f t="shared" si="10"/>
        <v>首南店</v>
      </c>
      <c r="R83" s="1" t="str">
        <f>VLOOKUP(Q83,$B$4:$B$42,1,0)</f>
        <v>首南店</v>
      </c>
      <c r="S83" s="6"/>
      <c r="T83" s="44">
        <f ca="1">VLOOKUP(B83,[1]房租水电人工成本!A:N,14,0)*V83*$W$1</f>
        <v>290.310686291291</v>
      </c>
      <c r="U83" s="45">
        <f>-SUMIFS([1]美团推广费!J:J,[1]美团推广费!C:C,"推广订单扣款",[1]美团推广费!H:H,B83,[1]美团推广费!I:I,$U$1)</f>
        <v>145.31</v>
      </c>
      <c r="V83" s="1">
        <f>IFERROR(J83/SUMIF(B:B,B83,J:J),0.25)</f>
        <v>0.533783783783784</v>
      </c>
      <c r="W83" s="1">
        <f t="shared" si="11"/>
        <v>77.5641216216216</v>
      </c>
    </row>
    <row r="84" s="1" customFormat="1" ht="16.5" spans="1:23">
      <c r="A84" s="20" t="s">
        <v>60</v>
      </c>
      <c r="B84" s="21" t="s">
        <v>29</v>
      </c>
      <c r="C84" s="53">
        <f>SUMIFS([1]日报透视!E:E,[1]日报透视!A:A,A84,[1]日报透视!B:B,B84)</f>
        <v>1876.2577850198</v>
      </c>
      <c r="D84" s="52">
        <f>SUMIFS([1]日报透视!F:F,[1]日报透视!A:A,A84,[1]日报透视!B:B,B84)</f>
        <v>1152.75541666667</v>
      </c>
      <c r="E84" s="52">
        <f>SUMIFS([1]日报透视!G:G,[1]日报透视!A:A,A84,[1]日报透视!B:B,B84)-M84</f>
        <v>602.25236835313</v>
      </c>
      <c r="F84" s="22">
        <f t="shared" si="6"/>
        <v>7.59241042339327</v>
      </c>
      <c r="G84" s="19">
        <f>SUMIFS([1]日报透视!I:I,[1]日报透视!A:A,A84,[1]日报透视!B:B,B84)</f>
        <v>447.952214980203</v>
      </c>
      <c r="H84" s="19">
        <f>SUMIFS([1]日报透视!J:J,[1]日报透视!A:A,A84,[1]日报透视!B:B,B84)</f>
        <v>175.04</v>
      </c>
      <c r="I84" s="19">
        <f>SUMIFS([1]日报透视!K:K,[1]日报透视!A:A,A84,[1]日报透视!B:B,B84)</f>
        <v>243.966</v>
      </c>
      <c r="J84" s="19">
        <f>SUMIFS([1]日报透视!L:L,[1]日报透视!A:A,A84,[1]日报透视!B:B,B84)</f>
        <v>59</v>
      </c>
      <c r="K84" s="32">
        <f t="shared" si="7"/>
        <v>4.13501694915254</v>
      </c>
      <c r="L84" s="32">
        <f ca="1" t="shared" si="8"/>
        <v>299.995264508603</v>
      </c>
      <c r="M84" s="67">
        <f>SUMIFS([1]日报透视!M:M,[1]日报透视!A:A,A84,[1]日报透视!B:B,B84)</f>
        <v>121.25</v>
      </c>
      <c r="N84" s="29">
        <f ca="1" t="shared" si="9"/>
        <v>302.257103844527</v>
      </c>
      <c r="O84" s="33" t="str">
        <f>VLOOKUP(B84,[1]门店ID对应关系!J:K,2,0)</f>
        <v>自营</v>
      </c>
      <c r="P84" s="34"/>
      <c r="Q84" s="1" t="str">
        <f t="shared" si="10"/>
        <v>济南店</v>
      </c>
      <c r="R84" s="1" t="str">
        <f>VLOOKUP(Q84,$B$4:$B$42,1,0)</f>
        <v>济南店</v>
      </c>
      <c r="S84" s="6"/>
      <c r="T84" s="44">
        <f ca="1">VLOOKUP(B84,[1]房租水电人工成本!A:N,14,0)*V84*$W$1</f>
        <v>299.995264508603</v>
      </c>
      <c r="U84" s="45">
        <f>-SUMIFS([1]美团推广费!J:J,[1]美团推广费!C:C,"推广订单扣款",[1]美团推广费!H:H,B84,[1]美团推广费!I:I,$U$1)</f>
        <v>121.25</v>
      </c>
      <c r="V84" s="1">
        <f>IFERROR(J84/SUMIF(B:B,B84,J:J),0.25)</f>
        <v>0.464566929133858</v>
      </c>
      <c r="W84" s="1">
        <f t="shared" si="11"/>
        <v>56.3287401574803</v>
      </c>
    </row>
    <row r="85" s="1" customFormat="1" ht="16.5" spans="1:23">
      <c r="A85" s="20" t="s">
        <v>60</v>
      </c>
      <c r="B85" s="21" t="s">
        <v>38</v>
      </c>
      <c r="C85" s="53">
        <f>SUMIFS([1]日报透视!E:E,[1]日报透视!A:A,A85,[1]日报透视!B:B,B85)</f>
        <v>2316.37788803418</v>
      </c>
      <c r="D85" s="52">
        <f>SUMIFS([1]日报透视!F:F,[1]日报透视!A:A,A85,[1]日报透视!B:B,B85)</f>
        <v>1516.438</v>
      </c>
      <c r="E85" s="52">
        <f>SUMIFS([1]日报透视!G:G,[1]日报透视!A:A,A85,[1]日报透视!B:B,B85)-M85</f>
        <v>693.529888034184</v>
      </c>
      <c r="F85" s="22">
        <f t="shared" si="6"/>
        <v>6.17472896917903</v>
      </c>
      <c r="G85" s="19">
        <f>SUMIFS([1]日报透视!I:I,[1]日报透视!A:A,A85,[1]日报透视!B:B,B85)</f>
        <v>407.532111965816</v>
      </c>
      <c r="H85" s="19">
        <f>SUMIFS([1]日报透视!J:J,[1]日报透视!A:A,A85,[1]日报透视!B:B,B85)</f>
        <v>205.18</v>
      </c>
      <c r="I85" s="19">
        <f>SUMIFS([1]日报透视!K:K,[1]日报透视!A:A,A85,[1]日报透视!B:B,B85)</f>
        <v>196.03</v>
      </c>
      <c r="J85" s="19">
        <f>SUMIFS([1]日报透视!L:L,[1]日报透视!A:A,A85,[1]日报透视!B:B,B85)</f>
        <v>66</v>
      </c>
      <c r="K85" s="32">
        <f t="shared" si="7"/>
        <v>2.97015151515152</v>
      </c>
      <c r="L85" s="32">
        <f ca="1" t="shared" si="8"/>
        <v>278.435749421297</v>
      </c>
      <c r="M85" s="67">
        <f>SUMIFS([1]日报透视!M:M,[1]日报透视!A:A,A85,[1]日报透视!B:B,B85)</f>
        <v>106.41</v>
      </c>
      <c r="N85" s="29">
        <f ca="1" t="shared" si="9"/>
        <v>415.094138612888</v>
      </c>
      <c r="O85" s="33" t="str">
        <f>VLOOKUP(B85,[1]门店ID对应关系!J:K,2,0)</f>
        <v>自营</v>
      </c>
      <c r="P85" s="34"/>
      <c r="Q85" s="1" t="str">
        <f t="shared" si="10"/>
        <v>官渡店</v>
      </c>
      <c r="R85" s="1" t="str">
        <f>VLOOKUP(Q85,$B$4:$B$42,1,0)</f>
        <v>官渡店</v>
      </c>
      <c r="S85" s="6"/>
      <c r="T85" s="44">
        <f ca="1">VLOOKUP(B85,[1]房租水电人工成本!A:N,14,0)*V85*$W$1</f>
        <v>278.435749421297</v>
      </c>
      <c r="U85" s="45">
        <f>-SUMIFS([1]美团推广费!J:J,[1]美团推广费!C:C,"推广订单扣款",[1]美团推广费!H:H,B85,[1]美团推广费!I:I,$U$1)</f>
        <v>106.41</v>
      </c>
      <c r="V85" s="1">
        <f>IFERROR(J85/SUMIF(B:B,B85,J:J),0.25)</f>
        <v>0.6875</v>
      </c>
      <c r="W85" s="1">
        <f t="shared" si="11"/>
        <v>73.156875</v>
      </c>
    </row>
    <row r="86" s="1" customFormat="1" ht="16.5" spans="1:23">
      <c r="A86" s="20" t="s">
        <v>60</v>
      </c>
      <c r="B86" s="21" t="s">
        <v>34</v>
      </c>
      <c r="C86" s="53">
        <f>SUMIFS([1]日报透视!E:E,[1]日报透视!A:A,A86,[1]日报透视!B:B,B86)</f>
        <v>1859.51609388952</v>
      </c>
      <c r="D86" s="52">
        <f>SUMIFS([1]日报透视!F:F,[1]日报透视!A:A,A86,[1]日报透视!B:B,B86)</f>
        <v>1304.37416666667</v>
      </c>
      <c r="E86" s="52">
        <f>SUMIFS([1]日报透视!G:G,[1]日报透视!A:A,A86,[1]日报透视!B:B,B86)-M86</f>
        <v>470.74192722286</v>
      </c>
      <c r="F86" s="22">
        <f t="shared" si="6"/>
        <v>7.22840566871248</v>
      </c>
      <c r="G86" s="19">
        <f>SUMIFS([1]日报透视!I:I,[1]日报透视!A:A,A86,[1]日报透视!B:B,B86)</f>
        <v>390.333906110474</v>
      </c>
      <c r="H86" s="19">
        <f>SUMIFS([1]日报透视!J:J,[1]日报透视!A:A,A86,[1]日报透视!B:B,B86)</f>
        <v>169.49</v>
      </c>
      <c r="I86" s="19">
        <f>SUMIFS([1]日报透视!K:K,[1]日报透视!A:A,A86,[1]日报透视!B:B,B86)</f>
        <v>233.055</v>
      </c>
      <c r="J86" s="19">
        <f>SUMIFS([1]日报透视!L:L,[1]日报透视!A:A,A86,[1]日报透视!B:B,B86)</f>
        <v>54</v>
      </c>
      <c r="K86" s="32">
        <f t="shared" si="7"/>
        <v>4.31583333333333</v>
      </c>
      <c r="L86" s="32">
        <f ca="1" t="shared" si="8"/>
        <v>187.5</v>
      </c>
      <c r="M86" s="67">
        <f>SUMIFS([1]日报透视!M:M,[1]日报透视!A:A,A86,[1]日报透视!B:B,B86)</f>
        <v>84.4</v>
      </c>
      <c r="N86" s="29">
        <f ca="1" t="shared" si="9"/>
        <v>283.24192722286</v>
      </c>
      <c r="O86" s="33" t="str">
        <f>VLOOKUP(B86,[1]门店ID对应关系!J:K,2,0)</f>
        <v>（加盟）</v>
      </c>
      <c r="P86" s="34"/>
      <c r="Q86" s="1" t="str">
        <f t="shared" si="10"/>
        <v>长沙店</v>
      </c>
      <c r="R86" s="1" t="str">
        <f>VLOOKUP(Q86,$B$4:$B$42,1,0)</f>
        <v>长沙店</v>
      </c>
      <c r="S86" s="6"/>
      <c r="T86" s="44">
        <f ca="1">VLOOKUP(B86,[1]房租水电人工成本!A:N,14,0)*V86*$W$1</f>
        <v>187.5</v>
      </c>
      <c r="U86" s="45">
        <f>-SUMIFS([1]美团推广费!J:J,[1]美团推广费!C:C,"推广订单扣款",[1]美团推广费!H:H,B86,[1]美团推广费!I:I,$U$1)</f>
        <v>84.4</v>
      </c>
      <c r="V86" s="1">
        <f>IFERROR(J86/SUMIF(B:B,B86,J:J),0.25)</f>
        <v>0.5625</v>
      </c>
      <c r="W86" s="1">
        <f t="shared" si="11"/>
        <v>47.475</v>
      </c>
    </row>
    <row r="87" s="1" customFormat="1" ht="16.5" spans="1:23">
      <c r="A87" s="20" t="s">
        <v>60</v>
      </c>
      <c r="B87" s="21" t="s">
        <v>20</v>
      </c>
      <c r="C87" s="53">
        <f>SUMIFS([1]日报透视!E:E,[1]日报透视!A:A,A87,[1]日报透视!B:B,B87)</f>
        <v>1356.1921382732</v>
      </c>
      <c r="D87" s="52">
        <f>SUMIFS([1]日报透视!F:F,[1]日报透视!A:A,A87,[1]日报透视!B:B,B87)</f>
        <v>911.9225</v>
      </c>
      <c r="E87" s="52">
        <f>SUMIFS([1]日报透视!G:G,[1]日报透视!A:A,A87,[1]日报透视!B:B,B87)-M87</f>
        <v>299.269638273196</v>
      </c>
      <c r="F87" s="22">
        <f t="shared" si="6"/>
        <v>7.87403447642231</v>
      </c>
      <c r="G87" s="19">
        <f>SUMIFS([1]日报透视!I:I,[1]日报透视!A:A,A87,[1]日报透视!B:B,B87)</f>
        <v>425.197861726805</v>
      </c>
      <c r="H87" s="19">
        <f>SUMIFS([1]日报透视!J:J,[1]日报透视!A:A,A87,[1]日报透视!B:B,B87)</f>
        <v>130.15</v>
      </c>
      <c r="I87" s="19">
        <f>SUMIFS([1]日报透视!K:K,[1]日报透视!A:A,A87,[1]日报透视!B:B,B87)</f>
        <v>225.802</v>
      </c>
      <c r="J87" s="19">
        <f>SUMIFS([1]日报透视!L:L,[1]日报透视!A:A,A87,[1]日报透视!B:B,B87)</f>
        <v>54</v>
      </c>
      <c r="K87" s="32">
        <f t="shared" si="7"/>
        <v>4.18151851851852</v>
      </c>
      <c r="L87" s="32">
        <f ca="1" t="shared" si="8"/>
        <v>184.312297777778</v>
      </c>
      <c r="M87" s="67">
        <f>SUMIFS([1]日报透视!M:M,[1]日报透视!A:A,A87,[1]日报透视!B:B,B87)</f>
        <v>145</v>
      </c>
      <c r="N87" s="29">
        <f ca="1" t="shared" si="9"/>
        <v>114.957340495418</v>
      </c>
      <c r="O87" s="33" t="str">
        <f>VLOOKUP(B87,[1]门店ID对应关系!J:K,2,0)</f>
        <v>自营</v>
      </c>
      <c r="P87" s="34"/>
      <c r="Q87" s="1" t="str">
        <f t="shared" si="10"/>
        <v>余杭店</v>
      </c>
      <c r="R87" s="1" t="str">
        <f>VLOOKUP(Q87,$B$4:$B$42,1,0)</f>
        <v>余杭店</v>
      </c>
      <c r="S87" s="6"/>
      <c r="T87" s="44">
        <f ca="1">VLOOKUP(B87,[1]房租水电人工成本!A:N,14,0)*V87*$W$1</f>
        <v>184.312297777778</v>
      </c>
      <c r="U87" s="45">
        <f>-SUMIFS([1]美团推广费!J:J,[1]美团推广费!C:C,"推广订单扣款",[1]美团推广费!H:H,B87,[1]美团推广费!I:I,$U$1)</f>
        <v>145</v>
      </c>
      <c r="V87" s="1">
        <f>IFERROR(J87/SUMIF(B:B,B87,J:J),0.25)</f>
        <v>0.4</v>
      </c>
      <c r="W87" s="1">
        <f t="shared" si="11"/>
        <v>58</v>
      </c>
    </row>
    <row r="88" s="1" customFormat="1" ht="16.5" spans="1:23">
      <c r="A88" s="20" t="s">
        <v>60</v>
      </c>
      <c r="B88" s="21" t="s">
        <v>52</v>
      </c>
      <c r="C88" s="53">
        <f>SUMIFS([1]日报透视!E:E,[1]日报透视!A:A,A88,[1]日报透视!B:B,B88)</f>
        <v>738.796142100516</v>
      </c>
      <c r="D88" s="52">
        <f>SUMIFS([1]日报透视!F:F,[1]日报透视!A:A,A88,[1]日报透视!B:B,B88)</f>
        <v>487.351</v>
      </c>
      <c r="E88" s="52">
        <f>SUMIFS([1]日报透视!G:G,[1]日报透视!A:A,A88,[1]日报透视!B:B,B88)-M88</f>
        <v>130.905142100516</v>
      </c>
      <c r="F88" s="22">
        <f t="shared" si="6"/>
        <v>5.429551608319</v>
      </c>
      <c r="G88" s="19">
        <f>SUMIFS([1]日报透视!I:I,[1]日报透视!A:A,A88,[1]日报透视!B:B,B88)</f>
        <v>195.463857899484</v>
      </c>
      <c r="H88" s="19">
        <f>SUMIFS([1]日报透视!J:J,[1]日报透视!A:A,A88,[1]日报透视!B:B,B88)</f>
        <v>67.97</v>
      </c>
      <c r="I88" s="19">
        <f>SUMIFS([1]日报透视!K:K,[1]日报透视!A:A,A88,[1]日报透视!B:B,B88)</f>
        <v>96.614</v>
      </c>
      <c r="J88" s="19">
        <f>SUMIFS([1]日报透视!L:L,[1]日报透视!A:A,A88,[1]日报透视!B:B,B88)</f>
        <v>36</v>
      </c>
      <c r="K88" s="32">
        <f t="shared" si="7"/>
        <v>2.68372222222222</v>
      </c>
      <c r="L88" s="32">
        <f ca="1" t="shared" si="8"/>
        <v>288.451635658915</v>
      </c>
      <c r="M88" s="67">
        <f>SUMIFS([1]日报透视!M:M,[1]日报透视!A:A,A88,[1]日报透视!B:B,B88)</f>
        <v>120.54</v>
      </c>
      <c r="N88" s="29">
        <f ca="1" t="shared" si="9"/>
        <v>-157.546493558399</v>
      </c>
      <c r="O88" s="33" t="str">
        <f>VLOOKUP(B88,[1]门店ID对应关系!J:K,2,0)</f>
        <v>自营</v>
      </c>
      <c r="P88" s="34"/>
      <c r="Q88" s="1" t="str">
        <f t="shared" si="10"/>
        <v>文昌店</v>
      </c>
      <c r="R88" s="1" t="str">
        <f>VLOOKUP(Q88,$B$4:$B$42,1,0)</f>
        <v>文昌店</v>
      </c>
      <c r="S88" s="6"/>
      <c r="T88" s="44">
        <f ca="1">VLOOKUP(B88,[1]房租水电人工成本!A:N,14,0)*V88*$W$1</f>
        <v>288.451635658915</v>
      </c>
      <c r="U88" s="45">
        <f>-SUMIFS([1]美团推广费!J:J,[1]美团推广费!C:C,"推广订单扣款",[1]美团推广费!H:H,B88,[1]美团推广费!I:I,$U$1)</f>
        <v>120.54</v>
      </c>
      <c r="V88" s="1">
        <f>IFERROR(J88/SUMIF(B:B,B88,J:J),0.25)</f>
        <v>0.837209302325581</v>
      </c>
      <c r="W88" s="1">
        <f t="shared" si="11"/>
        <v>100.917209302326</v>
      </c>
    </row>
    <row r="89" s="1" customFormat="1" ht="16.5" spans="1:23">
      <c r="A89" s="20" t="s">
        <v>60</v>
      </c>
      <c r="B89" s="21" t="s">
        <v>43</v>
      </c>
      <c r="C89" s="53">
        <f>SUMIFS([1]日报透视!E:E,[1]日报透视!A:A,A89,[1]日报透视!B:B,B89)</f>
        <v>2179.21503525719</v>
      </c>
      <c r="D89" s="52">
        <f>SUMIFS([1]日报透视!F:F,[1]日报透视!A:A,A89,[1]日报透视!B:B,B89)</f>
        <v>1460.97583333333</v>
      </c>
      <c r="E89" s="52">
        <f>SUMIFS([1]日报透视!G:G,[1]日报透视!A:A,A89,[1]日报透视!B:B,B89)-M89</f>
        <v>593.259201923855</v>
      </c>
      <c r="F89" s="22">
        <f t="shared" si="6"/>
        <v>6.58618006587239</v>
      </c>
      <c r="G89" s="19">
        <f>SUMIFS([1]日报透视!I:I,[1]日报透视!A:A,A89,[1]日报透视!B:B,B89)</f>
        <v>474.204964742812</v>
      </c>
      <c r="H89" s="19">
        <f>SUMIFS([1]日报透视!J:J,[1]日报透视!A:A,A89,[1]日报透视!B:B,B89)</f>
        <v>171.64</v>
      </c>
      <c r="I89" s="19">
        <f>SUMIFS([1]日报透视!K:K,[1]日报透视!A:A,A89,[1]日报透视!B:B,B89)</f>
        <v>275.376</v>
      </c>
      <c r="J89" s="19">
        <f>SUMIFS([1]日报透视!L:L,[1]日报透视!A:A,A89,[1]日报透视!B:B,B89)</f>
        <v>72</v>
      </c>
      <c r="K89" s="32">
        <f t="shared" si="7"/>
        <v>3.82466666666667</v>
      </c>
      <c r="L89" s="32">
        <f ca="1" t="shared" si="8"/>
        <v>260.20304109589</v>
      </c>
      <c r="M89" s="67">
        <f>SUMIFS([1]日报透视!M:M,[1]日报透视!A:A,A89,[1]日报透视!B:B,B89)</f>
        <v>124.98</v>
      </c>
      <c r="N89" s="29">
        <f ca="1" t="shared" si="9"/>
        <v>333.056160827965</v>
      </c>
      <c r="O89" s="33" t="str">
        <f>VLOOKUP(B89,[1]门店ID对应关系!J:K,2,0)</f>
        <v>自营</v>
      </c>
      <c r="P89" s="34"/>
      <c r="Q89" s="1" t="str">
        <f t="shared" si="10"/>
        <v>黄雁村店</v>
      </c>
      <c r="R89" s="1" t="str">
        <f>VLOOKUP(Q89,$B$4:$B$42,1,0)</f>
        <v>黄雁村店</v>
      </c>
      <c r="S89" s="6"/>
      <c r="T89" s="44">
        <f ca="1">VLOOKUP(B89,[1]房租水电人工成本!A:N,14,0)*V89*$W$1</f>
        <v>260.20304109589</v>
      </c>
      <c r="U89" s="45">
        <f>-SUMIFS([1]美团推广费!J:J,[1]美团推广费!C:C,"推广订单扣款",[1]美团推广费!H:H,B89,[1]美团推广费!I:I,$U$1)</f>
        <v>124.98</v>
      </c>
      <c r="V89" s="1">
        <f>IFERROR(J89/SUMIF(B:B,B89,J:J),0.25)</f>
        <v>0.493150684931507</v>
      </c>
      <c r="W89" s="1">
        <f t="shared" si="11"/>
        <v>61.6339726027397</v>
      </c>
    </row>
    <row r="90" s="5" customFormat="1" ht="16.5" spans="1:23">
      <c r="A90" s="20" t="s">
        <v>60</v>
      </c>
      <c r="B90" s="21" t="s">
        <v>27</v>
      </c>
      <c r="C90" s="53">
        <f>SUMIFS([1]日报透视!E:E,[1]日报透视!A:A,A90,[1]日报透视!B:B,B90)</f>
        <v>2652.16384478627</v>
      </c>
      <c r="D90" s="52">
        <f>SUMIFS([1]日报透视!F:F,[1]日报透视!A:A,A90,[1]日报透视!B:B,B90)</f>
        <v>1952.93433333333</v>
      </c>
      <c r="E90" s="52">
        <f>SUMIFS([1]日报透视!G:G,[1]日报透视!A:A,A90,[1]日报透视!B:B,B90)-M90</f>
        <v>499.229511452938</v>
      </c>
      <c r="F90" s="22">
        <f t="shared" si="6"/>
        <v>6.55546352838112</v>
      </c>
      <c r="G90" s="19">
        <f>SUMIFS([1]日报透视!I:I,[1]日报透视!A:A,A90,[1]日报透视!B:B,B90)</f>
        <v>511.326155213727</v>
      </c>
      <c r="H90" s="19">
        <f>SUMIFS([1]日报透视!J:J,[1]日报透视!A:A,A90,[1]日报透视!B:B,B90)</f>
        <v>232.81</v>
      </c>
      <c r="I90" s="19">
        <f>SUMIFS([1]日报透视!K:K,[1]日报透视!A:A,A90,[1]日报透视!B:B,B90)</f>
        <v>342.156</v>
      </c>
      <c r="J90" s="19">
        <f>SUMIFS([1]日报透视!L:L,[1]日报透视!A:A,A90,[1]日报透视!B:B,B90)</f>
        <v>78</v>
      </c>
      <c r="K90" s="32">
        <f t="shared" si="7"/>
        <v>4.38661538461538</v>
      </c>
      <c r="L90" s="32">
        <f ca="1" t="shared" si="8"/>
        <v>256.230117962963</v>
      </c>
      <c r="M90" s="67">
        <f>SUMIFS([1]日报透视!M:M,[1]日报透视!A:A,A90,[1]日报透视!B:B,B90)</f>
        <v>200.000000000001</v>
      </c>
      <c r="N90" s="29">
        <f ca="1" t="shared" si="9"/>
        <v>242.999393489975</v>
      </c>
      <c r="O90" s="33" t="str">
        <f>VLOOKUP(B90,[1]门店ID对应关系!J:K,2,0)</f>
        <v>自营</v>
      </c>
      <c r="P90" s="34"/>
      <c r="Q90" s="5" t="str">
        <f t="shared" si="10"/>
        <v>鼓楼店</v>
      </c>
      <c r="R90" s="5" t="str">
        <f>VLOOKUP(Q90,$B$4:$B$42,1,0)</f>
        <v>鼓楼店</v>
      </c>
      <c r="S90" s="6"/>
      <c r="T90" s="44">
        <f ca="1">VLOOKUP(B90,[1]房租水电人工成本!A:N,14,0)*V90*$W$1</f>
        <v>256.230117962963</v>
      </c>
      <c r="U90" s="79">
        <f>-SUMIFS([1]美团推广费!J:J,[1]美团推广费!C:C,"推广订单扣款",[1]美团推广费!H:H,B90,[1]美团推广费!I:I,$U$1)</f>
        <v>200</v>
      </c>
      <c r="V90" s="1">
        <f>IFERROR(J90/SUMIF(B:B,B90,J:J),0.25)</f>
        <v>0.541666666666667</v>
      </c>
      <c r="W90" s="5">
        <f t="shared" si="11"/>
        <v>108.333333333333</v>
      </c>
    </row>
    <row r="91" s="1" customFormat="1" ht="16.5" spans="1:23">
      <c r="A91" s="20" t="s">
        <v>60</v>
      </c>
      <c r="B91" s="21" t="s">
        <v>37</v>
      </c>
      <c r="C91" s="53">
        <f>SUMIFS([1]日报透视!E:E,[1]日报透视!A:A,A91,[1]日报透视!B:B,B91)</f>
        <v>1294.08483196995</v>
      </c>
      <c r="D91" s="52">
        <f>SUMIFS([1]日报透视!F:F,[1]日报透视!A:A,A91,[1]日报透视!B:B,B91)</f>
        <v>791.76</v>
      </c>
      <c r="E91" s="52">
        <f>SUMIFS([1]日报透视!G:G,[1]日报透视!A:A,A91,[1]日报透视!B:B,B91)-M91</f>
        <v>357.284831969953</v>
      </c>
      <c r="F91" s="22">
        <f t="shared" si="6"/>
        <v>5.77231792648233</v>
      </c>
      <c r="G91" s="19">
        <f>SUMIFS([1]日报透视!I:I,[1]日报透视!A:A,A91,[1]日报透视!B:B,B91)</f>
        <v>311.705168030046</v>
      </c>
      <c r="H91" s="19">
        <f>SUMIFS([1]日报透视!J:J,[1]日报透视!A:A,A91,[1]日报透视!B:B,B91)</f>
        <v>117.05</v>
      </c>
      <c r="I91" s="19">
        <f>SUMIFS([1]日报透视!K:K,[1]日报透视!A:A,A91,[1]日报透视!B:B,B91)</f>
        <v>205.341</v>
      </c>
      <c r="J91" s="19">
        <f>SUMIFS([1]日报透视!L:L,[1]日报透视!A:A,A91,[1]日报透视!B:B,B91)</f>
        <v>54</v>
      </c>
      <c r="K91" s="32">
        <f t="shared" si="7"/>
        <v>3.80261111111111</v>
      </c>
      <c r="L91" s="32">
        <f ca="1" t="shared" si="8"/>
        <v>172.890243902439</v>
      </c>
      <c r="M91" s="67">
        <f>SUMIFS([1]日报透视!M:M,[1]日报透视!A:A,A91,[1]日报透视!B:B,B91)</f>
        <v>145.040000000001</v>
      </c>
      <c r="N91" s="29">
        <f ca="1" t="shared" si="9"/>
        <v>184.394588067514</v>
      </c>
      <c r="O91" s="33" t="str">
        <f>VLOOKUP(B91,[1]门店ID对应关系!J:K,2,0)</f>
        <v>自营</v>
      </c>
      <c r="P91" s="34"/>
      <c r="Q91" s="1" t="str">
        <f t="shared" si="10"/>
        <v>观桥店</v>
      </c>
      <c r="R91" s="1" t="str">
        <f>VLOOKUP(Q91,$B$4:$B$42,1,0)</f>
        <v>观桥店</v>
      </c>
      <c r="S91" s="6"/>
      <c r="T91" s="44">
        <f ca="1">VLOOKUP(B91,[1]房租水电人工成本!A:N,14,0)*V91*$W$1</f>
        <v>172.890243902439</v>
      </c>
      <c r="U91" s="45">
        <f>-SUMIFS([1]美团推广费!J:J,[1]美团推广费!C:C,"推广订单扣款",[1]美团推广费!H:H,B91,[1]美团推广费!I:I,$U$1)</f>
        <v>145.04</v>
      </c>
      <c r="V91" s="1">
        <f>IFERROR(J91/SUMIF(B:B,B91,J:J),0.25)</f>
        <v>0.658536585365854</v>
      </c>
      <c r="W91" s="1">
        <f t="shared" si="11"/>
        <v>95.5141463414634</v>
      </c>
    </row>
    <row r="92" s="1" customFormat="1" ht="16.5" spans="1:23">
      <c r="A92" s="54" t="s">
        <v>60</v>
      </c>
      <c r="B92" s="55" t="s">
        <v>45</v>
      </c>
      <c r="C92" s="53">
        <f>SUMIFS([1]日报透视!E:E,[1]日报透视!A:A,A92,[1]日报透视!B:B,B92)</f>
        <v>1938.2308907156</v>
      </c>
      <c r="D92" s="52">
        <f>SUMIFS([1]日报透视!F:F,[1]日报透视!A:A,A92,[1]日报透视!B:B,B92)</f>
        <v>1258.94333333333</v>
      </c>
      <c r="E92" s="52">
        <f>SUMIFS([1]日报透视!G:G,[1]日报透视!A:A,A92,[1]日报透视!B:B,B92)-M92</f>
        <v>519.287557382263</v>
      </c>
      <c r="F92" s="53">
        <f t="shared" si="6"/>
        <v>5.39345011903082</v>
      </c>
      <c r="G92" s="52">
        <f>SUMIFS([1]日报透视!I:I,[1]日报透视!A:A,A92,[1]日报透视!B:B,B92)</f>
        <v>420.689109284404</v>
      </c>
      <c r="H92" s="52">
        <f>SUMIFS([1]日报透视!J:J,[1]日报透视!A:A,A92,[1]日报透视!B:B,B92)</f>
        <v>177.52</v>
      </c>
      <c r="I92" s="52">
        <f>SUMIFS([1]日报透视!K:K,[1]日报透视!A:A,A92,[1]日报透视!B:B,B92)</f>
        <v>0</v>
      </c>
      <c r="J92" s="52">
        <f>SUMIFS([1]日报透视!L:L,[1]日报透视!A:A,A92,[1]日报透视!B:B,B92)</f>
        <v>78</v>
      </c>
      <c r="K92" s="70">
        <f t="shared" si="7"/>
        <v>0</v>
      </c>
      <c r="L92" s="32">
        <f ca="1" t="shared" si="8"/>
        <v>481.550048010974</v>
      </c>
      <c r="M92" s="67">
        <f>SUMIFS([1]日报透视!M:M,[1]日报透视!A:A,A92,[1]日报透视!B:B,B92)</f>
        <v>160</v>
      </c>
      <c r="N92" s="68">
        <f ca="1" t="shared" si="9"/>
        <v>37.7375093712888</v>
      </c>
      <c r="O92" s="71" t="str">
        <f>VLOOKUP(B92,[1]门店ID对应关系!J:K,2,0)</f>
        <v>自营</v>
      </c>
      <c r="P92" s="34"/>
      <c r="Q92" s="1" t="str">
        <f t="shared" si="10"/>
        <v>华信店</v>
      </c>
      <c r="R92" s="1" t="str">
        <f>VLOOKUP(Q92,$B$4:$B$42,1,0)</f>
        <v>华信店</v>
      </c>
      <c r="S92" s="6"/>
      <c r="T92" s="44">
        <f ca="1">VLOOKUP(B92,[1]房租水电人工成本!A:N,14,0)*V92*$W$1</f>
        <v>481.550048010974</v>
      </c>
      <c r="U92" s="45">
        <f>-SUMIFS([1]美团推广费!J:J,[1]美团推广费!C:C,"推广订单扣款",[1]美团推广费!H:H,B92,[1]美团推广费!I:I,$U$1)</f>
        <v>160</v>
      </c>
      <c r="V92" s="1">
        <f>IFERROR(J92/SUMIF(B:B,B92,J:J),0.25)</f>
        <v>0.962962962962963</v>
      </c>
      <c r="W92" s="1">
        <f t="shared" si="11"/>
        <v>154.074074074074</v>
      </c>
    </row>
    <row r="93" s="1" customFormat="1" ht="16.5" spans="1:23">
      <c r="A93" s="20" t="s">
        <v>60</v>
      </c>
      <c r="B93" s="21" t="s">
        <v>31</v>
      </c>
      <c r="C93" s="53">
        <f>SUMIFS([1]日报透视!E:E,[1]日报透视!A:A,A93,[1]日报透视!B:B,B93)</f>
        <v>1233.93788803418</v>
      </c>
      <c r="D93" s="52">
        <f>SUMIFS([1]日报透视!F:F,[1]日报透视!A:A,A93,[1]日报透视!B:B,B93)</f>
        <v>746.825583333333</v>
      </c>
      <c r="E93" s="52">
        <f>SUMIFS([1]日报透视!G:G,[1]日报透视!A:A,A93,[1]日报透视!B:B,B93)-M93</f>
        <v>331.75230470085</v>
      </c>
      <c r="F93" s="22">
        <f t="shared" si="6"/>
        <v>5.86558907882248</v>
      </c>
      <c r="G93" s="19">
        <f>SUMIFS([1]日报透视!I:I,[1]日报透视!A:A,A93,[1]日报透视!B:B,B93)</f>
        <v>369.532111965816</v>
      </c>
      <c r="H93" s="19">
        <f>SUMIFS([1]日报透视!J:J,[1]日报透视!A:A,A93,[1]日报透视!B:B,B93)</f>
        <v>120.91</v>
      </c>
      <c r="I93" s="19">
        <f>SUMIFS([1]日报透视!K:K,[1]日报透视!A:A,A93,[1]日报透视!B:B,B93)</f>
        <v>161.558</v>
      </c>
      <c r="J93" s="19">
        <f>SUMIFS([1]日报透视!L:L,[1]日报透视!A:A,A93,[1]日报透视!B:B,B93)</f>
        <v>63</v>
      </c>
      <c r="K93" s="32">
        <f t="shared" si="7"/>
        <v>2.5644126984127</v>
      </c>
      <c r="L93" s="32">
        <f ca="1" t="shared" si="8"/>
        <v>219.38210530303</v>
      </c>
      <c r="M93" s="67">
        <f>SUMIFS([1]日报透视!M:M,[1]日报透视!A:A,A93,[1]日报透视!B:B,B93)</f>
        <v>155.36</v>
      </c>
      <c r="N93" s="29">
        <f ca="1" t="shared" si="9"/>
        <v>112.37019939782</v>
      </c>
      <c r="O93" s="33" t="str">
        <f>VLOOKUP(B93,[1]门店ID对应关系!J:K,2,0)</f>
        <v>自营</v>
      </c>
      <c r="P93" s="34"/>
      <c r="Q93" s="1" t="str">
        <f t="shared" si="10"/>
        <v>五华店</v>
      </c>
      <c r="R93" s="1" t="str">
        <f>VLOOKUP(Q93,$B$4:$B$42,1,0)</f>
        <v>五华店</v>
      </c>
      <c r="S93" s="6"/>
      <c r="T93" s="44">
        <f ca="1">VLOOKUP(B93,[1]房租水电人工成本!A:N,14,0)*V93*$W$1</f>
        <v>219.38210530303</v>
      </c>
      <c r="U93" s="45">
        <f>-SUMIFS([1]美团推广费!J:J,[1]美团推广费!C:C,"推广订单扣款",[1]美团推广费!H:H,B93,[1]美团推广费!I:I,$U$1)</f>
        <v>155.36</v>
      </c>
      <c r="V93" s="1">
        <f>IFERROR(J93/SUMIF(B:B,B93,J:J),0.25)</f>
        <v>0.636363636363636</v>
      </c>
      <c r="W93" s="1">
        <f t="shared" si="11"/>
        <v>98.8654545454546</v>
      </c>
    </row>
    <row r="94" s="1" customFormat="1" ht="16.5" spans="1:23">
      <c r="A94" s="20" t="s">
        <v>60</v>
      </c>
      <c r="B94" s="21" t="s">
        <v>32</v>
      </c>
      <c r="C94" s="53">
        <f>SUMIFS([1]日报透视!E:E,[1]日报透视!A:A,A94,[1]日报透视!B:B,B94)</f>
        <v>2019.22200311187</v>
      </c>
      <c r="D94" s="52">
        <f>SUMIFS([1]日报透视!F:F,[1]日报透视!A:A,A94,[1]日报透视!B:B,B94)</f>
        <v>1286.2275</v>
      </c>
      <c r="E94" s="52">
        <f>SUMIFS([1]日报透视!G:G,[1]日报透视!A:A,A94,[1]日报透视!B:B,B94)-M94</f>
        <v>589.274503111874</v>
      </c>
      <c r="F94" s="22">
        <f t="shared" si="6"/>
        <v>7.42549996758465</v>
      </c>
      <c r="G94" s="19">
        <f>SUMIFS([1]日报透视!I:I,[1]日报透视!A:A,A94,[1]日报透视!B:B,B94)</f>
        <v>712.847996888126</v>
      </c>
      <c r="H94" s="19">
        <f>SUMIFS([1]日报透视!J:J,[1]日报透视!A:A,A94,[1]日报透视!B:B,B94)</f>
        <v>201.64</v>
      </c>
      <c r="I94" s="19">
        <f>SUMIFS([1]日报透视!K:K,[1]日报透视!A:A,A94,[1]日报透视!B:B,B94)</f>
        <v>329.211</v>
      </c>
      <c r="J94" s="19">
        <f>SUMIFS([1]日报透视!L:L,[1]日报透视!A:A,A94,[1]日报透视!B:B,B94)</f>
        <v>96</v>
      </c>
      <c r="K94" s="32">
        <f t="shared" si="7"/>
        <v>3.42928125</v>
      </c>
      <c r="L94" s="32">
        <f ca="1" t="shared" si="8"/>
        <v>285.575263082437</v>
      </c>
      <c r="M94" s="67">
        <f>SUMIFS([1]日报透视!M:M,[1]日报透视!A:A,A94,[1]日报透视!B:B,B94)</f>
        <v>87.4300000000001</v>
      </c>
      <c r="N94" s="29">
        <f ca="1" t="shared" si="9"/>
        <v>303.699240029437</v>
      </c>
      <c r="O94" s="33" t="str">
        <f>VLOOKUP(B94,[1]门店ID对应关系!J:K,2,0)</f>
        <v>自营</v>
      </c>
      <c r="P94" s="34"/>
      <c r="Q94" s="1" t="str">
        <f t="shared" si="10"/>
        <v>东新店</v>
      </c>
      <c r="R94" s="1" t="str">
        <f>VLOOKUP(Q94,$B$4:$B$42,1,0)</f>
        <v>东新店</v>
      </c>
      <c r="S94" s="6"/>
      <c r="T94" s="44">
        <f ca="1">VLOOKUP(B94,[1]房租水电人工成本!A:N,14,0)*V94*$W$1</f>
        <v>285.575263082437</v>
      </c>
      <c r="U94" s="45">
        <f>-SUMIFS([1]美团推广费!J:J,[1]美团推广费!C:C,"推广订单扣款",[1]美团推广费!H:H,B94,[1]美团推广费!I:I,$U$1)</f>
        <v>87.43</v>
      </c>
      <c r="V94" s="1">
        <f>IFERROR(J94/SUMIF(B:B,B94,J:J),0.25)</f>
        <v>0.619354838709677</v>
      </c>
      <c r="W94" s="1">
        <f t="shared" si="11"/>
        <v>54.1501935483871</v>
      </c>
    </row>
    <row r="95" s="5" customFormat="1" ht="16.5" spans="1:23">
      <c r="A95" s="20" t="s">
        <v>60</v>
      </c>
      <c r="B95" s="21" t="s">
        <v>22</v>
      </c>
      <c r="C95" s="53">
        <f>SUMIFS([1]日报透视!E:E,[1]日报透视!A:A,A95,[1]日报透视!B:B,B95)</f>
        <v>2078.30268584002</v>
      </c>
      <c r="D95" s="52">
        <f>SUMIFS([1]日报透视!F:F,[1]日报透视!A:A,A95,[1]日报透视!B:B,B95)</f>
        <v>1353.93583333333</v>
      </c>
      <c r="E95" s="52">
        <f>SUMIFS([1]日报透视!G:G,[1]日报透视!A:A,A95,[1]日报透视!B:B,B95)-M95</f>
        <v>668.676852506687</v>
      </c>
      <c r="F95" s="22">
        <f t="shared" si="6"/>
        <v>6.19071688121182</v>
      </c>
      <c r="G95" s="19">
        <f>SUMIFS([1]日报透视!I:I,[1]日报透视!A:A,A95,[1]日报透视!B:B,B95)</f>
        <v>408.58731415998</v>
      </c>
      <c r="H95" s="19">
        <f>SUMIFS([1]日报透视!J:J,[1]日报透视!A:A,A95,[1]日报透视!B:B,B95)</f>
        <v>179.39</v>
      </c>
      <c r="I95" s="19">
        <f>SUMIFS([1]日报透视!K:K,[1]日报透视!A:A,A95,[1]日报透视!B:B,B95)</f>
        <v>262.335</v>
      </c>
      <c r="J95" s="19">
        <f>SUMIFS([1]日报透视!L:L,[1]日报透视!A:A,A95,[1]日报透视!B:B,B95)</f>
        <v>66</v>
      </c>
      <c r="K95" s="32">
        <f t="shared" si="7"/>
        <v>3.97477272727273</v>
      </c>
      <c r="L95" s="32">
        <f ca="1" t="shared" si="8"/>
        <v>347.660727272727</v>
      </c>
      <c r="M95" s="67">
        <f>SUMIFS([1]日报透视!M:M,[1]日报透视!A:A,A95,[1]日报透视!B:B,B95)</f>
        <v>55.6899999999999</v>
      </c>
      <c r="N95" s="29">
        <f ca="1" t="shared" si="9"/>
        <v>321.01612523396</v>
      </c>
      <c r="O95" s="33" t="str">
        <f>VLOOKUP(B95,[1]门店ID对应关系!J:K,2,0)</f>
        <v>自营</v>
      </c>
      <c r="P95" s="34"/>
      <c r="Q95" s="1" t="str">
        <f t="shared" si="10"/>
        <v>首山店</v>
      </c>
      <c r="R95" s="1" t="str">
        <f>VLOOKUP(Q95,$B$4:$B$42,1,0)</f>
        <v>首山店</v>
      </c>
      <c r="S95" s="6"/>
      <c r="T95" s="44">
        <f ca="1">VLOOKUP(B95,[1]房租水电人工成本!A:N,14,0)*V95*$W$1</f>
        <v>347.660727272727</v>
      </c>
      <c r="U95" s="45">
        <f>-SUMIFS([1]美团推广费!J:J,[1]美团推广费!C:C,"推广订单扣款",[1]美团推广费!H:H,B95,[1]美团推广费!I:I,$U$1)</f>
        <v>55.69</v>
      </c>
      <c r="V95" s="1">
        <f>IFERROR(J95/SUMIF(B:B,B95,J:J),0.25)</f>
        <v>0.545454545454545</v>
      </c>
      <c r="W95" s="1">
        <f t="shared" si="11"/>
        <v>30.3763636363636</v>
      </c>
    </row>
    <row r="96" s="5" customFormat="1" ht="16.5" spans="1:23">
      <c r="A96" s="20" t="s">
        <v>60</v>
      </c>
      <c r="B96" s="21" t="s">
        <v>55</v>
      </c>
      <c r="C96" s="53">
        <f>SUMIFS([1]日报透视!E:E,[1]日报透视!A:A,A96,[1]日报透视!B:B,B96)</f>
        <v>2164.08728785497</v>
      </c>
      <c r="D96" s="52">
        <f>SUMIFS([1]日报透视!F:F,[1]日报透视!A:A,A96,[1]日报透视!B:B,B96)</f>
        <v>1731.81458333333</v>
      </c>
      <c r="E96" s="52">
        <f>SUMIFS([1]日报透视!G:G,[1]日报透视!A:A,A96,[1]日报透视!B:B,B96)-M96</f>
        <v>361.012704521638</v>
      </c>
      <c r="F96" s="22">
        <f t="shared" si="6"/>
        <v>6.27112400381655</v>
      </c>
      <c r="G96" s="19">
        <f>SUMIFS([1]日报透视!I:I,[1]日报透视!A:A,A96,[1]日报透视!B:B,B96)</f>
        <v>238.302712145029</v>
      </c>
      <c r="H96" s="19">
        <f>SUMIFS([1]日报透视!J:J,[1]日报透视!A:A,A96,[1]日报透视!B:B,B96)</f>
        <v>165.79</v>
      </c>
      <c r="I96" s="19">
        <f>SUMIFS([1]日报透视!K:K,[1]日报透视!A:A,A96,[1]日报透视!B:B,B96)</f>
        <v>112.139</v>
      </c>
      <c r="J96" s="19">
        <f>SUMIFS([1]日报透视!L:L,[1]日报透视!A:A,A96,[1]日报透视!B:B,B96)</f>
        <v>38</v>
      </c>
      <c r="K96" s="32">
        <f t="shared" si="7"/>
        <v>2.95102631578947</v>
      </c>
      <c r="L96" s="32">
        <f ca="1" t="shared" si="8"/>
        <v>286.786038871252</v>
      </c>
      <c r="M96" s="67">
        <f>SUMIFS([1]日报透视!M:M,[1]日报透视!A:A,A96,[1]日报透视!B:B,B96)</f>
        <v>71.2599999999999</v>
      </c>
      <c r="N96" s="29">
        <f ca="1" t="shared" si="9"/>
        <v>74.2266656503862</v>
      </c>
      <c r="O96" s="33" t="str">
        <f>VLOOKUP(B96,[1]门店ID对应关系!J:K,2,0)</f>
        <v>自营</v>
      </c>
      <c r="P96" s="34"/>
      <c r="Q96" s="5" t="str">
        <f t="shared" si="10"/>
        <v>青羊店</v>
      </c>
      <c r="R96" s="5" t="str">
        <f>VLOOKUP(Q96,$B$4:$B$42,1,0)</f>
        <v>青羊店</v>
      </c>
      <c r="S96" s="6"/>
      <c r="T96" s="44">
        <f ca="1">VLOOKUP(B96,[1]房租水电人工成本!A:N,14,0)*V96*$W$1</f>
        <v>286.786038871252</v>
      </c>
      <c r="U96" s="79">
        <f>-SUMIFS([1]美团推广费!J:J,[1]美团推广费!C:C,"推广订单扣款",[1]美团推广费!H:H,B96,[1]美团推广费!I:I,$U$1)</f>
        <v>71.26</v>
      </c>
      <c r="V96" s="1">
        <f>IFERROR(J96/SUMIF(B:B,B96,J:J),0.25)</f>
        <v>0.603174603174603</v>
      </c>
      <c r="W96" s="5">
        <f t="shared" si="11"/>
        <v>42.9822222222222</v>
      </c>
    </row>
    <row r="97" s="1" customFormat="1" ht="16.5" spans="1:23">
      <c r="A97" s="20" t="s">
        <v>60</v>
      </c>
      <c r="B97" s="21" t="s">
        <v>30</v>
      </c>
      <c r="C97" s="53">
        <f>SUMIFS([1]日报透视!E:E,[1]日报透视!A:A,A97,[1]日报透视!B:B,B97)</f>
        <v>1685.50181364577</v>
      </c>
      <c r="D97" s="52">
        <f>SUMIFS([1]日报透视!F:F,[1]日报透视!A:A,A97,[1]日报透视!B:B,B97)</f>
        <v>1269.97533333333</v>
      </c>
      <c r="E97" s="52">
        <f>SUMIFS([1]日报透视!G:G,[1]日报透视!A:A,A97,[1]日报透视!B:B,B97)-M97</f>
        <v>366.47648031244</v>
      </c>
      <c r="F97" s="22">
        <f t="shared" si="6"/>
        <v>6.53329777165151</v>
      </c>
      <c r="G97" s="19">
        <f>SUMIFS([1]日报透视!I:I,[1]日报透视!A:A,A97,[1]日报透视!B:B,B97)</f>
        <v>333.198186354227</v>
      </c>
      <c r="H97" s="19">
        <f>SUMIFS([1]日报透视!J:J,[1]日报透视!A:A,A97,[1]日报透视!B:B,B97)</f>
        <v>152.08</v>
      </c>
      <c r="I97" s="19">
        <f>SUMIFS([1]日报透视!K:K,[1]日报透视!A:A,A97,[1]日报透视!B:B,B97)</f>
        <v>146.07</v>
      </c>
      <c r="J97" s="19">
        <f>SUMIFS([1]日报透视!L:L,[1]日报透视!A:A,A97,[1]日报透视!B:B,B97)</f>
        <v>51</v>
      </c>
      <c r="K97" s="32">
        <f t="shared" si="7"/>
        <v>2.86411764705882</v>
      </c>
      <c r="L97" s="32">
        <f ca="1" t="shared" si="8"/>
        <v>274.430916726404</v>
      </c>
      <c r="M97" s="67">
        <f>SUMIFS([1]日报透视!M:M,[1]日报透视!A:A,A97,[1]日报透视!B:B,B97)</f>
        <v>49.0499999999999</v>
      </c>
      <c r="N97" s="29">
        <f ca="1" t="shared" si="9"/>
        <v>92.0455635860364</v>
      </c>
      <c r="O97" s="33" t="str">
        <f>VLOOKUP(B97,[1]门店ID对应关系!J:K,2,0)</f>
        <v>自营</v>
      </c>
      <c r="P97" s="34"/>
      <c r="Q97" s="1" t="str">
        <f t="shared" si="10"/>
        <v>高新店</v>
      </c>
      <c r="R97" s="1" t="str">
        <f>VLOOKUP(Q97,$B$4:$B$42,1,0)</f>
        <v>高新店</v>
      </c>
      <c r="S97" s="6"/>
      <c r="T97" s="44">
        <f ca="1">VLOOKUP(B97,[1]房租水电人工成本!A:N,14,0)*V97*$W$1</f>
        <v>274.430916726404</v>
      </c>
      <c r="U97" s="45">
        <f>-SUMIFS([1]美团推广费!J:J,[1]美团推广费!C:C,"推广订单扣款",[1]美团推广费!H:H,B97,[1]美团推广费!I:I,$U$1)</f>
        <v>49.05</v>
      </c>
      <c r="V97" s="1">
        <f>IFERROR(J97/SUMIF(B:B,B97,J:J),0.25)</f>
        <v>0.548387096774194</v>
      </c>
      <c r="W97" s="1">
        <f t="shared" si="11"/>
        <v>26.8983870967742</v>
      </c>
    </row>
    <row r="98" s="5" customFormat="1" ht="16.5" spans="1:23">
      <c r="A98" s="20" t="s">
        <v>60</v>
      </c>
      <c r="B98" s="21" t="s">
        <v>35</v>
      </c>
      <c r="C98" s="53">
        <f>SUMIFS([1]日报透视!E:E,[1]日报透视!A:A,A98,[1]日报透视!B:B,B98)</f>
        <v>915.875269151402</v>
      </c>
      <c r="D98" s="52">
        <f>SUMIFS([1]日报透视!F:F,[1]日报透视!A:A,A98,[1]日报透视!B:B,B98)</f>
        <v>667.731666666667</v>
      </c>
      <c r="E98" s="52">
        <f>SUMIFS([1]日报透视!G:G,[1]日报透视!A:A,A98,[1]日报透视!B:B,B98)-M98</f>
        <v>168.103602484736</v>
      </c>
      <c r="F98" s="22">
        <f t="shared" si="6"/>
        <v>6.58499230995994</v>
      </c>
      <c r="G98" s="19">
        <f>SUMIFS([1]日报透视!I:I,[1]日报透视!A:A,A98,[1]日报透视!B:B,B98)</f>
        <v>230.474730848598</v>
      </c>
      <c r="H98" s="19">
        <f>SUMIFS([1]日报透视!J:J,[1]日报透视!A:A,A98,[1]日报透视!B:B,B98)</f>
        <v>86.37</v>
      </c>
      <c r="I98" s="19">
        <f>SUMIFS([1]日报透视!K:K,[1]日报透视!A:A,A98,[1]日报透视!B:B,B98)</f>
        <v>155.006</v>
      </c>
      <c r="J98" s="19">
        <f>SUMIFS([1]日报透视!L:L,[1]日报透视!A:A,A98,[1]日报透视!B:B,B98)</f>
        <v>35</v>
      </c>
      <c r="K98" s="32">
        <f t="shared" si="7"/>
        <v>4.42874285714286</v>
      </c>
      <c r="L98" s="32">
        <f ca="1" t="shared" si="8"/>
        <v>153.842664609053</v>
      </c>
      <c r="M98" s="67">
        <f>SUMIFS([1]日报透视!M:M,[1]日报透视!A:A,A98,[1]日报透视!B:B,B98)</f>
        <v>80.0399999999998</v>
      </c>
      <c r="N98" s="29">
        <f ca="1" t="shared" si="9"/>
        <v>14.2609378756829</v>
      </c>
      <c r="O98" s="33" t="str">
        <f>VLOOKUP(B98,[1]门店ID对应关系!J:K,2,0)</f>
        <v>自营</v>
      </c>
      <c r="P98" s="34"/>
      <c r="Q98" s="5" t="str">
        <f t="shared" si="10"/>
        <v>洛江店</v>
      </c>
      <c r="R98" s="5" t="str">
        <f>VLOOKUP(Q98,$B$4:$B$42,1,0)</f>
        <v>洛江店</v>
      </c>
      <c r="S98" s="6"/>
      <c r="T98" s="44">
        <f ca="1">VLOOKUP(B98,[1]房租水电人工成本!A:N,14,0)*V98*$W$1</f>
        <v>153.842664609053</v>
      </c>
      <c r="U98" s="79">
        <f>-SUMIFS([1]美团推广费!J:J,[1]美团推广费!C:C,"推广订单扣款",[1]美团推广费!H:H,B98,[1]美团推广费!I:I,$U$1)</f>
        <v>80.04</v>
      </c>
      <c r="V98" s="1">
        <f>IFERROR(J98/SUMIF(B:B,B98,J:J),0.25)</f>
        <v>0.555555555555556</v>
      </c>
      <c r="W98" s="5">
        <f t="shared" si="11"/>
        <v>44.4666666666667</v>
      </c>
    </row>
    <row r="99" s="5" customFormat="1" ht="16.5" spans="1:23">
      <c r="A99" s="20" t="s">
        <v>60</v>
      </c>
      <c r="B99" s="21" t="s">
        <v>40</v>
      </c>
      <c r="C99" s="53">
        <f>SUMIFS([1]日报透视!E:E,[1]日报透视!A:A,A99,[1]日报透视!B:B,B99)</f>
        <v>782.502129785239</v>
      </c>
      <c r="D99" s="52">
        <f>SUMIFS([1]日报透视!F:F,[1]日报透视!A:A,A99,[1]日报透视!B:B,B99)</f>
        <v>520.832916666667</v>
      </c>
      <c r="E99" s="52">
        <f>SUMIFS([1]日报透视!G:G,[1]日报透视!A:A,A99,[1]日报透视!B:B,B99)-M99</f>
        <v>226.239213118572</v>
      </c>
      <c r="F99" s="22">
        <f t="shared" si="6"/>
        <v>5.70622953987819</v>
      </c>
      <c r="G99" s="19">
        <f>SUMIFS([1]日报透视!I:I,[1]日报透视!A:A,A99,[1]日报透视!B:B,B99)</f>
        <v>245.367870214762</v>
      </c>
      <c r="H99" s="19">
        <f>SUMIFS([1]日报透视!J:J,[1]日报透视!A:A,A99,[1]日报透视!B:B,B99)</f>
        <v>77.45</v>
      </c>
      <c r="I99" s="19">
        <f>SUMIFS([1]日报透视!K:K,[1]日报透视!A:A,A99,[1]日报透视!B:B,B99)</f>
        <v>105.056</v>
      </c>
      <c r="J99" s="19">
        <f>SUMIFS([1]日报透视!L:L,[1]日报透视!A:A,A99,[1]日报透视!B:B,B99)</f>
        <v>43</v>
      </c>
      <c r="K99" s="32">
        <f t="shared" si="7"/>
        <v>2.44316279069767</v>
      </c>
      <c r="L99" s="32">
        <f ca="1" t="shared" si="8"/>
        <v>339.533805497685</v>
      </c>
      <c r="M99" s="67">
        <f>SUMIFS([1]日报透视!M:M,[1]日报透视!A:A,A99,[1]日报透视!B:B,B99)</f>
        <v>35.43</v>
      </c>
      <c r="N99" s="29">
        <f ca="1" t="shared" si="9"/>
        <v>-113.294592379113</v>
      </c>
      <c r="O99" s="33" t="str">
        <f>VLOOKUP(B99,[1]门店ID对应关系!J:K,2,0)</f>
        <v>自营</v>
      </c>
      <c r="P99" s="34"/>
      <c r="Q99" s="5" t="str">
        <f t="shared" si="10"/>
        <v>金牛店</v>
      </c>
      <c r="R99" s="5" t="str">
        <f>VLOOKUP(Q99,$B$4:$B$42,1,0)</f>
        <v>金牛店</v>
      </c>
      <c r="S99" s="6"/>
      <c r="T99" s="44">
        <f ca="1">VLOOKUP(B99,[1]房租水电人工成本!A:N,14,0)*V99*$W$1</f>
        <v>339.533805497685</v>
      </c>
      <c r="U99" s="79">
        <f>-SUMIFS([1]美团推广费!J:J,[1]美团推广费!C:C,"推广订单扣款",[1]美团推广费!H:H,B99,[1]美团推广费!I:I,$U$1)</f>
        <v>35.43</v>
      </c>
      <c r="V99" s="1">
        <f>IFERROR(J99/SUMIF(B:B,B99,J:J),0.25)</f>
        <v>0.671875</v>
      </c>
      <c r="W99" s="5">
        <f t="shared" si="11"/>
        <v>23.80453125</v>
      </c>
    </row>
    <row r="100" s="5" customFormat="1" ht="16.5" spans="1:23">
      <c r="A100" s="20" t="s">
        <v>60</v>
      </c>
      <c r="B100" s="21" t="s">
        <v>47</v>
      </c>
      <c r="C100" s="53">
        <f>SUMIFS([1]日报透视!E:E,[1]日报透视!A:A,A100,[1]日报透视!B:B,B100)</f>
        <v>897.531615188798</v>
      </c>
      <c r="D100" s="52">
        <f>SUMIFS([1]日报透视!F:F,[1]日报透视!A:A,A100,[1]日报透视!B:B,B100)</f>
        <v>651.9275</v>
      </c>
      <c r="E100" s="52">
        <f>SUMIFS([1]日报透视!G:G,[1]日报透视!A:A,A100,[1]日报透视!B:B,B100)-M100</f>
        <v>110.604115188797</v>
      </c>
      <c r="F100" s="22">
        <f t="shared" si="6"/>
        <v>6.09196769622406</v>
      </c>
      <c r="G100" s="19">
        <f>SUMIFS([1]日报透视!I:I,[1]日报透视!A:A,A100,[1]日报透视!B:B,B100)</f>
        <v>304.598384811203</v>
      </c>
      <c r="H100" s="19">
        <f>SUMIFS([1]日报透视!J:J,[1]日报透视!A:A,A100,[1]日报透视!B:B,B100)</f>
        <v>84.4</v>
      </c>
      <c r="I100" s="19">
        <f>SUMIFS([1]日报透视!K:K,[1]日报透视!A:A,A100,[1]日报透视!B:B,B100)</f>
        <v>181.692</v>
      </c>
      <c r="J100" s="19">
        <f>SUMIFS([1]日报透视!L:L,[1]日报透视!A:A,A100,[1]日报透视!B:B,B100)</f>
        <v>50</v>
      </c>
      <c r="K100" s="32">
        <f t="shared" si="7"/>
        <v>3.63384</v>
      </c>
      <c r="L100" s="32">
        <f ca="1" t="shared" si="8"/>
        <v>469.385925925926</v>
      </c>
      <c r="M100" s="67">
        <f>SUMIFS([1]日报透视!M:M,[1]日报透视!A:A,A100,[1]日报透视!B:B,B100)</f>
        <v>135</v>
      </c>
      <c r="N100" s="29">
        <f ca="1" t="shared" si="9"/>
        <v>-358.781810737129</v>
      </c>
      <c r="O100" s="33" t="str">
        <f>VLOOKUP(B100,[1]门店ID对应关系!J:K,2,0)</f>
        <v>自营</v>
      </c>
      <c r="P100" s="34"/>
      <c r="Q100" s="5" t="str">
        <f t="shared" si="10"/>
        <v>槐荫店</v>
      </c>
      <c r="R100" s="5" t="str">
        <f>VLOOKUP(Q100,$B$4:$B$42,1,0)</f>
        <v>槐荫店</v>
      </c>
      <c r="S100" s="6"/>
      <c r="T100" s="44">
        <f ca="1">VLOOKUP(B100,[1]房租水电人工成本!A:N,14,0)*V100*$W$1</f>
        <v>469.385925925926</v>
      </c>
      <c r="U100" s="79">
        <f>-SUMIFS([1]美团推广费!J:J,[1]美团推广费!C:C,"推广订单扣款",[1]美团推广费!H:H,B100,[1]美团推广费!I:I,$U$1)</f>
        <v>135</v>
      </c>
      <c r="V100" s="1">
        <f>IFERROR(J100/SUMIF(B:B,B100,J:J),0.25)</f>
        <v>1</v>
      </c>
      <c r="W100" s="5">
        <f t="shared" si="11"/>
        <v>135</v>
      </c>
    </row>
    <row r="101" s="1" customFormat="1" ht="16.5" spans="1:23">
      <c r="A101" s="20" t="s">
        <v>60</v>
      </c>
      <c r="B101" s="21" t="s">
        <v>26</v>
      </c>
      <c r="C101" s="53">
        <f>SUMIFS([1]日报透视!E:E,[1]日报透视!A:A,A101,[1]日报透视!B:B,B101)</f>
        <v>1083.96635128984</v>
      </c>
      <c r="D101" s="52">
        <f>SUMIFS([1]日报透视!F:F,[1]日报透视!A:A,A101,[1]日报透视!B:B,B101)</f>
        <v>689.373</v>
      </c>
      <c r="E101" s="52">
        <f>SUMIFS([1]日报透视!G:G,[1]日报透视!A:A,A101,[1]日报透视!B:B,B101)-M101</f>
        <v>252.47335128984</v>
      </c>
      <c r="F101" s="22">
        <f t="shared" si="6"/>
        <v>5.76183624921882</v>
      </c>
      <c r="G101" s="19">
        <f>SUMIFS([1]日报透视!I:I,[1]日报透视!A:A,A101,[1]日报透视!B:B,B101)</f>
        <v>293.85364871016</v>
      </c>
      <c r="H101" s="19">
        <f>SUMIFS([1]日报透视!J:J,[1]日报透视!A:A,A101,[1]日报透视!B:B,B101)</f>
        <v>100.07</v>
      </c>
      <c r="I101" s="19">
        <f>SUMIFS([1]日报透视!K:K,[1]日报透视!A:A,A101,[1]日报透视!B:B,B101)</f>
        <v>244.195</v>
      </c>
      <c r="J101" s="19">
        <f>SUMIFS([1]日报透视!L:L,[1]日报透视!A:A,A101,[1]日报透视!B:B,B101)</f>
        <v>51</v>
      </c>
      <c r="K101" s="32">
        <f t="shared" si="7"/>
        <v>4.78813725490196</v>
      </c>
      <c r="L101" s="32">
        <f ca="1" t="shared" si="8"/>
        <v>209.794048538461</v>
      </c>
      <c r="M101" s="67">
        <f>SUMIFS([1]日报透视!M:M,[1]日报透视!A:A,A101,[1]日报透视!B:B,B101)</f>
        <v>142.12</v>
      </c>
      <c r="N101" s="29">
        <f ca="1" t="shared" si="9"/>
        <v>42.6793027513786</v>
      </c>
      <c r="O101" s="33" t="str">
        <f>VLOOKUP(B101,[1]门店ID对应关系!J:K,2,0)</f>
        <v>自营</v>
      </c>
      <c r="P101" s="34"/>
      <c r="Q101" s="1" t="str">
        <f t="shared" si="10"/>
        <v>湖里店</v>
      </c>
      <c r="R101" s="1" t="str">
        <f>VLOOKUP(Q101,$B$4:$B$42,1,0)</f>
        <v>湖里店</v>
      </c>
      <c r="S101" s="6"/>
      <c r="T101" s="44">
        <f ca="1">VLOOKUP(B101,[1]房租水电人工成本!A:N,14,0)*V101*$W$1</f>
        <v>209.794048538461</v>
      </c>
      <c r="U101" s="45">
        <f>-SUMIFS([1]美团推广费!J:J,[1]美团推广费!C:C,"推广订单扣款",[1]美团推广费!H:H,B101,[1]美团推广费!I:I,$U$1)</f>
        <v>142.12</v>
      </c>
      <c r="V101" s="1">
        <f>IFERROR(J101/SUMIF(B:B,B101,J:J),0.25)</f>
        <v>0.392307692307692</v>
      </c>
      <c r="W101" s="1">
        <f t="shared" si="11"/>
        <v>55.7547692307692</v>
      </c>
    </row>
    <row r="102" s="1" customFormat="1" ht="16.5" spans="1:23">
      <c r="A102" s="20" t="s">
        <v>60</v>
      </c>
      <c r="B102" s="21" t="s">
        <v>53</v>
      </c>
      <c r="C102" s="53">
        <f>SUMIFS([1]日报透视!E:E,[1]日报透视!A:A,A102,[1]日报透视!B:B,B102)</f>
        <v>816.007787023741</v>
      </c>
      <c r="D102" s="52">
        <f>SUMIFS([1]日报透视!F:F,[1]日报透视!A:A,A102,[1]日报透视!B:B,B102)</f>
        <v>569.025333333333</v>
      </c>
      <c r="E102" s="52">
        <f>SUMIFS([1]日报透视!G:G,[1]日报透视!A:A,A102,[1]日报透视!B:B,B102)-M102</f>
        <v>179.752453690407</v>
      </c>
      <c r="F102" s="22">
        <f t="shared" si="6"/>
        <v>6.25810899958351</v>
      </c>
      <c r="G102" s="19">
        <f>SUMIFS([1]日报透视!I:I,[1]日报透视!A:A,A102,[1]日报透视!B:B,B102)</f>
        <v>356.71221297626</v>
      </c>
      <c r="H102" s="19">
        <f>SUMIFS([1]日报透视!J:J,[1]日报透视!A:A,A102,[1]日报透视!B:B,B102)</f>
        <v>87.35</v>
      </c>
      <c r="I102" s="19">
        <f>SUMIFS([1]日报透视!K:K,[1]日报透视!A:A,A102,[1]日报透视!B:B,B102)</f>
        <v>144.225</v>
      </c>
      <c r="J102" s="19">
        <f>SUMIFS([1]日报透视!L:L,[1]日报透视!A:A,A102,[1]日报透视!B:B,B102)</f>
        <v>57</v>
      </c>
      <c r="K102" s="32">
        <f t="shared" si="7"/>
        <v>2.53026315789474</v>
      </c>
      <c r="L102" s="32">
        <f ca="1" t="shared" si="8"/>
        <v>352.648697777777</v>
      </c>
      <c r="M102" s="67">
        <f>SUMIFS([1]日报透视!M:M,[1]日报透视!A:A,A102,[1]日报透视!B:B,B102)</f>
        <v>67.23</v>
      </c>
      <c r="N102" s="29">
        <f ca="1" t="shared" si="9"/>
        <v>-172.89624408737</v>
      </c>
      <c r="O102" s="33" t="str">
        <f>VLOOKUP(B102,[1]门店ID对应关系!J:K,2,0)</f>
        <v>自营</v>
      </c>
      <c r="P102" s="34"/>
      <c r="Q102" s="1" t="str">
        <f t="shared" si="10"/>
        <v>成华店</v>
      </c>
      <c r="R102" s="1" t="str">
        <f>VLOOKUP(Q102,$B$4:$B$42,1,0)</f>
        <v>成华店</v>
      </c>
      <c r="S102" s="6"/>
      <c r="T102" s="44">
        <f ca="1">VLOOKUP(B102,[1]房租水电人工成本!A:N,14,0)*V102*$W$1</f>
        <v>352.648697777777</v>
      </c>
      <c r="U102" s="45">
        <f>-SUMIFS([1]美团推广费!J:J,[1]美团推广费!C:C,"推广订单扣款",[1]美团推广费!H:H,B102,[1]美团推广费!I:I,$U$1)</f>
        <v>67.23</v>
      </c>
      <c r="V102" s="1">
        <f>IFERROR(J102/SUMIF(B:B,B102,J:J),0.25)</f>
        <v>0.76</v>
      </c>
      <c r="W102" s="1">
        <f t="shared" si="11"/>
        <v>51.0948</v>
      </c>
    </row>
    <row r="103" s="1" customFormat="1" ht="16.5" spans="1:23">
      <c r="A103" s="20" t="s">
        <v>60</v>
      </c>
      <c r="B103" s="55" t="s">
        <v>44</v>
      </c>
      <c r="C103" s="53">
        <f>SUMIFS([1]日报透视!E:E,[1]日报透视!A:A,A103,[1]日报透视!B:B,B103)</f>
        <v>1277.0521382732</v>
      </c>
      <c r="D103" s="52">
        <f>SUMIFS([1]日报透视!F:F,[1]日报透视!A:A,A103,[1]日报透视!B:B,B103)</f>
        <v>889.253333333334</v>
      </c>
      <c r="E103" s="52">
        <f>SUMIFS([1]日报透视!G:G,[1]日报透视!A:A,A103,[1]日报透视!B:B,B103)-M103</f>
        <v>187.798804939861</v>
      </c>
      <c r="F103" s="22">
        <f t="shared" si="6"/>
        <v>7.49810855049639</v>
      </c>
      <c r="G103" s="19">
        <f>SUMIFS([1]日报透视!I:I,[1]日报透视!A:A,A103,[1]日报透视!B:B,B103)</f>
        <v>404.897861726805</v>
      </c>
      <c r="H103" s="19">
        <f>SUMIFS([1]日报透视!J:J,[1]日报透视!A:A,A103,[1]日报透视!B:B,B103)</f>
        <v>122.59</v>
      </c>
      <c r="I103" s="19">
        <f>SUMIFS([1]日报透视!K:K,[1]日报透视!A:A,A103,[1]日报透视!B:B,B103)</f>
        <v>152.662</v>
      </c>
      <c r="J103" s="19">
        <f>SUMIFS([1]日报透视!L:L,[1]日报透视!A:A,A103,[1]日报透视!B:B,B103)</f>
        <v>54</v>
      </c>
      <c r="K103" s="32">
        <f t="shared" si="7"/>
        <v>2.82707407407407</v>
      </c>
      <c r="L103" s="32">
        <f ca="1" t="shared" si="8"/>
        <v>308.371807228916</v>
      </c>
      <c r="M103" s="67">
        <f>SUMIFS([1]日报透视!M:M,[1]日报透视!A:A,A103,[1]日报透视!B:B,B103)</f>
        <v>200.000000000001</v>
      </c>
      <c r="N103" s="29">
        <f ca="1" t="shared" si="9"/>
        <v>-120.573002289055</v>
      </c>
      <c r="O103" s="33" t="str">
        <f>VLOOKUP(B103,[1]门店ID对应关系!J:K,2,0)</f>
        <v>自营</v>
      </c>
      <c r="P103" s="34"/>
      <c r="Q103" s="1" t="str">
        <f t="shared" si="10"/>
        <v>下沙店</v>
      </c>
      <c r="R103" s="1" t="str">
        <f>VLOOKUP(Q103,$B$4:$B$42,1,0)</f>
        <v>下沙店</v>
      </c>
      <c r="S103" s="6"/>
      <c r="T103" s="44">
        <f ca="1">VLOOKUP(B103,[1]房租水电人工成本!A:N,14,0)*V103*$W$1</f>
        <v>308.371807228916</v>
      </c>
      <c r="U103" s="45">
        <f>-SUMIFS([1]美团推广费!J:J,[1]美团推广费!C:C,"推广订单扣款",[1]美团推广费!H:H,B103,[1]美团推广费!I:I,$U$1)</f>
        <v>200</v>
      </c>
      <c r="V103" s="1">
        <f>IFERROR(J103/SUMIF(B:B,B103,J:J),0.25)</f>
        <v>0.650602409638554</v>
      </c>
      <c r="W103" s="1">
        <f t="shared" si="11"/>
        <v>130.120481927711</v>
      </c>
    </row>
    <row r="104" s="1" customFormat="1" ht="16.5" spans="1:23">
      <c r="A104" s="20" t="s">
        <v>60</v>
      </c>
      <c r="B104" s="21" t="s">
        <v>57</v>
      </c>
      <c r="C104" s="53">
        <f>SUMIFS([1]日报透视!E:E,[1]日报透视!A:A,A104,[1]日报透视!B:B,B104)</f>
        <v>1374.73327499045</v>
      </c>
      <c r="D104" s="52">
        <f>SUMIFS([1]日报透视!F:F,[1]日报透视!A:A,A104,[1]日报透视!B:B,B104)</f>
        <v>887.153333333333</v>
      </c>
      <c r="E104" s="52">
        <f>SUMIFS([1]日报透视!G:G,[1]日报透视!A:A,A104,[1]日报透视!B:B,B104)-M104</f>
        <v>332.299941657121</v>
      </c>
      <c r="F104" s="22">
        <f t="shared" si="6"/>
        <v>7.52752613650827</v>
      </c>
      <c r="G104" s="19">
        <f>SUMIFS([1]日报透视!I:I,[1]日报透视!A:A,A104,[1]日报透视!B:B,B104)</f>
        <v>496.816725009546</v>
      </c>
      <c r="H104" s="19">
        <f>SUMIFS([1]日报透视!J:J,[1]日报透视!A:A,A104,[1]日报透视!B:B,B104)</f>
        <v>135.15</v>
      </c>
      <c r="I104" s="19">
        <f>SUMIFS([1]日报透视!K:K,[1]日报透视!A:A,A104,[1]日报透视!B:B,B104)</f>
        <v>248.323</v>
      </c>
      <c r="J104" s="19">
        <f>SUMIFS([1]日报透视!L:L,[1]日报透视!A:A,A104,[1]日报透视!B:B,B104)</f>
        <v>66</v>
      </c>
      <c r="K104" s="32">
        <f t="shared" si="7"/>
        <v>3.7624696969697</v>
      </c>
      <c r="L104" s="32">
        <f ca="1" t="shared" si="8"/>
        <v>337.425657930107</v>
      </c>
      <c r="M104" s="67">
        <f>SUMIFS([1]日报透视!M:M,[1]日报透视!A:A,A104,[1]日报透视!B:B,B104)</f>
        <v>141</v>
      </c>
      <c r="N104" s="29">
        <f ca="1" t="shared" si="9"/>
        <v>-5.12571627298649</v>
      </c>
      <c r="O104" s="33" t="str">
        <f>VLOOKUP(B104,[1]门店ID对应关系!J:K,2,0)</f>
        <v>自营</v>
      </c>
      <c r="P104" s="34"/>
      <c r="Q104" s="1" t="str">
        <f t="shared" si="10"/>
        <v>西湖店</v>
      </c>
      <c r="R104" s="1" t="str">
        <f>VLOOKUP(Q104,$B$4:$B$42,1,0)</f>
        <v>西湖店</v>
      </c>
      <c r="S104" s="6"/>
      <c r="T104" s="44">
        <f ca="1">VLOOKUP(B104,[1]房租水电人工成本!A:N,14,0)*V104*$W$1</f>
        <v>337.425657930107</v>
      </c>
      <c r="U104" s="45">
        <f>-SUMIFS([1]美团推广费!J:J,[1]美团推广费!C:C,"推广订单扣款",[1]美团推广费!H:H,B104,[1]美团推广费!I:I,$U$1)</f>
        <v>141</v>
      </c>
      <c r="V104" s="1">
        <f>IFERROR(J104/SUMIF(B:B,B104,J:J),0.25)</f>
        <v>0.532258064516129</v>
      </c>
      <c r="W104" s="1">
        <f t="shared" si="11"/>
        <v>75.0483870967742</v>
      </c>
    </row>
    <row r="105" s="1" customFormat="1" ht="16.5" spans="1:23">
      <c r="A105" s="20" t="s">
        <v>60</v>
      </c>
      <c r="B105" s="21" t="s">
        <v>25</v>
      </c>
      <c r="C105" s="53">
        <f>SUMIFS([1]日报透视!E:E,[1]日报透视!A:A,A105,[1]日报透视!B:B,B105)</f>
        <v>1681.73810316321</v>
      </c>
      <c r="D105" s="52">
        <f>SUMIFS([1]日报透视!F:F,[1]日报透视!A:A,A105,[1]日报透视!B:B,B105)</f>
        <v>1346.37708333333</v>
      </c>
      <c r="E105" s="52">
        <f>SUMIFS([1]日报透视!G:G,[1]日报透视!A:A,A105,[1]日报透视!B:B,B105)-M105</f>
        <v>298.991019829873</v>
      </c>
      <c r="F105" s="22">
        <f t="shared" si="6"/>
        <v>6.55269177217947</v>
      </c>
      <c r="G105" s="19">
        <f>SUMIFS([1]日报透视!I:I,[1]日报透视!A:A,A105,[1]日报透视!B:B,B105)</f>
        <v>321.081896836794</v>
      </c>
      <c r="H105" s="19">
        <f>SUMIFS([1]日报透视!J:J,[1]日报透视!A:A,A105,[1]日报透视!B:B,B105)</f>
        <v>150.85</v>
      </c>
      <c r="I105" s="19">
        <f>SUMIFS([1]日报透视!K:K,[1]日报透视!A:A,A105,[1]日报透视!B:B,B105)</f>
        <v>165.307</v>
      </c>
      <c r="J105" s="19">
        <f>SUMIFS([1]日报透视!L:L,[1]日报透视!A:A,A105,[1]日报透视!B:B,B105)</f>
        <v>49</v>
      </c>
      <c r="K105" s="32">
        <f t="shared" si="7"/>
        <v>3.37361224489796</v>
      </c>
      <c r="L105" s="32">
        <f ca="1" t="shared" si="8"/>
        <v>284.630164488018</v>
      </c>
      <c r="M105" s="67">
        <f>SUMIFS([1]日报透视!M:M,[1]日报透视!A:A,A105,[1]日报透视!B:B,B105)</f>
        <v>36.37</v>
      </c>
      <c r="N105" s="29">
        <f ca="1" t="shared" si="9"/>
        <v>14.3608553418554</v>
      </c>
      <c r="O105" s="33" t="str">
        <f>VLOOKUP(B105,[1]门店ID对应关系!J:K,2,0)</f>
        <v>自营</v>
      </c>
      <c r="P105" s="34"/>
      <c r="Q105" s="1" t="str">
        <f t="shared" si="10"/>
        <v>武侯店</v>
      </c>
      <c r="R105" s="1" t="str">
        <f>VLOOKUP(Q105,$B$4:$B$42,1,0)</f>
        <v>武侯店</v>
      </c>
      <c r="S105" s="6"/>
      <c r="T105" s="44">
        <f ca="1">VLOOKUP(B105,[1]房租水电人工成本!A:N,14,0)*V105*$W$1</f>
        <v>284.630164488018</v>
      </c>
      <c r="U105" s="45">
        <f>-SUMIFS([1]美团推广费!J:J,[1]美团推广费!C:C,"推广订单扣款",[1]美团推广费!H:H,B105,[1]美团推广费!I:I,$U$1)</f>
        <v>36.37</v>
      </c>
      <c r="V105" s="1">
        <f>IFERROR(J105/SUMIF(B:B,B105,J:J),0.25)</f>
        <v>0.576470588235294</v>
      </c>
      <c r="W105" s="1">
        <f t="shared" si="11"/>
        <v>20.9662352941176</v>
      </c>
    </row>
    <row r="106" s="5" customFormat="1" ht="16.5" spans="1:23">
      <c r="A106" s="20" t="s">
        <v>60</v>
      </c>
      <c r="B106" s="21" t="s">
        <v>24</v>
      </c>
      <c r="C106" s="53">
        <f>SUMIFS([1]日报透视!E:E,[1]日报透视!A:A,A106,[1]日报透视!B:B,B106)</f>
        <v>912.84909422724</v>
      </c>
      <c r="D106" s="52">
        <f>SUMIFS([1]日报透视!F:F,[1]日报透视!A:A,A106,[1]日报透视!B:B,B106)</f>
        <v>482.1455</v>
      </c>
      <c r="E106" s="52">
        <f>SUMIFS([1]日报透视!G:G,[1]日报透视!A:A,A106,[1]日报透视!B:B,B106)-M106</f>
        <v>263.573594227239</v>
      </c>
      <c r="F106" s="22">
        <f t="shared" si="6"/>
        <v>5.70144294877397</v>
      </c>
      <c r="G106" s="19">
        <f>SUMIFS([1]日报透视!I:I,[1]日报透视!A:A,A106,[1]日报透视!B:B,B106)</f>
        <v>359.19090577276</v>
      </c>
      <c r="H106" s="19">
        <f>SUMIFS([1]日报透视!J:J,[1]日报透视!A:A,A106,[1]日报透视!B:B,B106)</f>
        <v>89.6</v>
      </c>
      <c r="I106" s="19">
        <f>SUMIFS([1]日报透视!K:K,[1]日报透视!A:A,A106,[1]日报透视!B:B,B106)</f>
        <v>302.037</v>
      </c>
      <c r="J106" s="19">
        <f>SUMIFS([1]日报透视!L:L,[1]日报透视!A:A,A106,[1]日报透视!B:B,B106)</f>
        <v>63</v>
      </c>
      <c r="K106" s="32">
        <f t="shared" si="7"/>
        <v>4.79423809523809</v>
      </c>
      <c r="L106" s="32">
        <f ca="1" t="shared" si="8"/>
        <v>268.626881764706</v>
      </c>
      <c r="M106" s="67">
        <f>SUMIFS([1]日报透视!M:M,[1]日报透视!A:A,A106,[1]日报透视!B:B,B106)</f>
        <v>167.13</v>
      </c>
      <c r="N106" s="29">
        <f ca="1" t="shared" si="9"/>
        <v>-5.05328753746664</v>
      </c>
      <c r="O106" s="33" t="str">
        <f>VLOOKUP(B106,[1]门店ID对应关系!J:K,2,0)</f>
        <v>自营</v>
      </c>
      <c r="P106" s="34"/>
      <c r="Q106" s="5" t="str">
        <f t="shared" si="10"/>
        <v>诚毅店</v>
      </c>
      <c r="R106" s="5" t="str">
        <f>VLOOKUP(Q106,$B$4:$B$42,1,0)</f>
        <v>诚毅店</v>
      </c>
      <c r="S106" s="6"/>
      <c r="T106" s="44">
        <f ca="1">VLOOKUP(B106,[1]房租水电人工成本!A:N,14,0)*V106*$W$1</f>
        <v>268.626881764706</v>
      </c>
      <c r="U106" s="79">
        <f>-SUMIFS([1]美团推广费!J:J,[1]美团推广费!C:C,"推广订单扣款",[1]美团推广费!H:H,B106,[1]美团推广费!I:I,$U$1)</f>
        <v>167.13</v>
      </c>
      <c r="V106" s="1">
        <f>IFERROR(J106/SUMIF(B:B,B106,J:J),0.25)</f>
        <v>0.617647058823529</v>
      </c>
      <c r="W106" s="5">
        <f t="shared" si="11"/>
        <v>103.227352941176</v>
      </c>
    </row>
    <row r="107" s="1" customFormat="1" ht="16.5" spans="1:23">
      <c r="A107" s="20" t="s">
        <v>60</v>
      </c>
      <c r="B107" s="21" t="s">
        <v>48</v>
      </c>
      <c r="C107" s="53">
        <f>SUMIFS([1]日报透视!E:E,[1]日报透视!A:A,A107,[1]日报透视!B:B,B107)</f>
        <v>1135.16916878307</v>
      </c>
      <c r="D107" s="52">
        <f>SUMIFS([1]日报透视!F:F,[1]日报透视!A:A,A107,[1]日报透视!B:B,B107)</f>
        <v>762.98</v>
      </c>
      <c r="E107" s="52">
        <f>SUMIFS([1]日报透视!G:G,[1]日报透视!A:A,A107,[1]日报透视!B:B,B107)-M107</f>
        <v>309.769168783066</v>
      </c>
      <c r="F107" s="22">
        <f t="shared" si="6"/>
        <v>6.08002078042335</v>
      </c>
      <c r="G107" s="19">
        <f>SUMIFS([1]日报透视!I:I,[1]日报透视!A:A,A107,[1]日报透视!B:B,B107)</f>
        <v>243.200831216934</v>
      </c>
      <c r="H107" s="19">
        <f>SUMIFS([1]日报透视!J:J,[1]日报透视!A:A,A107,[1]日报透视!B:B,B107)</f>
        <v>103.86</v>
      </c>
      <c r="I107" s="19">
        <f>SUMIFS([1]日报透视!K:K,[1]日报透视!A:A,A107,[1]日报透视!B:B,B107)</f>
        <v>116.62</v>
      </c>
      <c r="J107" s="19">
        <f>SUMIFS([1]日报透视!L:L,[1]日报透视!A:A,A107,[1]日报透视!B:B,B107)</f>
        <v>40</v>
      </c>
      <c r="K107" s="32">
        <f t="shared" si="7"/>
        <v>2.9155</v>
      </c>
      <c r="L107" s="32">
        <f ca="1" t="shared" si="8"/>
        <v>491.572919484703</v>
      </c>
      <c r="M107" s="67">
        <f>SUMIFS([1]日报透视!M:M,[1]日报透视!A:A,A107,[1]日报透视!B:B,B107)</f>
        <v>62.4199999999999</v>
      </c>
      <c r="N107" s="29">
        <f ca="1" t="shared" si="9"/>
        <v>-181.803750701636</v>
      </c>
      <c r="O107" s="33" t="str">
        <f>VLOOKUP(B107,[1]门店ID对应关系!J:K,2,0)</f>
        <v>自营</v>
      </c>
      <c r="P107" s="34"/>
      <c r="Q107" s="1" t="str">
        <f t="shared" si="10"/>
        <v>西山店</v>
      </c>
      <c r="R107" s="1" t="str">
        <f>VLOOKUP(Q107,$B$4:$B$42,1,0)</f>
        <v>西山店</v>
      </c>
      <c r="S107" s="6"/>
      <c r="T107" s="44">
        <f ca="1">VLOOKUP(B107,[1]房租水电人工成本!A:N,14,0)*V107*$W$1</f>
        <v>491.572919484703</v>
      </c>
      <c r="U107" s="45">
        <f>-SUMIFS([1]美团推广费!J:J,[1]美团推广费!C:C,"推广订单扣款",[1]美团推广费!H:H,B107,[1]美团推广费!I:I,$U$1)</f>
        <v>62.42</v>
      </c>
      <c r="V107" s="1">
        <f>IFERROR(J107/SUMIF(B:B,B107,J:J),0.25)</f>
        <v>0.869565217391304</v>
      </c>
      <c r="W107" s="1">
        <f t="shared" si="11"/>
        <v>54.2782608695652</v>
      </c>
    </row>
    <row r="108" s="1" customFormat="1" ht="16.5" spans="1:23">
      <c r="A108" s="20" t="s">
        <v>60</v>
      </c>
      <c r="B108" s="21" t="s">
        <v>46</v>
      </c>
      <c r="C108" s="53">
        <f>SUMIFS([1]日报透视!E:E,[1]日报透视!A:A,A108,[1]日报透视!B:B,B108)</f>
        <v>1232.72053196331</v>
      </c>
      <c r="D108" s="52">
        <f>SUMIFS([1]日报透视!F:F,[1]日报透视!A:A,A108,[1]日报透视!B:B,B108)</f>
        <v>894.587166666667</v>
      </c>
      <c r="E108" s="52">
        <f>SUMIFS([1]日报透视!G:G,[1]日报透视!A:A,A108,[1]日报透视!B:B,B108)-M108</f>
        <v>240.783365296643</v>
      </c>
      <c r="F108" s="22">
        <f t="shared" si="6"/>
        <v>7.81325444972837</v>
      </c>
      <c r="G108" s="19">
        <f>SUMIFS([1]日报透视!I:I,[1]日报透视!A:A,A108,[1]日报透视!B:B,B108)</f>
        <v>382.84946803669</v>
      </c>
      <c r="H108" s="19">
        <f>SUMIFS([1]日报透视!J:J,[1]日报透视!A:A,A108,[1]日报透视!B:B,B108)</f>
        <v>121.67</v>
      </c>
      <c r="I108" s="19">
        <f>SUMIFS([1]日报透视!K:K,[1]日报透视!A:A,A108,[1]日报透视!B:B,B108)</f>
        <v>129.226</v>
      </c>
      <c r="J108" s="19">
        <f>SUMIFS([1]日报透视!L:L,[1]日报透视!A:A,A108,[1]日报透视!B:B,B108)</f>
        <v>49</v>
      </c>
      <c r="K108" s="32">
        <f t="shared" si="7"/>
        <v>2.63726530612245</v>
      </c>
      <c r="L108" s="32">
        <f ca="1" t="shared" si="8"/>
        <v>217.779150375059</v>
      </c>
      <c r="M108" s="67">
        <f>SUMIFS([1]日报透视!M:M,[1]日报透视!A:A,A108,[1]日报透视!B:B,B108)</f>
        <v>97.3500000000001</v>
      </c>
      <c r="N108" s="29">
        <f ca="1" t="shared" si="9"/>
        <v>23.0042149215843</v>
      </c>
      <c r="O108" s="33" t="str">
        <f>VLOOKUP(B108,[1]门店ID对应关系!J:K,2,0)</f>
        <v>自营</v>
      </c>
      <c r="P108" s="34"/>
      <c r="Q108" s="1" t="str">
        <f t="shared" si="10"/>
        <v>大坪店</v>
      </c>
      <c r="R108" s="1" t="str">
        <f>VLOOKUP(Q108,$B$4:$B$42,1,0)</f>
        <v>大坪店</v>
      </c>
      <c r="S108" s="6"/>
      <c r="T108" s="44">
        <f ca="1">VLOOKUP(B108,[1]房租水电人工成本!A:N,14,0)*V108*$W$1</f>
        <v>217.779150375059</v>
      </c>
      <c r="U108" s="45">
        <f>-SUMIFS([1]美团推广费!J:J,[1]美团推广费!C:C,"推广订单扣款",[1]美团推广费!H:H,B108,[1]美团推广费!I:I,$U$1)</f>
        <v>97.35</v>
      </c>
      <c r="V108" s="1">
        <f>IFERROR(J108/SUMIF(B:B,B108,J:J),0.25)</f>
        <v>0.620253164556962</v>
      </c>
      <c r="W108" s="1">
        <f t="shared" si="11"/>
        <v>60.3816455696202</v>
      </c>
    </row>
    <row r="109" s="1" customFormat="1" ht="16.5" spans="1:23">
      <c r="A109" s="20" t="s">
        <v>60</v>
      </c>
      <c r="B109" s="21" t="s">
        <v>41</v>
      </c>
      <c r="C109" s="53">
        <f>SUMIFS([1]日报透视!E:E,[1]日报透视!A:A,A109,[1]日报透视!B:B,B109)</f>
        <v>1623.58158694802</v>
      </c>
      <c r="D109" s="52">
        <f>SUMIFS([1]日报透视!F:F,[1]日报透视!A:A,A109,[1]日报透视!B:B,B109)</f>
        <v>1168.23833333333</v>
      </c>
      <c r="E109" s="52">
        <f>SUMIFS([1]日报透视!G:G,[1]日报透视!A:A,A109,[1]日报透视!B:B,B109)-M109</f>
        <v>327.903253614688</v>
      </c>
      <c r="F109" s="22">
        <f t="shared" si="6"/>
        <v>7.10110440918279</v>
      </c>
      <c r="G109" s="19">
        <f>SUMIFS([1]日报透视!I:I,[1]日报透视!A:A,A109,[1]日报透视!B:B,B109)</f>
        <v>504.178413051978</v>
      </c>
      <c r="H109" s="19">
        <f>SUMIFS([1]日报透视!J:J,[1]日报透视!A:A,A109,[1]日报透视!B:B,B109)</f>
        <v>159.57</v>
      </c>
      <c r="I109" s="19">
        <f>SUMIFS([1]日报透视!K:K,[1]日报透视!A:A,A109,[1]日报透视!B:B,B109)</f>
        <v>154.018</v>
      </c>
      <c r="J109" s="19">
        <f>SUMIFS([1]日报透视!L:L,[1]日报透视!A:A,A109,[1]日报透视!B:B,B109)</f>
        <v>71</v>
      </c>
      <c r="K109" s="32">
        <f t="shared" si="7"/>
        <v>2.1692676056338</v>
      </c>
      <c r="L109" s="32">
        <f ca="1" t="shared" si="8"/>
        <v>314.977884103573</v>
      </c>
      <c r="M109" s="67">
        <f>SUMIFS([1]日报透视!M:M,[1]日报透视!A:A,A109,[1]日报透视!B:B,B109)</f>
        <v>116.54</v>
      </c>
      <c r="N109" s="29">
        <f ca="1" t="shared" si="9"/>
        <v>12.9253695111152</v>
      </c>
      <c r="O109" s="33" t="str">
        <f>VLOOKUP(B109,[1]门店ID对应关系!J:K,2,0)</f>
        <v>自营</v>
      </c>
      <c r="P109" s="34"/>
      <c r="Q109" s="1" t="str">
        <f t="shared" si="10"/>
        <v>观音桥店</v>
      </c>
      <c r="R109" s="1" t="str">
        <f>VLOOKUP(Q109,$B$4:$B$42,1,0)</f>
        <v>观音桥店</v>
      </c>
      <c r="S109" s="6"/>
      <c r="T109" s="44">
        <f ca="1">VLOOKUP(B109,[1]房租水电人工成本!A:N,14,0)*V109*$W$1</f>
        <v>314.977884103573</v>
      </c>
      <c r="U109" s="45">
        <f>-SUMIFS([1]美团推广费!J:J,[1]美团推广费!C:C,"推广订单扣款",[1]美团推广费!H:H,B109,[1]美团推广费!I:I,$U$1)</f>
        <v>116.54</v>
      </c>
      <c r="V109" s="1">
        <f>IFERROR(J109/SUMIF(B:B,B109,J:J),0.25)</f>
        <v>0.628318584070796</v>
      </c>
      <c r="W109" s="1">
        <f t="shared" si="11"/>
        <v>73.2242477876106</v>
      </c>
    </row>
    <row r="110" s="1" customFormat="1" ht="16.5" spans="1:23">
      <c r="A110" s="20" t="s">
        <v>60</v>
      </c>
      <c r="B110" s="21" t="s">
        <v>42</v>
      </c>
      <c r="C110" s="53">
        <f>SUMIFS([1]日报透视!E:E,[1]日报透视!A:A,A110,[1]日报透视!B:B,B110)</f>
        <v>1362.22417408494</v>
      </c>
      <c r="D110" s="52">
        <f>SUMIFS([1]日报透视!F:F,[1]日报透视!A:A,A110,[1]日报透视!B:B,B110)</f>
        <v>913.098333333333</v>
      </c>
      <c r="E110" s="52">
        <f>SUMIFS([1]日报透视!G:G,[1]日报透视!A:A,A110,[1]日报透视!B:B,B110)-M110</f>
        <v>310.145840751605</v>
      </c>
      <c r="F110" s="22">
        <f t="shared" si="6"/>
        <v>6.09399727992284</v>
      </c>
      <c r="G110" s="19">
        <f>SUMIFS([1]日报透视!I:I,[1]日报透视!A:A,A110,[1]日报透视!B:B,B110)</f>
        <v>390.015825915062</v>
      </c>
      <c r="H110" s="19">
        <f>SUMIFS([1]日报透视!J:J,[1]日报透视!A:A,A110,[1]日报透视!B:B,B110)</f>
        <v>132.03</v>
      </c>
      <c r="I110" s="19">
        <f>SUMIFS([1]日报透视!K:K,[1]日报透视!A:A,A110,[1]日报透视!B:B,B110)</f>
        <v>180.411</v>
      </c>
      <c r="J110" s="19">
        <f>SUMIFS([1]日报透视!L:L,[1]日报透视!A:A,A110,[1]日报透视!B:B,B110)</f>
        <v>64</v>
      </c>
      <c r="K110" s="32">
        <f t="shared" si="7"/>
        <v>2.818921875</v>
      </c>
      <c r="L110" s="32">
        <f ca="1" t="shared" si="8"/>
        <v>337.844263038549</v>
      </c>
      <c r="M110" s="67">
        <f>SUMIFS([1]日报透视!M:M,[1]日报透视!A:A,A110,[1]日报透视!B:B,B110)</f>
        <v>138.98</v>
      </c>
      <c r="N110" s="29">
        <f ca="1" t="shared" si="9"/>
        <v>-27.6984222869439</v>
      </c>
      <c r="O110" s="33" t="str">
        <f>VLOOKUP(B110,[1]门店ID对应关系!J:K,2,0)</f>
        <v>自营</v>
      </c>
      <c r="P110" s="34"/>
      <c r="Q110" s="1" t="str">
        <f t="shared" si="10"/>
        <v>五路口店</v>
      </c>
      <c r="R110" s="1" t="str">
        <f>VLOOKUP(Q110,$B$4:$B$42,1,0)</f>
        <v>五路口店</v>
      </c>
      <c r="S110" s="6"/>
      <c r="T110" s="44">
        <f ca="1">VLOOKUP(B110,[1]房租水电人工成本!A:N,14,0)*V110*$W$1</f>
        <v>337.844263038549</v>
      </c>
      <c r="U110" s="45">
        <f>-SUMIFS([1]美团推广费!J:J,[1]美团推广费!C:C,"推广订单扣款",[1]美团推广费!H:H,B110,[1]美团推广费!I:I,$U$1)</f>
        <v>138.98</v>
      </c>
      <c r="V110" s="1">
        <f>IFERROR(J110/SUMIF(B:B,B110,J:J),0.25)</f>
        <v>0.653061224489796</v>
      </c>
      <c r="W110" s="1">
        <f t="shared" si="11"/>
        <v>90.7624489795918</v>
      </c>
    </row>
    <row r="111" s="4" customFormat="1" ht="16.5" spans="1:23">
      <c r="A111" s="20" t="s">
        <v>60</v>
      </c>
      <c r="B111" s="21" t="s">
        <v>28</v>
      </c>
      <c r="C111" s="53">
        <f>SUMIFS([1]日报透视!E:E,[1]日报透视!A:A,A111,[1]日报透视!B:B,B111)</f>
        <v>1164.61313786432</v>
      </c>
      <c r="D111" s="52">
        <f>SUMIFS([1]日报透视!F:F,[1]日报透视!A:A,A111,[1]日报透视!B:B,B111)</f>
        <v>712.662916666667</v>
      </c>
      <c r="E111" s="52">
        <f>SUMIFS([1]日报透视!G:G,[1]日报透视!A:A,A111,[1]日报透视!B:B,B111)-M111</f>
        <v>309.320221197655</v>
      </c>
      <c r="F111" s="22">
        <f t="shared" si="6"/>
        <v>6.72914293767223</v>
      </c>
      <c r="G111" s="19">
        <f>SUMIFS([1]日报透视!I:I,[1]日报透视!A:A,A111,[1]日报透视!B:B,B111)</f>
        <v>417.206862135678</v>
      </c>
      <c r="H111" s="19">
        <f>SUMIFS([1]日报透视!J:J,[1]日报透视!A:A,A111,[1]日报透视!B:B,B111)</f>
        <v>119.2</v>
      </c>
      <c r="I111" s="19">
        <f>SUMIFS([1]日报透视!K:K,[1]日报透视!A:A,A111,[1]日报透视!B:B,B111)</f>
        <v>215.803</v>
      </c>
      <c r="J111" s="19">
        <f>SUMIFS([1]日报透视!L:L,[1]日报透视!A:A,A111,[1]日报透视!B:B,B111)</f>
        <v>62</v>
      </c>
      <c r="K111" s="32">
        <f t="shared" si="7"/>
        <v>3.4806935483871</v>
      </c>
      <c r="L111" s="32">
        <f ca="1" t="shared" si="8"/>
        <v>206.856238527552</v>
      </c>
      <c r="M111" s="67">
        <f>SUMIFS([1]日报透视!M:M,[1]日报透视!A:A,A111,[1]日报透视!B:B,B111)</f>
        <v>142.63</v>
      </c>
      <c r="N111" s="29">
        <f ca="1" t="shared" si="9"/>
        <v>102.463982670103</v>
      </c>
      <c r="O111" s="33" t="str">
        <f>VLOOKUP(B111,[1]门店ID对应关系!J:K,2,0)</f>
        <v>自营</v>
      </c>
      <c r="P111" s="34"/>
      <c r="Q111" s="1" t="str">
        <f t="shared" si="10"/>
        <v>百捷店</v>
      </c>
      <c r="R111" s="1" t="str">
        <f>VLOOKUP(Q111,$B$4:$B$42,1,0)</f>
        <v>百捷店</v>
      </c>
      <c r="S111" s="6"/>
      <c r="T111" s="44">
        <f ca="1">VLOOKUP(B111,[1]房租水电人工成本!A:N,14,0)*V111*$W$1</f>
        <v>206.856238527552</v>
      </c>
      <c r="U111" s="45">
        <f>-SUMIFS([1]美团推广费!J:J,[1]美团推广费!C:C,"推广订单扣款",[1]美团推广费!H:H,B111,[1]美团推广费!I:I,$U$1)</f>
        <v>142.63</v>
      </c>
      <c r="V111" s="1">
        <f>IFERROR(J111/SUMIF(B:B,B111,J:J),0.25)</f>
        <v>0.504065040650406</v>
      </c>
      <c r="W111" s="1">
        <f t="shared" si="11"/>
        <v>71.8947967479675</v>
      </c>
    </row>
    <row r="112" s="1" customFormat="1" ht="16.5" spans="1:23">
      <c r="A112" s="20" t="s">
        <v>60</v>
      </c>
      <c r="B112" s="21" t="s">
        <v>39</v>
      </c>
      <c r="C112" s="53">
        <f>SUMIFS([1]日报透视!E:E,[1]日报透视!A:A,A112,[1]日报透视!B:B,B112)</f>
        <v>1433.6919387301</v>
      </c>
      <c r="D112" s="52">
        <f>SUMIFS([1]日报透视!F:F,[1]日报透视!A:A,A112,[1]日报透视!B:B,B112)</f>
        <v>1029.11366666667</v>
      </c>
      <c r="E112" s="52">
        <f>SUMIFS([1]日报透视!G:G,[1]日报透视!A:A,A112,[1]日报透视!B:B,B112)-M112</f>
        <v>242.588272063433</v>
      </c>
      <c r="F112" s="22">
        <f t="shared" si="6"/>
        <v>7.16823277202755</v>
      </c>
      <c r="G112" s="19">
        <f>SUMIFS([1]日报透视!I:I,[1]日报透视!A:A,A112,[1]日报透视!B:B,B112)</f>
        <v>494.608061269901</v>
      </c>
      <c r="H112" s="19">
        <f>SUMIFS([1]日报透视!J:J,[1]日报透视!A:A,A112,[1]日报透视!B:B,B112)</f>
        <v>139.09</v>
      </c>
      <c r="I112" s="19">
        <f>SUMIFS([1]日报透视!K:K,[1]日报透视!A:A,A112,[1]日报透视!B:B,B112)</f>
        <v>248.03</v>
      </c>
      <c r="J112" s="19">
        <f>SUMIFS([1]日报透视!L:L,[1]日报透视!A:A,A112,[1]日报透视!B:B,B112)</f>
        <v>69</v>
      </c>
      <c r="K112" s="32">
        <f t="shared" si="7"/>
        <v>3.59463768115942</v>
      </c>
      <c r="L112" s="32">
        <f ca="1" t="shared" si="8"/>
        <v>320.759494592199</v>
      </c>
      <c r="M112" s="67">
        <f>SUMIFS([1]日报透视!M:M,[1]日报透视!A:A,A112,[1]日报透视!B:B,B112)</f>
        <v>146.18</v>
      </c>
      <c r="N112" s="29">
        <f ca="1" t="shared" si="9"/>
        <v>-78.1712225287657</v>
      </c>
      <c r="O112" s="33" t="str">
        <f>VLOOKUP(B112,[1]门店ID对应关系!J:K,2,0)</f>
        <v>自营</v>
      </c>
      <c r="P112" s="34"/>
      <c r="Q112" s="1" t="str">
        <f t="shared" si="10"/>
        <v>百丈店</v>
      </c>
      <c r="R112" s="1" t="str">
        <f>VLOOKUP(Q112,$B$4:$B$42,1,0)</f>
        <v>百丈店</v>
      </c>
      <c r="S112" s="6"/>
      <c r="T112" s="44">
        <f ca="1">VLOOKUP(B112,[1]房租水电人工成本!A:N,14,0)*V112*$W$1</f>
        <v>320.759494592199</v>
      </c>
      <c r="U112" s="45">
        <f>-SUMIFS([1]美团推广费!J:J,[1]美团推广费!C:C,"推广订单扣款",[1]美团推广费!H:H,B112,[1]美团推广费!I:I,$U$1)</f>
        <v>146.18</v>
      </c>
      <c r="V112" s="1">
        <f>IFERROR(J112/SUMIF(B:B,B112,J:J),0.25)</f>
        <v>0.734042553191489</v>
      </c>
      <c r="W112" s="1">
        <f t="shared" si="11"/>
        <v>107.302340425532</v>
      </c>
    </row>
    <row r="113" s="1" customFormat="1" ht="16.5" spans="1:23">
      <c r="A113" s="20" t="s">
        <v>60</v>
      </c>
      <c r="B113" s="21" t="s">
        <v>56</v>
      </c>
      <c r="C113" s="53">
        <f>SUMIFS([1]日报透视!E:E,[1]日报透视!A:A,A113,[1]日报透视!B:B,B113)</f>
        <v>1125.69327499045</v>
      </c>
      <c r="D113" s="52">
        <f>SUMIFS([1]日报透视!F:F,[1]日报透视!A:A,A113,[1]日报透视!B:B,B113)</f>
        <v>640.839583333334</v>
      </c>
      <c r="E113" s="52">
        <f>SUMIFS([1]日报透视!G:G,[1]日报透视!A:A,A113,[1]日报透视!B:B,B113)-M113</f>
        <v>207.263691657121</v>
      </c>
      <c r="F113" s="22">
        <f t="shared" si="6"/>
        <v>7.56752613650827</v>
      </c>
      <c r="G113" s="19">
        <f>SUMIFS([1]日报透视!I:I,[1]日报透视!A:A,A113,[1]日报透视!B:B,B113)</f>
        <v>499.456725009546</v>
      </c>
      <c r="H113" s="19">
        <f>SUMIFS([1]日报透视!J:J,[1]日报透视!A:A,A113,[1]日报透视!B:B,B113)</f>
        <v>109.86</v>
      </c>
      <c r="I113" s="19">
        <f>SUMIFS([1]日报透视!K:K,[1]日报透视!A:A,A113,[1]日报透视!B:B,B113)</f>
        <v>302.062</v>
      </c>
      <c r="J113" s="19">
        <f>SUMIFS([1]日报透视!L:L,[1]日报透视!A:A,A113,[1]日报透视!B:B,B113)</f>
        <v>66</v>
      </c>
      <c r="K113" s="32">
        <f t="shared" si="7"/>
        <v>4.57669696969697</v>
      </c>
      <c r="L113" s="32">
        <f ca="1" t="shared" si="8"/>
        <v>306.109275362319</v>
      </c>
      <c r="M113" s="67">
        <f>SUMIFS([1]日报透视!M:M,[1]日报透视!A:A,A113,[1]日报透视!B:B,B113)</f>
        <v>171.97</v>
      </c>
      <c r="N113" s="29">
        <f ca="1" t="shared" si="9"/>
        <v>-98.8455837051977</v>
      </c>
      <c r="O113" s="33" t="str">
        <f>VLOOKUP(B113,[1]门店ID对应关系!J:K,2,0)</f>
        <v>自营</v>
      </c>
      <c r="P113" s="34"/>
      <c r="Q113" s="1" t="str">
        <f t="shared" si="10"/>
        <v>滨江店</v>
      </c>
      <c r="R113" s="1" t="str">
        <f>VLOOKUP(Q113,$B$4:$B$42,1,0)</f>
        <v>滨江店</v>
      </c>
      <c r="S113" s="6"/>
      <c r="T113" s="44">
        <f ca="1">VLOOKUP(B113,[1]房租水电人工成本!A:N,14,0)*V113*$W$1</f>
        <v>306.109275362319</v>
      </c>
      <c r="U113" s="45">
        <f>-SUMIFS([1]美团推广费!J:J,[1]美团推广费!C:C,"推广订单扣款",[1]美团推广费!H:H,B113,[1]美团推广费!I:I,$U$1)</f>
        <v>171.97</v>
      </c>
      <c r="V113" s="1">
        <f>IFERROR(J113/SUMIF(B:B,B113,J:J),0.25)</f>
        <v>0.573913043478261</v>
      </c>
      <c r="W113" s="1">
        <f t="shared" si="11"/>
        <v>98.6958260869565</v>
      </c>
    </row>
    <row r="114" s="1" customFormat="1" ht="16.5" spans="1:23">
      <c r="A114" s="20" t="s">
        <v>60</v>
      </c>
      <c r="B114" s="21" t="s">
        <v>36</v>
      </c>
      <c r="C114" s="53">
        <f>SUMIFS([1]日报透视!E:E,[1]日报透视!A:A,A114,[1]日报透视!B:B,B114)</f>
        <v>538.6985594024</v>
      </c>
      <c r="D114" s="52">
        <f>SUMIFS([1]日报透视!F:F,[1]日报透视!A:A,A114,[1]日报透视!B:B,B114)</f>
        <v>440.585</v>
      </c>
      <c r="E114" s="52">
        <f>SUMIFS([1]日报透视!G:G,[1]日报透视!A:A,A114,[1]日报透视!B:B,B114)-M114</f>
        <v>-4.2964405976003</v>
      </c>
      <c r="F114" s="22">
        <f t="shared" si="6"/>
        <v>8.02368001810909</v>
      </c>
      <c r="G114" s="19">
        <f>SUMIFS([1]日报透视!I:I,[1]日报透视!A:A,A114,[1]日报透视!B:B,B114)</f>
        <v>264.7814405976</v>
      </c>
      <c r="H114" s="19">
        <f>SUMIFS([1]日报透视!J:J,[1]日报透视!A:A,A114,[1]日报透视!B:B,B114)</f>
        <v>60.57</v>
      </c>
      <c r="I114" s="19">
        <f>SUMIFS([1]日报透视!K:K,[1]日报透视!A:A,A114,[1]日报透视!B:B,B114)</f>
        <v>136.92</v>
      </c>
      <c r="J114" s="19">
        <f>SUMIFS([1]日报透视!L:L,[1]日报透视!A:A,A114,[1]日报透视!B:B,B114)</f>
        <v>33</v>
      </c>
      <c r="K114" s="32">
        <f t="shared" si="7"/>
        <v>4.14909090909091</v>
      </c>
      <c r="L114" s="32">
        <f ca="1" t="shared" si="8"/>
        <v>149.883675120773</v>
      </c>
      <c r="M114" s="67">
        <f>SUMIFS([1]日报透视!M:M,[1]日报透视!A:A,A114,[1]日报透视!B:B,B114)</f>
        <v>102.41</v>
      </c>
      <c r="N114" s="29">
        <f ca="1" t="shared" si="9"/>
        <v>-154.180115718373</v>
      </c>
      <c r="O114" s="33" t="str">
        <f>VLOOKUP(B114,[1]门店ID对应关系!J:K,2,0)</f>
        <v>自营</v>
      </c>
      <c r="P114" s="34"/>
      <c r="Q114" s="1" t="str">
        <f t="shared" si="10"/>
        <v>启点店</v>
      </c>
      <c r="R114" s="1" t="str">
        <f>VLOOKUP(Q114,$B$4:$B$42,1,0)</f>
        <v>启点店</v>
      </c>
      <c r="S114" s="6"/>
      <c r="T114" s="44">
        <f ca="1">VLOOKUP(B114,[1]房租水电人工成本!A:N,14,0)*V114*$W$1</f>
        <v>149.883675120773</v>
      </c>
      <c r="U114" s="45">
        <f>-SUMIFS([1]美团推广费!J:J,[1]美团推广费!C:C,"推广订单扣款",[1]美团推广费!H:H,B114,[1]美团推广费!I:I,$U$1)</f>
        <v>102.41</v>
      </c>
      <c r="V114" s="1">
        <f>IFERROR(J114/SUMIF(B:B,B114,J:J),0.25)</f>
        <v>0.478260869565217</v>
      </c>
      <c r="W114" s="1">
        <f t="shared" si="11"/>
        <v>48.9786956521739</v>
      </c>
    </row>
    <row r="115" s="1" customFormat="1" ht="16.5" spans="1:23">
      <c r="A115" s="20" t="s">
        <v>60</v>
      </c>
      <c r="B115" s="21" t="s">
        <v>54</v>
      </c>
      <c r="C115" s="53">
        <f>SUMIFS([1]日报透视!E:E,[1]日报透视!A:A,A115,[1]日报透视!B:B,B115)</f>
        <v>1873.64675760169</v>
      </c>
      <c r="D115" s="52">
        <f>SUMIFS([1]日报透视!F:F,[1]日报透视!A:A,A115,[1]日报透视!B:B,B115)</f>
        <v>1331.682</v>
      </c>
      <c r="E115" s="52">
        <f>SUMIFS([1]日报透视!G:G,[1]日报透视!A:A,A115,[1]日报透视!B:B,B115)-M115</f>
        <v>417.044757601689</v>
      </c>
      <c r="F115" s="22">
        <f t="shared" si="6"/>
        <v>7.11819818848633</v>
      </c>
      <c r="G115" s="19">
        <f>SUMIFS([1]日报透视!I:I,[1]日报透视!A:A,A115,[1]日报透视!B:B,B115)</f>
        <v>619.283242398311</v>
      </c>
      <c r="H115" s="19">
        <f>SUMIFS([1]日报透视!J:J,[1]日报透视!A:A,A115,[1]日报透视!B:B,B115)</f>
        <v>187.81</v>
      </c>
      <c r="I115" s="19">
        <f>SUMIFS([1]日报透视!K:K,[1]日报透视!A:A,A115,[1]日报透视!B:B,B115)</f>
        <v>342.06</v>
      </c>
      <c r="J115" s="19">
        <f>SUMIFS([1]日报透视!L:L,[1]日报透视!A:A,A115,[1]日报透视!B:B,B115)</f>
        <v>87</v>
      </c>
      <c r="K115" s="32">
        <f t="shared" si="7"/>
        <v>3.93172413793103</v>
      </c>
      <c r="L115" s="32">
        <f ca="1" t="shared" si="8"/>
        <v>379.606383828006</v>
      </c>
      <c r="M115" s="67">
        <f>SUMIFS([1]日报透视!M:M,[1]日报透视!A:A,A115,[1]日报透视!B:B,B115)</f>
        <v>124.92</v>
      </c>
      <c r="N115" s="29">
        <f ca="1" t="shared" si="9"/>
        <v>37.438373773683</v>
      </c>
      <c r="O115" s="33" t="str">
        <f>VLOOKUP(B115,[1]门店ID对应关系!J:K,2,0)</f>
        <v>自营</v>
      </c>
      <c r="P115" s="34"/>
      <c r="Q115" s="1" t="str">
        <f t="shared" si="10"/>
        <v>凤城二路店</v>
      </c>
      <c r="R115" s="1" t="str">
        <f>VLOOKUP(Q115,$B$4:$B$42,1,0)</f>
        <v>凤城二路店</v>
      </c>
      <c r="S115" s="6"/>
      <c r="T115" s="44">
        <f ca="1">VLOOKUP(B115,[1]房租水电人工成本!A:N,14,0)*V115*$W$1</f>
        <v>379.606383828006</v>
      </c>
      <c r="U115" s="45">
        <f>-SUMIFS([1]美团推广费!J:J,[1]美团推广费!C:C,"推广订单扣款",[1]美团推广费!H:H,B115,[1]美团推广费!I:I,$U$1)</f>
        <v>124.92</v>
      </c>
      <c r="V115" s="1">
        <f>IFERROR(J115/SUMIF(B:B,B115,J:J),0.25)</f>
        <v>0.595890410958904</v>
      </c>
      <c r="W115" s="1">
        <f t="shared" si="11"/>
        <v>74.4386301369863</v>
      </c>
    </row>
    <row r="116" s="1" customFormat="1" ht="16.5" spans="1:23">
      <c r="A116" s="54" t="s">
        <v>60</v>
      </c>
      <c r="B116" s="55" t="s">
        <v>23</v>
      </c>
      <c r="C116" s="53">
        <f>SUMIFS([1]日报透视!E:E,[1]日报透视!A:A,A116,[1]日报透视!B:B,B116)</f>
        <v>409.738735233426</v>
      </c>
      <c r="D116" s="52">
        <f>SUMIFS([1]日报透视!F:F,[1]日报透视!A:A,A116,[1]日报透视!B:B,B116)</f>
        <v>232.568333333333</v>
      </c>
      <c r="E116" s="52">
        <f>SUMIFS([1]日报透视!G:G,[1]日报透视!A:A,A116,[1]日报透视!B:B,B116)-M116</f>
        <v>25.850401900092</v>
      </c>
      <c r="F116" s="53">
        <f t="shared" si="6"/>
        <v>5.86115795431759</v>
      </c>
      <c r="G116" s="52">
        <f>SUMIFS([1]日报透视!I:I,[1]日报透视!A:A,A116,[1]日报透视!B:B,B116)</f>
        <v>158.251264766575</v>
      </c>
      <c r="H116" s="52">
        <f>SUMIFS([1]日报透视!J:J,[1]日报透视!A:A,A116,[1]日报透视!B:B,B116)</f>
        <v>42.9</v>
      </c>
      <c r="I116" s="52">
        <f>SUMIFS([1]日报透视!K:K,[1]日报透视!A:A,A116,[1]日报透视!B:B,B116)</f>
        <v>106.732</v>
      </c>
      <c r="J116" s="52">
        <f>SUMIFS([1]日报透视!L:L,[1]日报透视!A:A,A116,[1]日报透视!B:B,B116)</f>
        <v>27</v>
      </c>
      <c r="K116" s="70">
        <f t="shared" si="7"/>
        <v>3.95303703703704</v>
      </c>
      <c r="L116" s="32">
        <f ca="1" t="shared" si="8"/>
        <v>196.366666666667</v>
      </c>
      <c r="M116" s="67">
        <f>SUMIFS([1]日报透视!M:M,[1]日报透视!A:A,A116,[1]日报透视!B:B,B116)</f>
        <v>151.32</v>
      </c>
      <c r="N116" s="68">
        <f ca="1" t="shared" si="9"/>
        <v>-170.516264766575</v>
      </c>
      <c r="O116" s="71" t="str">
        <f>VLOOKUP(B116,[1]门店ID对应关系!J:K,2,0)</f>
        <v>自营</v>
      </c>
      <c r="P116" s="34"/>
      <c r="Q116" s="1" t="str">
        <f t="shared" si="10"/>
        <v>泉秀店</v>
      </c>
      <c r="R116" s="1" t="str">
        <f>VLOOKUP(Q116,$B$4:$B$42,1,0)</f>
        <v>泉秀店</v>
      </c>
      <c r="S116" s="6"/>
      <c r="T116" s="44">
        <f ca="1">VLOOKUP(B116,[1]房租水电人工成本!A:N,14,0)*V116*$W$1</f>
        <v>196.366666666667</v>
      </c>
      <c r="U116" s="45">
        <f>-SUMIFS([1]美团推广费!J:J,[1]美团推广费!C:C,"推广订单扣款",[1]美团推广费!H:H,B116,[1]美团推广费!I:I,$U$1)</f>
        <v>151.32</v>
      </c>
      <c r="V116" s="1">
        <f>IFERROR(J116/SUMIF(B:B,B116,J:J),0.25)</f>
        <v>0.6</v>
      </c>
      <c r="W116" s="1">
        <f t="shared" si="11"/>
        <v>90.792</v>
      </c>
    </row>
    <row r="117" s="1" customFormat="1" ht="16.5" spans="1:23">
      <c r="A117" s="54" t="s">
        <v>60</v>
      </c>
      <c r="B117" s="55" t="s">
        <v>33</v>
      </c>
      <c r="C117" s="53">
        <f>SUMIFS([1]日报透视!E:E,[1]日报透视!A:A,A117,[1]日报透视!B:B,B117)</f>
        <v>509.928301973172</v>
      </c>
      <c r="D117" s="52">
        <f>SUMIFS([1]日报透视!F:F,[1]日报透视!A:A,A117,[1]日报透视!B:B,B117)</f>
        <v>327.303833333333</v>
      </c>
      <c r="E117" s="52">
        <f>SUMIFS([1]日报透视!G:G,[1]日报透视!A:A,A117,[1]日报透视!B:B,B117)-M117</f>
        <v>127.034468639839</v>
      </c>
      <c r="F117" s="53">
        <f t="shared" si="6"/>
        <v>6.72932214914178</v>
      </c>
      <c r="G117" s="52">
        <f>SUMIFS([1]日报透视!I:I,[1]日报透视!A:A,A117,[1]日报透视!B:B,B117)</f>
        <v>181.691698026828</v>
      </c>
      <c r="H117" s="52">
        <f>SUMIFS([1]日报透视!J:J,[1]日报透视!A:A,A117,[1]日报透视!B:B,B117)</f>
        <v>50.11</v>
      </c>
      <c r="I117" s="52">
        <f>SUMIFS([1]日报透视!K:K,[1]日报透视!A:A,A117,[1]日报透视!B:B,B117)</f>
        <v>78.847</v>
      </c>
      <c r="J117" s="52">
        <f>SUMIFS([1]日报透视!L:L,[1]日报透视!A:A,A117,[1]日报透视!B:B,B117)</f>
        <v>27</v>
      </c>
      <c r="K117" s="70">
        <f t="shared" si="7"/>
        <v>2.92025925925926</v>
      </c>
      <c r="L117" s="32">
        <f ca="1" t="shared" si="8"/>
        <v>317.647058823529</v>
      </c>
      <c r="M117" s="67">
        <f>SUMIFS([1]日报透视!M:M,[1]日报透视!A:A,A117,[1]日报透视!B:B,B117)</f>
        <v>55.59</v>
      </c>
      <c r="N117" s="68">
        <f ca="1" t="shared" si="9"/>
        <v>-190.61259018369</v>
      </c>
      <c r="O117" s="71" t="str">
        <f>VLOOKUP(B117,[1]门店ID对应关系!J:K,2,0)</f>
        <v>加盟</v>
      </c>
      <c r="P117" s="34"/>
      <c r="Q117" s="1" t="str">
        <f t="shared" si="10"/>
        <v>东海店</v>
      </c>
      <c r="R117" s="1" t="str">
        <f>VLOOKUP(Q117,$B$4:$B$42,1,0)</f>
        <v>东海店</v>
      </c>
      <c r="S117" s="6"/>
      <c r="T117" s="44">
        <f ca="1">VLOOKUP(B117,[1]房租水电人工成本!A:N,14,0)*V117*$W$1</f>
        <v>317.647058823529</v>
      </c>
      <c r="U117" s="45">
        <f>-SUMIFS([1]美团推广费!J:J,[1]美团推广费!C:C,"推广订单扣款",[1]美团推广费!H:H,B117,[1]美团推广费!I:I,$U$1)</f>
        <v>55.59</v>
      </c>
      <c r="V117" s="1">
        <f>IFERROR(J117/SUMIF(B:B,B117,J:J),0.25)</f>
        <v>0.529411764705882</v>
      </c>
      <c r="W117" s="1">
        <f t="shared" si="11"/>
        <v>29.43</v>
      </c>
    </row>
    <row r="118" s="1" customFormat="1" ht="16.5" spans="1:23">
      <c r="A118" s="20" t="s">
        <v>60</v>
      </c>
      <c r="B118" s="21" t="s">
        <v>51</v>
      </c>
      <c r="C118" s="53">
        <f>SUMIFS([1]日报透视!E:E,[1]日报透视!A:A,A118,[1]日报透视!B:B,B118)</f>
        <v>593.655004470954</v>
      </c>
      <c r="D118" s="52">
        <f>SUMIFS([1]日报透视!F:F,[1]日报透视!A:A,A118,[1]日报透视!B:B,B118)</f>
        <v>414.464666666667</v>
      </c>
      <c r="E118" s="52">
        <f>SUMIFS([1]日报透视!G:G,[1]日报透视!A:A,A118,[1]日报透视!B:B,B118)-M118</f>
        <v>69.580337804287</v>
      </c>
      <c r="F118" s="22">
        <f t="shared" si="6"/>
        <v>7.46212488822615</v>
      </c>
      <c r="G118" s="19">
        <f>SUMIFS([1]日报透视!I:I,[1]日报透视!A:A,A118,[1]日报透视!B:B,B118)</f>
        <v>298.484995529046</v>
      </c>
      <c r="H118" s="19">
        <f>SUMIFS([1]日报透视!J:J,[1]日报透视!A:A,A118,[1]日报透视!B:B,B118)</f>
        <v>67.23</v>
      </c>
      <c r="I118" s="19">
        <f>SUMIFS([1]日报透视!K:K,[1]日报透视!A:A,A118,[1]日报透视!B:B,B118)</f>
        <v>163.271</v>
      </c>
      <c r="J118" s="19">
        <f>SUMIFS([1]日报透视!L:L,[1]日报透视!A:A,A118,[1]日报透视!B:B,B118)</f>
        <v>40</v>
      </c>
      <c r="K118" s="32">
        <f t="shared" si="7"/>
        <v>4.081775</v>
      </c>
      <c r="L118" s="32">
        <f ca="1" t="shared" si="8"/>
        <v>237.366862139918</v>
      </c>
      <c r="M118" s="67">
        <f>SUMIFS([1]日报透视!M:M,[1]日报透视!A:A,A118,[1]日报透视!B:B,B118)</f>
        <v>109.61</v>
      </c>
      <c r="N118" s="29">
        <f ca="1" t="shared" si="9"/>
        <v>-167.786524335631</v>
      </c>
      <c r="O118" s="33" t="str">
        <f>VLOOKUP(B118,[1]门店ID对应关系!J:K,2,0)</f>
        <v>自营</v>
      </c>
      <c r="P118" s="34"/>
      <c r="Q118" s="1" t="str">
        <f t="shared" si="10"/>
        <v>沙坪坝店</v>
      </c>
      <c r="R118" s="1" t="str">
        <f>VLOOKUP(Q118,$B$4:$B$42,1,0)</f>
        <v>沙坪坝店</v>
      </c>
      <c r="S118" s="6"/>
      <c r="T118" s="44">
        <f ca="1">VLOOKUP(B118,[1]房租水电人工成本!A:N,14,0)*V118*$W$1</f>
        <v>237.366862139918</v>
      </c>
      <c r="U118" s="45">
        <f>-SUMIFS([1]美团推广费!J:J,[1]美团推广费!C:C,"推广订单扣款",[1]美团推广费!H:H,B118,[1]美团推广费!I:I,$U$1)</f>
        <v>109.61</v>
      </c>
      <c r="V118" s="1">
        <f>IFERROR(J118/SUMIF(B:B,B118,J:J),0.25)</f>
        <v>0.555555555555556</v>
      </c>
      <c r="W118" s="1">
        <f t="shared" si="11"/>
        <v>60.8944444444444</v>
      </c>
    </row>
    <row r="119" s="1" customFormat="1" ht="16.5" spans="1:23">
      <c r="A119" s="54" t="s">
        <v>60</v>
      </c>
      <c r="B119" s="55" t="s">
        <v>49</v>
      </c>
      <c r="C119" s="53">
        <f>SUMIFS([1]日报透视!E:E,[1]日报透视!A:A,A119,[1]日报透视!B:B,B119)</f>
        <v>371.377616423985</v>
      </c>
      <c r="D119" s="52">
        <f>SUMIFS([1]日报透视!F:F,[1]日报透视!A:A,A119,[1]日报透视!B:B,B119)</f>
        <v>237.205</v>
      </c>
      <c r="E119" s="52">
        <f>SUMIFS([1]日报透视!G:G,[1]日报透视!A:A,A119,[1]日报透视!B:B,B119)-M119</f>
        <v>95.9026164239851</v>
      </c>
      <c r="F119" s="53">
        <f t="shared" si="6"/>
        <v>5.52791019866751</v>
      </c>
      <c r="G119" s="52">
        <f>SUMIFS([1]日报透视!I:I,[1]日报透视!A:A,A119,[1]日报透视!B:B,B119)</f>
        <v>99.5023835760152</v>
      </c>
      <c r="H119" s="52">
        <f>SUMIFS([1]日报透视!J:J,[1]日报透视!A:A,A119,[1]日报透视!B:B,B119)</f>
        <v>34.21</v>
      </c>
      <c r="I119" s="52">
        <f>SUMIFS([1]日报透视!K:K,[1]日报透视!A:A,A119,[1]日报透视!B:B,B119)</f>
        <v>0</v>
      </c>
      <c r="J119" s="52">
        <f>SUMIFS([1]日报透视!L:L,[1]日报透视!A:A,A119,[1]日报透视!B:B,B119)</f>
        <v>18</v>
      </c>
      <c r="K119" s="70">
        <f t="shared" si="7"/>
        <v>0</v>
      </c>
      <c r="L119" s="32">
        <f ca="1" t="shared" si="8"/>
        <v>450</v>
      </c>
      <c r="M119" s="67">
        <f>SUMIFS([1]日报透视!M:M,[1]日报透视!A:A,A119,[1]日报透视!B:B,B119)</f>
        <v>38.2699999999999</v>
      </c>
      <c r="N119" s="68">
        <f ca="1" t="shared" si="9"/>
        <v>-354.097383576015</v>
      </c>
      <c r="O119" s="71" t="str">
        <f>VLOOKUP(B119,[1]门店ID对应关系!J:K,2,0)</f>
        <v>加盟</v>
      </c>
      <c r="P119" s="34"/>
      <c r="Q119" s="1" t="str">
        <f t="shared" si="10"/>
        <v>文灶店</v>
      </c>
      <c r="R119" s="1" t="str">
        <f>VLOOKUP(Q119,$B$4:$B$42,1,0)</f>
        <v>文灶店</v>
      </c>
      <c r="S119" s="6"/>
      <c r="T119" s="44">
        <f ca="1">VLOOKUP(B119,[1]房租水电人工成本!A:N,14,0)*V119*$W$1</f>
        <v>450</v>
      </c>
      <c r="U119" s="45">
        <f>-SUMIFS([1]美团推广费!J:J,[1]美团推广费!C:C,"推广订单扣款",[1]美团推广费!H:H,B119,[1]美团推广费!I:I,$U$1)</f>
        <v>38.27</v>
      </c>
      <c r="V119" s="1">
        <f>IFERROR(J119/SUMIF(B:B,B119,J:J),0.25)</f>
        <v>0.75</v>
      </c>
      <c r="W119" s="1">
        <f t="shared" si="11"/>
        <v>28.7025</v>
      </c>
    </row>
    <row r="120" s="1" customFormat="1" ht="17.25" spans="1:23">
      <c r="A120" s="56" t="s">
        <v>60</v>
      </c>
      <c r="B120" s="57" t="s">
        <v>58</v>
      </c>
      <c r="C120" s="58">
        <f>SUMIFS([1]日报透视!E:E,[1]日报透视!A:A,A120,[1]日报透视!B:B,B120)</f>
        <v>614.07090153469</v>
      </c>
      <c r="D120" s="59">
        <f>SUMIFS([1]日报透视!F:F,[1]日报透视!A:A,A120,[1]日报透视!B:B,B120)</f>
        <v>286.625</v>
      </c>
      <c r="E120" s="59">
        <f>SUMIFS([1]日报透视!G:G,[1]日报透视!A:A,A120,[1]日报透视!B:B,B120)-M120</f>
        <v>217.76590153469</v>
      </c>
      <c r="F120" s="58">
        <f t="shared" si="6"/>
        <v>1.49677720296865</v>
      </c>
      <c r="G120" s="59">
        <f>SUMIFS([1]日报透视!I:I,[1]日报透视!A:A,A120,[1]日报透视!B:B,B120)</f>
        <v>32.9290984653103</v>
      </c>
      <c r="H120" s="59">
        <f>SUMIFS([1]日报透视!J:J,[1]日报透视!A:A,A120,[1]日报透视!B:B,B120)</f>
        <v>59.56</v>
      </c>
      <c r="I120" s="59">
        <f>SUMIFS([1]日报透视!K:K,[1]日报透视!A:A,A120,[1]日报透视!B:B,B120)</f>
        <v>69.196</v>
      </c>
      <c r="J120" s="59">
        <f>SUMIFS([1]日报透视!L:L,[1]日报透视!A:A,A120,[1]日报透视!B:B,B120)</f>
        <v>22</v>
      </c>
      <c r="K120" s="72">
        <f t="shared" si="7"/>
        <v>3.14527272727273</v>
      </c>
      <c r="L120" s="35">
        <f ca="1" t="shared" si="8"/>
        <v>425.806451612903</v>
      </c>
      <c r="M120" s="73">
        <f>SUMIFS([1]日报透视!M:M,[1]日报透视!A:A,A120,[1]日报透视!B:B,B120)</f>
        <v>20.69</v>
      </c>
      <c r="N120" s="74">
        <f ca="1" t="shared" si="9"/>
        <v>-208.040550078213</v>
      </c>
      <c r="O120" s="75" t="str">
        <f>VLOOKUP(B120,[1]门店ID对应关系!J:K,2,0)</f>
        <v>加盟</v>
      </c>
      <c r="P120" s="39"/>
      <c r="Q120" s="1" t="str">
        <f t="shared" si="10"/>
        <v>南安店</v>
      </c>
      <c r="R120" s="1" t="str">
        <f>VLOOKUP(Q120,$B$4:$B$42,1,0)</f>
        <v>南安店</v>
      </c>
      <c r="S120" s="6"/>
      <c r="T120" s="44">
        <f ca="1">VLOOKUP(B120,[1]房租水电人工成本!A:N,14,0)*V120*$W$1</f>
        <v>425.806451612903</v>
      </c>
      <c r="U120" s="45">
        <f>-SUMIFS([1]美团推广费!J:J,[1]美团推广费!C:C,"推广订单扣款",[1]美团推广费!H:H,B120,[1]美团推广费!I:I,$U$1)</f>
        <v>20.69</v>
      </c>
      <c r="V120" s="1">
        <f>IFERROR(J120/SUMIF(B:B,B120,J:J),0.25)</f>
        <v>0.709677419354839</v>
      </c>
      <c r="W120" s="1">
        <f t="shared" si="11"/>
        <v>14.6832258064516</v>
      </c>
    </row>
    <row r="121" s="1" customFormat="1" ht="17.25" spans="1:23">
      <c r="A121" s="60" t="s">
        <v>61</v>
      </c>
      <c r="B121" s="61"/>
      <c r="C121" s="62">
        <f t="shared" ref="C121:J121" si="12">SUM(C4:C120)</f>
        <v>81521.0996739086</v>
      </c>
      <c r="D121" s="63">
        <f t="shared" si="12"/>
        <v>53322.9277474359</v>
      </c>
      <c r="E121" s="64">
        <f t="shared" si="12"/>
        <v>21216.0019264727</v>
      </c>
      <c r="F121" s="62">
        <f t="shared" si="6"/>
        <v>6.12606916833645</v>
      </c>
      <c r="G121" s="63">
        <f t="shared" si="12"/>
        <v>22347.9003260914</v>
      </c>
      <c r="H121" s="63">
        <f t="shared" si="12"/>
        <v>6552.69</v>
      </c>
      <c r="I121" s="63">
        <f t="shared" si="12"/>
        <v>13083.694</v>
      </c>
      <c r="J121" s="63">
        <f t="shared" si="12"/>
        <v>3648</v>
      </c>
      <c r="K121" s="76">
        <f t="shared" si="7"/>
        <v>3.5865389254386</v>
      </c>
      <c r="L121" s="26">
        <f ca="1" t="shared" ref="L121:N121" si="13">SUM(L4:L120)</f>
        <v>18623.4372816667</v>
      </c>
      <c r="M121" s="63">
        <f t="shared" si="13"/>
        <v>6492.73</v>
      </c>
      <c r="N121" s="77">
        <f ca="1" t="shared" si="13"/>
        <v>2592.56464480606</v>
      </c>
      <c r="O121" s="78" t="s">
        <v>62</v>
      </c>
      <c r="P121" s="77">
        <f ca="1">SUM(P4:P120)</f>
        <v>2592.56464480606</v>
      </c>
      <c r="Q121" s="1">
        <f t="shared" si="10"/>
        <v>0</v>
      </c>
      <c r="S121" s="6"/>
      <c r="T121" s="44" t="e">
        <f ca="1">VLOOKUP(B121,[1]房租水电人工成本!A:N,14,0)*V121*$V$1</f>
        <v>#N/A</v>
      </c>
      <c r="U121" s="46">
        <v>0</v>
      </c>
      <c r="V121" s="1">
        <f>IFERROR(J121/SUMIF(B:B,B121,J:J),0.25)</f>
        <v>0.25</v>
      </c>
      <c r="W121" s="1">
        <f t="shared" si="11"/>
        <v>0</v>
      </c>
    </row>
    <row r="122" s="1" customFormat="1" ht="16.5" spans="1:16384">
      <c r="A122" s="65"/>
      <c r="B122" s="65"/>
      <c r="C122" s="65"/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1"/>
      <c r="Q122" s="1"/>
      <c r="R122" s="1"/>
      <c r="S122" s="6"/>
      <c r="T122" s="6"/>
      <c r="U122" s="1"/>
      <c r="V122" s="1"/>
      <c r="W122" s="1"/>
      <c r="XES122" s="7"/>
      <c r="XET122" s="7"/>
      <c r="XEU122" s="7"/>
      <c r="XEV122" s="7"/>
      <c r="XEW122" s="7"/>
      <c r="XEX122" s="7"/>
      <c r="XEY122" s="7"/>
      <c r="XEZ122" s="7"/>
      <c r="XFA122" s="7"/>
      <c r="XFB122" s="7"/>
      <c r="XFC122" s="7"/>
      <c r="XFD122" s="7"/>
    </row>
    <row r="123" s="1" customFormat="1" spans="19:16384">
      <c r="S123" s="6"/>
      <c r="T123" s="6"/>
      <c r="U123" s="1"/>
      <c r="V123" s="1"/>
      <c r="W123" s="1"/>
      <c r="XES123" s="7"/>
      <c r="XET123" s="7"/>
      <c r="XEU123" s="7"/>
      <c r="XEV123" s="7"/>
      <c r="XEW123" s="7"/>
      <c r="XEX123" s="7"/>
      <c r="XEY123" s="7"/>
      <c r="XEZ123" s="7"/>
      <c r="XFA123" s="7"/>
      <c r="XFB123" s="7"/>
      <c r="XFC123" s="7"/>
      <c r="XFD123" s="7"/>
    </row>
    <row r="124" s="1" customFormat="1" spans="19:16384">
      <c r="S124" s="6"/>
      <c r="T124" s="6"/>
      <c r="U124" s="1"/>
      <c r="V124" s="1"/>
      <c r="W124" s="1"/>
      <c r="XES124" s="7"/>
      <c r="XET124" s="7"/>
      <c r="XEU124" s="7"/>
      <c r="XEV124" s="7"/>
      <c r="XEW124" s="7"/>
      <c r="XEX124" s="7"/>
      <c r="XEY124" s="7"/>
      <c r="XEZ124" s="7"/>
      <c r="XFA124" s="7"/>
      <c r="XFB124" s="7"/>
      <c r="XFC124" s="7"/>
      <c r="XFD124" s="7"/>
    </row>
    <row r="125" s="1" customFormat="1" spans="19:16384">
      <c r="S125" s="6"/>
      <c r="T125" s="6"/>
      <c r="U125" s="1"/>
      <c r="V125" s="1"/>
      <c r="W125" s="1"/>
      <c r="XES125" s="7"/>
      <c r="XET125" s="7"/>
      <c r="XEU125" s="7"/>
      <c r="XEV125" s="7"/>
      <c r="XEW125" s="7"/>
      <c r="XEX125" s="7"/>
      <c r="XEY125" s="7"/>
      <c r="XEZ125" s="7"/>
      <c r="XFA125" s="7"/>
      <c r="XFB125" s="7"/>
      <c r="XFC125" s="7"/>
      <c r="XFD125" s="7"/>
    </row>
    <row r="126" s="1" customFormat="1" spans="19:16384">
      <c r="S126" s="6"/>
      <c r="T126" s="6"/>
      <c r="U126" s="1"/>
      <c r="V126" s="1"/>
      <c r="W126" s="1"/>
      <c r="XES126" s="7"/>
      <c r="XET126" s="7"/>
      <c r="XEU126" s="7"/>
      <c r="XEV126" s="7"/>
      <c r="XEW126" s="7"/>
      <c r="XEX126" s="7"/>
      <c r="XEY126" s="7"/>
      <c r="XEZ126" s="7"/>
      <c r="XFA126" s="7"/>
      <c r="XFB126" s="7"/>
      <c r="XFC126" s="7"/>
      <c r="XFD126" s="7"/>
    </row>
    <row r="127" s="1" customFormat="1" spans="19:16384">
      <c r="S127" s="6"/>
      <c r="T127" s="6"/>
      <c r="U127" s="1"/>
      <c r="V127" s="1"/>
      <c r="W127" s="1"/>
      <c r="XES127" s="7"/>
      <c r="XET127" s="7"/>
      <c r="XEU127" s="7"/>
      <c r="XEV127" s="7"/>
      <c r="XEW127" s="7"/>
      <c r="XEX127" s="7"/>
      <c r="XEY127" s="7"/>
      <c r="XEZ127" s="7"/>
      <c r="XFA127" s="7"/>
      <c r="XFB127" s="7"/>
      <c r="XFC127" s="7"/>
      <c r="XFD127" s="7"/>
    </row>
    <row r="128" s="1" customFormat="1" spans="19:16384">
      <c r="S128" s="6"/>
      <c r="T128" s="6"/>
      <c r="U128" s="1"/>
      <c r="V128" s="1">
        <f>1/4</f>
        <v>0.25</v>
      </c>
      <c r="XES128" s="7"/>
      <c r="XET128" s="7"/>
      <c r="XEU128" s="7"/>
      <c r="XEV128" s="7"/>
      <c r="XEW128" s="7"/>
      <c r="XEX128" s="7"/>
      <c r="XEY128" s="7"/>
      <c r="XEZ128" s="7"/>
      <c r="XFA128" s="7"/>
      <c r="XFB128" s="7"/>
      <c r="XFC128" s="7"/>
      <c r="XFD128" s="7"/>
    </row>
  </sheetData>
  <mergeCells count="5">
    <mergeCell ref="A1:P1"/>
    <mergeCell ref="A2:P2"/>
    <mergeCell ref="P4:P42"/>
    <mergeCell ref="P43:P81"/>
    <mergeCell ref="P82:P120"/>
  </mergeCells>
  <conditionalFormatting sqref="P4">
    <cfRule type="dataBar" priority="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{358696ab-daf4-4144-9fb0-53e688409288}</x14:id>
        </ext>
      </extLst>
    </cfRule>
  </conditionalFormatting>
  <conditionalFormatting sqref="B40">
    <cfRule type="duplicateValues" dxfId="0" priority="27"/>
  </conditionalFormatting>
  <conditionalFormatting sqref="B41">
    <cfRule type="duplicateValues" dxfId="0" priority="24"/>
  </conditionalFormatting>
  <conditionalFormatting sqref="E42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{1b469efe-c5f1-40d9-b84a-2cf37afef900}</x14:id>
        </ext>
      </extLst>
    </cfRule>
  </conditionalFormatting>
  <conditionalFormatting sqref="P43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{e7db8a0e-c78a-4d35-9ab1-e6d41ee7764e}</x14:id>
        </ext>
      </extLst>
    </cfRule>
  </conditionalFormatting>
  <conditionalFormatting sqref="E79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{438c8eed-c1a7-477d-a27c-1c02d45d0e85}</x14:id>
        </ext>
      </extLst>
    </cfRule>
  </conditionalFormatting>
  <conditionalFormatting sqref="N79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{e5005e40-ff95-411c-bd53-e87b6f44b9ab}</x14:id>
        </ext>
      </extLst>
    </cfRule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{a3a109c6-901e-4aa5-b6e8-f3b124f095c9}</x14:id>
        </ext>
      </extLst>
    </cfRule>
  </conditionalFormatting>
  <conditionalFormatting sqref="N80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{aba63d40-8018-47d7-aa77-dfe9f3805555}</x14:id>
        </ext>
      </extLst>
    </cfRule>
  </conditionalFormatting>
  <conditionalFormatting sqref="B81">
    <cfRule type="duplicateValues" dxfId="0" priority="26"/>
  </conditionalFormatting>
  <conditionalFormatting sqref="P82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{3effbb35-a5b6-4684-95cc-8e31f8cbd8bf}</x14:id>
        </ext>
      </extLst>
    </cfRule>
  </conditionalFormatting>
  <conditionalFormatting sqref="B119">
    <cfRule type="duplicateValues" dxfId="0" priority="23"/>
  </conditionalFormatting>
  <conditionalFormatting sqref="E121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{9571d00b-1e3c-42c4-8c42-951e66b35774}</x14:id>
        </ext>
      </extLst>
    </cfRule>
  </conditionalFormatting>
  <conditionalFormatting sqref="N121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{965ea066-c9e3-4314-9ec1-cb84702a63b1}</x14:id>
        </ext>
      </extLst>
    </cfRule>
  </conditionalFormatting>
  <conditionalFormatting sqref="P121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{92dab28a-a2d4-4b14-95a1-83a5ce2179d5}</x14:id>
        </ext>
      </extLst>
    </cfRule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{25533e2f-47b7-40b7-b446-28893378cacc}</x14:id>
        </ext>
      </extLst>
    </cfRule>
  </conditionalFormatting>
  <conditionalFormatting sqref="B43:B78">
    <cfRule type="duplicateValues" dxfId="0" priority="35"/>
  </conditionalFormatting>
  <conditionalFormatting sqref="B79:B80">
    <cfRule type="duplicateValues" dxfId="0" priority="25"/>
  </conditionalFormatting>
  <conditionalFormatting sqref="E3:E104857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{c66a1871-74c5-4c62-813f-b80e6aee794d}</x14:id>
        </ext>
      </extLst>
    </cfRule>
  </conditionalFormatting>
  <conditionalFormatting sqref="E3:E120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{d9099a24-0aad-40e6-b4b4-4e3d17444a5b}</x14:id>
        </ext>
      </extLst>
    </cfRule>
  </conditionalFormatting>
  <conditionalFormatting sqref="E4:E41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{659e6f33-0dbd-473d-9a1e-e85594bf0c9a}</x14:id>
        </ext>
      </extLst>
    </cfRule>
  </conditionalFormatting>
  <conditionalFormatting sqref="M4:M42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{cf0b3aad-46f6-463f-9de3-e2036eb24381}</x14:id>
        </ext>
      </extLst>
    </cfRule>
    <cfRule type="dataBar" priority="20">
      <dataBar>
        <cfvo type="min"/>
        <cfvo type="max"/>
        <color theme="3" tint="0.4"/>
      </dataBar>
      <extLst>
        <ext xmlns:x14="http://schemas.microsoft.com/office/spreadsheetml/2009/9/main" uri="{B025F937-C7B1-47D3-B67F-A62EFF666E3E}">
          <x14:id>{b9591212-d517-401a-b1be-68c0d6503728}</x14:id>
        </ext>
      </extLst>
    </cfRule>
  </conditionalFormatting>
  <conditionalFormatting sqref="N3:N1048576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{368081b2-0abe-4e33-9ad6-652af17647c8}</x14:id>
        </ext>
      </extLst>
    </cfRule>
  </conditionalFormatting>
  <conditionalFormatting sqref="N4:N120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{fa2b8924-0728-465e-9436-d767dad10d20}</x14:id>
        </ext>
      </extLst>
    </cfRule>
  </conditionalFormatting>
  <conditionalFormatting sqref="P4:P121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{04b19a90-2534-47fe-81c8-1319a58240e5}</x14:id>
        </ext>
      </extLst>
    </cfRule>
  </conditionalFormatting>
  <conditionalFormatting sqref="Q14:Q17">
    <cfRule type="duplicateValues" dxfId="0" priority="22"/>
  </conditionalFormatting>
  <conditionalFormatting sqref="B4:B39 B42">
    <cfRule type="duplicateValues" dxfId="0" priority="36"/>
  </conditionalFormatting>
  <conditionalFormatting sqref="N4:N47 N81:N120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{578925d7-61a7-4815-be2b-357189132dfd}</x14:id>
        </ext>
      </extLst>
    </cfRule>
  </conditionalFormatting>
  <conditionalFormatting sqref="N4:N47 N80:N120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{c006f561-7595-4fd8-b0b2-74634ba18f8a}</x14:id>
        </ext>
      </extLst>
    </cfRule>
  </conditionalFormatting>
  <conditionalFormatting sqref="O4:O121 P122 O123:P1048576">
    <cfRule type="cellIs" dxfId="1" priority="30" operator="equal">
      <formula>"加盟"</formula>
    </cfRule>
    <cfRule type="containsText" dxfId="2" priority="29" operator="between" text="（加盟）">
      <formula>NOT(ISERROR(SEARCH("（加盟）",O4)))</formula>
    </cfRule>
  </conditionalFormatting>
  <conditionalFormatting sqref="E43:E47 E80:E120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{c82908e0-bf6d-4c15-ab68-1b0b14153cc7}</x14:id>
        </ext>
      </extLst>
    </cfRule>
  </conditionalFormatting>
  <conditionalFormatting sqref="M43:M47 M82:M120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{3c739dfb-e52d-4459-8d18-5451fcd0bfd0}</x14:id>
        </ext>
      </extLst>
    </cfRule>
    <cfRule type="dataBar" priority="16">
      <dataBar>
        <cfvo type="min"/>
        <cfvo type="max"/>
        <color theme="3" tint="0.4"/>
      </dataBar>
      <extLst>
        <ext xmlns:x14="http://schemas.microsoft.com/office/spreadsheetml/2009/9/main" uri="{B025F937-C7B1-47D3-B67F-A62EFF666E3E}">
          <x14:id>{bedacd13-721c-4494-aaca-6d863437a6db}</x14:id>
        </ext>
      </extLst>
    </cfRule>
  </conditionalFormatting>
  <conditionalFormatting sqref="B82:B118 B120">
    <cfRule type="duplicateValues" dxfId="0" priority="34"/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58696ab-daf4-4144-9fb0-53e68840928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P4</xm:sqref>
        </x14:conditionalFormatting>
        <x14:conditionalFormatting xmlns:xm="http://schemas.microsoft.com/office/excel/2006/main">
          <x14:cfRule type="dataBar" id="{1b469efe-c5f1-40d9-b84a-2cf37afef9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E42</xm:sqref>
        </x14:conditionalFormatting>
        <x14:conditionalFormatting xmlns:xm="http://schemas.microsoft.com/office/excel/2006/main">
          <x14:cfRule type="dataBar" id="{e7db8a0e-c78a-4d35-9ab1-e6d41ee7764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P43</xm:sqref>
        </x14:conditionalFormatting>
        <x14:conditionalFormatting xmlns:xm="http://schemas.microsoft.com/office/excel/2006/main">
          <x14:cfRule type="dataBar" id="{438c8eed-c1a7-477d-a27c-1c02d45d0e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E79</xm:sqref>
        </x14:conditionalFormatting>
        <x14:conditionalFormatting xmlns:xm="http://schemas.microsoft.com/office/excel/2006/main">
          <x14:cfRule type="dataBar" id="{e5005e40-ff95-411c-bd53-e87b6f44b9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3a109c6-901e-4aa5-b6e8-f3b124f095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N79</xm:sqref>
        </x14:conditionalFormatting>
        <x14:conditionalFormatting xmlns:xm="http://schemas.microsoft.com/office/excel/2006/main">
          <x14:cfRule type="dataBar" id="{aba63d40-8018-47d7-aa77-dfe9f380555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N80</xm:sqref>
        </x14:conditionalFormatting>
        <x14:conditionalFormatting xmlns:xm="http://schemas.microsoft.com/office/excel/2006/main">
          <x14:cfRule type="dataBar" id="{3effbb35-a5b6-4684-95cc-8e31f8cbd8b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P82</xm:sqref>
        </x14:conditionalFormatting>
        <x14:conditionalFormatting xmlns:xm="http://schemas.microsoft.com/office/excel/2006/main">
          <x14:cfRule type="dataBar" id="{9571d00b-1e3c-42c4-8c42-951e66b357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E121</xm:sqref>
        </x14:conditionalFormatting>
        <x14:conditionalFormatting xmlns:xm="http://schemas.microsoft.com/office/excel/2006/main">
          <x14:cfRule type="dataBar" id="{965ea066-c9e3-4314-9ec1-cb84702a63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N121</xm:sqref>
        </x14:conditionalFormatting>
        <x14:conditionalFormatting xmlns:xm="http://schemas.microsoft.com/office/excel/2006/main">
          <x14:cfRule type="dataBar" id="{92dab28a-a2d4-4b14-95a1-83a5ce2179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5533e2f-47b7-40b7-b446-28893378cac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P121</xm:sqref>
        </x14:conditionalFormatting>
        <x14:conditionalFormatting xmlns:xm="http://schemas.microsoft.com/office/excel/2006/main">
          <x14:cfRule type="dataBar" id="{c66a1871-74c5-4c62-813f-b80e6aee79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E3:E1048576</xm:sqref>
        </x14:conditionalFormatting>
        <x14:conditionalFormatting xmlns:xm="http://schemas.microsoft.com/office/excel/2006/main">
          <x14:cfRule type="dataBar" id="{d9099a24-0aad-40e6-b4b4-4e3d17444a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E3:E120</xm:sqref>
        </x14:conditionalFormatting>
        <x14:conditionalFormatting xmlns:xm="http://schemas.microsoft.com/office/excel/2006/main">
          <x14:cfRule type="dataBar" id="{659e6f33-0dbd-473d-9a1e-e85594bf0c9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E4:E41</xm:sqref>
        </x14:conditionalFormatting>
        <x14:conditionalFormatting xmlns:xm="http://schemas.microsoft.com/office/excel/2006/main">
          <x14:cfRule type="dataBar" id="{cf0b3aad-46f6-463f-9de3-e2036eb243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9591212-d517-401a-b1be-68c0d6503728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M4:M42</xm:sqref>
        </x14:conditionalFormatting>
        <x14:conditionalFormatting xmlns:xm="http://schemas.microsoft.com/office/excel/2006/main">
          <x14:cfRule type="dataBar" id="{368081b2-0abe-4e33-9ad6-652af17647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N3:N1048576</xm:sqref>
        </x14:conditionalFormatting>
        <x14:conditionalFormatting xmlns:xm="http://schemas.microsoft.com/office/excel/2006/main">
          <x14:cfRule type="dataBar" id="{fa2b8924-0728-465e-9436-d767dad10d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N4:N120</xm:sqref>
        </x14:conditionalFormatting>
        <x14:conditionalFormatting xmlns:xm="http://schemas.microsoft.com/office/excel/2006/main">
          <x14:cfRule type="dataBar" id="{04b19a90-2534-47fe-81c8-1319a58240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P4:P121</xm:sqref>
        </x14:conditionalFormatting>
        <x14:conditionalFormatting xmlns:xm="http://schemas.microsoft.com/office/excel/2006/main">
          <x14:cfRule type="dataBar" id="{578925d7-61a7-4815-be2b-357189132d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N4:N47 N81:N120</xm:sqref>
        </x14:conditionalFormatting>
        <x14:conditionalFormatting xmlns:xm="http://schemas.microsoft.com/office/excel/2006/main">
          <x14:cfRule type="dataBar" id="{c006f561-7595-4fd8-b0b2-74634ba18f8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N4:N47 N80:N120</xm:sqref>
        </x14:conditionalFormatting>
        <x14:conditionalFormatting xmlns:xm="http://schemas.microsoft.com/office/excel/2006/main">
          <x14:cfRule type="dataBar" id="{c82908e0-bf6d-4c15-ab68-1b0b14153c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E43:E47 E80:E120</xm:sqref>
        </x14:conditionalFormatting>
        <x14:conditionalFormatting xmlns:xm="http://schemas.microsoft.com/office/excel/2006/main">
          <x14:cfRule type="dataBar" id="{3c739dfb-e52d-4459-8d18-5451fcd0bf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edacd13-721c-4494-aaca-6d863437a6db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M43:M47 M82:M120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Age.</cp:lastModifiedBy>
  <dcterms:created xsi:type="dcterms:W3CDTF">2026-03-27T10:19:51Z</dcterms:created>
  <dcterms:modified xsi:type="dcterms:W3CDTF">2026-03-27T10:21:29Z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ADC7B177A0134B6E9CD62F0D3C601FA8_11</vt:lpwstr>
  </property>
  <property fmtid="{D5CDD505-2E9C-101B-9397-08002B2CF9AE}" pid="3" name="KSOProductBuildVer">
    <vt:lpwstr>2052-12.1.0.17140</vt:lpwstr>
  </property>
</Properties>
</file>